
<file path=[Content_Types].xml><?xml version="1.0" encoding="utf-8"?>
<Types xmlns="http://schemas.openxmlformats.org/package/2006/content-type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harts/chart3.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Reports\output\"/>
    </mc:Choice>
  </mc:AlternateContent>
  <xr:revisionPtr revIDLastSave="0" documentId="13_ncr:1_{AD64AAF2-8C2E-400A-A1F0-FA6E12CB2CFA}" xr6:coauthVersionLast="47" xr6:coauthVersionMax="47" xr10:uidLastSave="{00000000-0000-0000-0000-000000000000}"/>
  <bookViews>
    <workbookView xWindow="3510" yWindow="3510" windowWidth="21600" windowHeight="11385" xr2:uid="{00000000-000D-0000-FFFF-FFFF00000000}"/>
  </bookViews>
  <sheets>
    <sheet name="Formulas_Overview" sheetId="1" r:id="rId1"/>
    <sheet name="Formulas_Consumption Summary" sheetId="2" r:id="rId2"/>
    <sheet name="PF &amp; Demand" sheetId="3" state="hidden" r:id="rId3"/>
    <sheet name="Formulas_Carbon Footprint" sheetId="4" r:id="rId4"/>
    <sheet name=" Formulas_TODwise Consumption R" sheetId="5" r:id="rId5"/>
    <sheet name="Formulas_Departments Summary" sheetId="6" r:id="rId6"/>
    <sheet name="Formulas_Graphs" sheetId="7" r:id="rId7"/>
    <sheet name="Monthly report" sheetId="8" r:id="rId8"/>
    <sheet name="Sheet9" sheetId="9" state="hidden" r:id="rId9"/>
    <sheet name="meta_sheet" sheetId="10" state="hidden" r:id="rId10"/>
    <sheet name="TOD" sheetId="11" state="hidden" r:id="rId11"/>
    <sheet name="shiftdata 24hours" sheetId="12" state="hidden" r:id="rId12"/>
    <sheet name="Data" sheetId="13" state="hidden" r:id="rId13"/>
    <sheet name=" Morning peak" sheetId="14" state="hidden" r:id="rId14"/>
    <sheet name="Evening Peak" sheetId="15" state="hidden" r:id="rId15"/>
    <sheet name="Normal time" sheetId="16" state="hidden" r:id="rId16"/>
    <sheet name="night" sheetId="17" state="hidden" r:id="rId17"/>
  </sheets>
  <calcPr calcId="191029" calcMode="manual" calcCompleted="0"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 i="7" l="1"/>
  <c r="AI8" i="6"/>
  <c r="AH8" i="6"/>
  <c r="AG8" i="6"/>
  <c r="AF8" i="6"/>
  <c r="AE8" i="6"/>
  <c r="AD8" i="6"/>
  <c r="AC8" i="6"/>
  <c r="AB8" i="6"/>
  <c r="AA8" i="6"/>
  <c r="Z8" i="6"/>
  <c r="Y8" i="6"/>
  <c r="X8" i="6"/>
  <c r="W8" i="6"/>
  <c r="V8" i="6"/>
  <c r="U8" i="6"/>
  <c r="T8" i="6"/>
  <c r="S8" i="6"/>
  <c r="R8" i="6"/>
  <c r="Q8" i="6"/>
  <c r="P8" i="6"/>
  <c r="O8" i="6"/>
  <c r="N8" i="6"/>
  <c r="M8" i="6"/>
  <c r="L8" i="6"/>
  <c r="K8" i="6"/>
  <c r="J8" i="6"/>
  <c r="I8" i="6"/>
  <c r="H8" i="6"/>
  <c r="G8" i="6"/>
  <c r="F8" i="6"/>
  <c r="E8" i="6"/>
  <c r="AI7" i="6"/>
  <c r="AH7" i="6"/>
  <c r="AG7" i="6"/>
  <c r="AF7" i="6"/>
  <c r="AE7" i="6"/>
  <c r="AD7" i="6"/>
  <c r="AC7" i="6"/>
  <c r="AB7" i="6"/>
  <c r="AA7" i="6"/>
  <c r="Z7" i="6"/>
  <c r="Y7" i="6"/>
  <c r="X7" i="6"/>
  <c r="W7" i="6"/>
  <c r="V7" i="6"/>
  <c r="U7" i="6"/>
  <c r="T7" i="6"/>
  <c r="S7" i="6"/>
  <c r="R7" i="6"/>
  <c r="Q7" i="6"/>
  <c r="P7" i="6"/>
  <c r="O7" i="6"/>
  <c r="N7" i="6"/>
  <c r="M7" i="6"/>
  <c r="L7" i="6"/>
  <c r="K7" i="6"/>
  <c r="J7" i="6"/>
  <c r="I7" i="6"/>
  <c r="H7" i="6"/>
  <c r="G7" i="6"/>
  <c r="F7" i="6"/>
  <c r="E7" i="6"/>
  <c r="AI6" i="6"/>
  <c r="AH6" i="6"/>
  <c r="AG6" i="6"/>
  <c r="AF6" i="6"/>
  <c r="AE6" i="6"/>
  <c r="AD6" i="6"/>
  <c r="AC6" i="6"/>
  <c r="AB6" i="6"/>
  <c r="AA6" i="6"/>
  <c r="Z6" i="6"/>
  <c r="Y6" i="6"/>
  <c r="X6" i="6"/>
  <c r="W6" i="6"/>
  <c r="V6" i="6"/>
  <c r="U6" i="6"/>
  <c r="T6" i="6"/>
  <c r="S6" i="6"/>
  <c r="R6" i="6"/>
  <c r="Q6" i="6"/>
  <c r="P6" i="6"/>
  <c r="O6" i="6"/>
  <c r="N6" i="6"/>
  <c r="M6" i="6"/>
  <c r="L6" i="6"/>
  <c r="K6" i="6"/>
  <c r="J6" i="6"/>
  <c r="I6" i="6"/>
  <c r="H6" i="6"/>
  <c r="G6" i="6"/>
  <c r="F6" i="6"/>
  <c r="E6" i="6"/>
  <c r="AI5" i="6"/>
  <c r="AH5" i="6"/>
  <c r="AG5" i="6"/>
  <c r="AF5" i="6"/>
  <c r="AE5" i="6"/>
  <c r="AD5" i="6"/>
  <c r="AC5" i="6"/>
  <c r="AB5" i="6"/>
  <c r="AA5" i="6"/>
  <c r="Z5" i="6"/>
  <c r="Y5" i="6"/>
  <c r="X5" i="6"/>
  <c r="W5" i="6"/>
  <c r="V5" i="6"/>
  <c r="U5" i="6"/>
  <c r="T5" i="6"/>
  <c r="S5" i="6"/>
  <c r="R5" i="6"/>
  <c r="Q5" i="6"/>
  <c r="P5" i="6"/>
  <c r="O5" i="6"/>
  <c r="N5" i="6"/>
  <c r="M5" i="6"/>
  <c r="L5" i="6"/>
  <c r="K5" i="6"/>
  <c r="J5" i="6"/>
  <c r="I5" i="6"/>
  <c r="H5" i="6"/>
  <c r="G5" i="6"/>
  <c r="F5" i="6"/>
  <c r="E5" i="6"/>
  <c r="AI4" i="6"/>
  <c r="AH4" i="6"/>
  <c r="AG4" i="6"/>
  <c r="AF4" i="6"/>
  <c r="AE4" i="6"/>
  <c r="AD4" i="6"/>
  <c r="AC4" i="6"/>
  <c r="AB4" i="6"/>
  <c r="AA4" i="6"/>
  <c r="Z4" i="6"/>
  <c r="Y4" i="6"/>
  <c r="X4" i="6"/>
  <c r="W4" i="6"/>
  <c r="V4" i="6"/>
  <c r="U4" i="6"/>
  <c r="T4" i="6"/>
  <c r="S4" i="6"/>
  <c r="R4" i="6"/>
  <c r="Q4" i="6"/>
  <c r="P4" i="6"/>
  <c r="O4" i="6"/>
  <c r="N4" i="6"/>
  <c r="M4" i="6"/>
  <c r="L4" i="6"/>
  <c r="K4" i="6"/>
  <c r="J4" i="6"/>
  <c r="I4" i="6"/>
  <c r="H4" i="6"/>
  <c r="G4" i="6"/>
  <c r="F4" i="6"/>
  <c r="E12" i="4"/>
  <c r="D12" i="4"/>
  <c r="N8" i="4"/>
  <c r="N11" i="4" s="1"/>
  <c r="D8" i="4"/>
  <c r="D11" i="4" s="1"/>
  <c r="L8" i="2"/>
  <c r="F8" i="2"/>
  <c r="F12" i="1"/>
  <c r="L11" i="2" s="1"/>
  <c r="O9" i="4" s="1"/>
  <c r="E12" i="1"/>
  <c r="K11" i="2" s="1"/>
  <c r="N9" i="4" s="1"/>
  <c r="F11" i="1"/>
  <c r="E11" i="1"/>
  <c r="F8" i="1"/>
  <c r="F12" i="2" s="1"/>
  <c r="E10" i="4" s="1"/>
  <c r="E8" i="1"/>
  <c r="E12" i="2" s="1"/>
  <c r="D10" i="4" s="1"/>
  <c r="F7" i="1"/>
  <c r="F11" i="2" s="1"/>
  <c r="E7" i="1"/>
  <c r="E11" i="2" s="1"/>
  <c r="D9" i="4" s="1"/>
  <c r="C3" i="1"/>
  <c r="D4" i="2" s="1"/>
  <c r="L9" i="2" l="1"/>
  <c r="F9" i="2"/>
  <c r="E3" i="6"/>
  <c r="F3" i="6" s="1"/>
  <c r="G3" i="6" s="1"/>
  <c r="H3" i="6" s="1"/>
  <c r="I3" i="6" s="1"/>
  <c r="J3" i="6" s="1"/>
  <c r="K3" i="6" s="1"/>
  <c r="L3" i="6" s="1"/>
  <c r="M3" i="6" s="1"/>
  <c r="N3" i="6" s="1"/>
  <c r="O3" i="6" s="1"/>
  <c r="P3" i="6" s="1"/>
  <c r="Q3" i="6" s="1"/>
  <c r="R3" i="6" s="1"/>
  <c r="S3" i="6" s="1"/>
  <c r="T3" i="6" s="1"/>
  <c r="U3" i="6" s="1"/>
  <c r="V3" i="6" s="1"/>
  <c r="W3" i="6" s="1"/>
  <c r="X3" i="6" s="1"/>
  <c r="Y3" i="6" s="1"/>
  <c r="Z3" i="6" s="1"/>
  <c r="AA3" i="6" s="1"/>
  <c r="AB3" i="6" s="1"/>
  <c r="AC3" i="6" s="1"/>
  <c r="AD3" i="6" s="1"/>
  <c r="AE3" i="6" s="1"/>
  <c r="AF3" i="6" s="1"/>
  <c r="AG3" i="6" s="1"/>
  <c r="AH3" i="6" s="1"/>
  <c r="AI3" i="6" s="1"/>
  <c r="E6" i="1"/>
  <c r="L7" i="2"/>
  <c r="O6" i="4" s="1"/>
  <c r="O7" i="4" s="1"/>
  <c r="O13" i="4" s="1"/>
  <c r="F13" i="1"/>
  <c r="E13" i="1"/>
  <c r="K7" i="2"/>
  <c r="N6" i="4" s="1"/>
  <c r="N7" i="4" s="1"/>
  <c r="N13" i="4" s="1"/>
  <c r="E9" i="4"/>
  <c r="E8" i="4" s="1"/>
  <c r="F10" i="2"/>
  <c r="J4" i="2"/>
  <c r="I4" i="2"/>
  <c r="B28" i="7" l="1"/>
  <c r="B29" i="7" s="1"/>
  <c r="B30" i="7" s="1"/>
  <c r="B31" i="7" s="1"/>
  <c r="B32" i="7" s="1"/>
  <c r="B33" i="7" s="1"/>
  <c r="B34" i="7" s="1"/>
  <c r="B35" i="7" s="1"/>
  <c r="B36" i="7" s="1"/>
  <c r="B37" i="7" s="1"/>
  <c r="B38" i="7" s="1"/>
  <c r="B39" i="7" s="1"/>
  <c r="B40" i="7" s="1"/>
  <c r="B41" i="7" s="1"/>
  <c r="B42" i="7" s="1"/>
  <c r="B43" i="7" s="1"/>
  <c r="B44" i="7" s="1"/>
  <c r="B45" i="7" s="1"/>
  <c r="B46" i="7" s="1"/>
  <c r="B47" i="7" s="1"/>
  <c r="B48" i="7" s="1"/>
  <c r="B49" i="7" s="1"/>
  <c r="B50" i="7" s="1"/>
  <c r="B51" i="7" s="1"/>
  <c r="B52" i="7" s="1"/>
  <c r="B53" i="7" s="1"/>
  <c r="B54" i="7" s="1"/>
  <c r="B55" i="7" s="1"/>
  <c r="B56" i="7" s="1"/>
  <c r="B57" i="7" s="1"/>
  <c r="B58" i="7" s="1"/>
  <c r="F3" i="1"/>
  <c r="F4" i="2" s="1"/>
  <c r="E9" i="1"/>
  <c r="E7" i="2"/>
  <c r="D6" i="4" s="1"/>
  <c r="D7" i="4" s="1"/>
  <c r="D13" i="4" s="1"/>
  <c r="F6" i="1"/>
  <c r="E4" i="6"/>
  <c r="E8" i="2" l="1"/>
  <c r="E9" i="2"/>
  <c r="L4" i="2"/>
  <c r="F9" i="1"/>
  <c r="F7" i="2"/>
  <c r="E6" i="4" s="1"/>
  <c r="E7" i="4" s="1"/>
  <c r="K9" i="2" l="1"/>
  <c r="K8" i="2"/>
  <c r="O8" i="4" s="1"/>
  <c r="O11" i="4" s="1"/>
  <c r="E11" i="4"/>
  <c r="E13" i="4"/>
  <c r="C28" i="7" l="1"/>
  <c r="D28" i="7" l="1"/>
  <c r="D58" i="7" l="1"/>
  <c r="D56" i="7"/>
  <c r="D55" i="7"/>
  <c r="D54" i="7"/>
  <c r="D52" i="7"/>
  <c r="D50" i="7"/>
  <c r="D49" i="7"/>
  <c r="D48" i="7"/>
  <c r="D46" i="7"/>
  <c r="D45" i="7"/>
  <c r="C57" i="7"/>
  <c r="E57" i="7"/>
  <c r="E56" i="7"/>
  <c r="D42" i="7"/>
  <c r="C56" i="7"/>
  <c r="C55" i="7"/>
  <c r="D41" i="7"/>
  <c r="E54" i="7"/>
  <c r="C54" i="7"/>
  <c r="E53" i="7"/>
  <c r="C53" i="7"/>
  <c r="D40" i="7"/>
  <c r="E52" i="7"/>
  <c r="C52" i="7"/>
  <c r="E51" i="7"/>
  <c r="C51" i="7"/>
  <c r="E50" i="7"/>
  <c r="D39" i="7"/>
  <c r="C50" i="7"/>
  <c r="E49" i="7"/>
  <c r="E47" i="7"/>
  <c r="C47" i="7"/>
  <c r="D37" i="7"/>
  <c r="C46" i="7"/>
  <c r="E45" i="7"/>
  <c r="E44" i="7"/>
  <c r="C44" i="7"/>
  <c r="D36" i="7"/>
  <c r="E43" i="7"/>
  <c r="C43" i="7"/>
  <c r="E42" i="7"/>
  <c r="C42" i="7"/>
  <c r="D35" i="7"/>
  <c r="C41" i="7"/>
  <c r="E41" i="7"/>
  <c r="D34" i="7"/>
  <c r="E40" i="7"/>
  <c r="C40" i="7"/>
  <c r="E39" i="7"/>
  <c r="C39" i="7"/>
  <c r="C38" i="7"/>
  <c r="C37" i="7"/>
  <c r="E37" i="7"/>
  <c r="D32" i="7"/>
  <c r="E36" i="7"/>
  <c r="C36" i="7"/>
  <c r="E35" i="7"/>
  <c r="C34" i="7"/>
  <c r="D30" i="7"/>
  <c r="C32" i="7"/>
  <c r="C31" i="7"/>
  <c r="E31" i="7"/>
  <c r="D29" i="7"/>
  <c r="E30" i="7"/>
  <c r="C30" i="7"/>
  <c r="C29" i="7"/>
  <c r="E29" i="7"/>
  <c r="E28" i="7"/>
  <c r="F57" i="7" l="1"/>
  <c r="F56" i="7"/>
  <c r="F54" i="7"/>
  <c r="F53" i="7"/>
  <c r="F51" i="7"/>
  <c r="F47" i="7"/>
  <c r="F45" i="7"/>
  <c r="F43" i="7"/>
  <c r="F42" i="7"/>
  <c r="F41" i="7"/>
  <c r="F40" i="7"/>
  <c r="F38" i="7"/>
  <c r="F36" i="7"/>
  <c r="F35" i="7"/>
  <c r="F34" i="7"/>
  <c r="F33" i="7"/>
  <c r="F32" i="7"/>
  <c r="F31" i="7"/>
  <c r="F30" i="7"/>
  <c r="F28" i="7"/>
  <c r="D57" i="7"/>
  <c r="D53" i="7"/>
  <c r="D51" i="7"/>
  <c r="D47" i="7"/>
  <c r="D44" i="7"/>
  <c r="D33" i="7"/>
  <c r="D31" i="7"/>
  <c r="E33" i="7"/>
  <c r="E32" i="7"/>
  <c r="C58" i="7"/>
  <c r="E58" i="7"/>
  <c r="D43" i="7"/>
  <c r="E55" i="7"/>
  <c r="C49" i="7"/>
  <c r="C45" i="7"/>
  <c r="E38" i="7"/>
  <c r="C35" i="7"/>
  <c r="E34" i="7"/>
  <c r="E48" i="7"/>
  <c r="D38" i="7"/>
  <c r="C48" i="7"/>
  <c r="E46" i="7"/>
  <c r="C33" i="7"/>
  <c r="F58" i="7" l="1"/>
  <c r="F46" i="7"/>
  <c r="F55" i="7"/>
  <c r="F52" i="7"/>
  <c r="F50" i="7"/>
  <c r="F49" i="7"/>
  <c r="F48" i="7"/>
  <c r="F39" i="7"/>
  <c r="F37" i="7"/>
  <c r="F44" i="7"/>
  <c r="F29" i="7"/>
</calcChain>
</file>

<file path=xl/sharedStrings.xml><?xml version="1.0" encoding="utf-8"?>
<sst xmlns="http://schemas.openxmlformats.org/spreadsheetml/2006/main" count="2870" uniqueCount="1113">
  <si>
    <t>From:</t>
  </si>
  <si>
    <t>To:</t>
  </si>
  <si>
    <t>Locations</t>
  </si>
  <si>
    <t>Daily</t>
  </si>
  <si>
    <t>MTD</t>
  </si>
  <si>
    <t>UNIT :- 1</t>
  </si>
  <si>
    <t>Unit 1 EB Incomer</t>
  </si>
  <si>
    <t>Unit 1 DG 1 - 365KVA</t>
  </si>
  <si>
    <t>Unit 1 DG 2 - 380KVA</t>
  </si>
  <si>
    <t xml:space="preserve">Total </t>
  </si>
  <si>
    <t>UNIT :- 5</t>
  </si>
  <si>
    <t>Unit 5 EB Incomer</t>
  </si>
  <si>
    <t>Unit 5 DG Incomer</t>
  </si>
  <si>
    <t>From</t>
  </si>
  <si>
    <t>To</t>
  </si>
  <si>
    <t>Locations - Manufacturing</t>
  </si>
  <si>
    <t>Import energy from EB</t>
  </si>
  <si>
    <t>MD Recorded</t>
  </si>
  <si>
    <t>PF</t>
  </si>
  <si>
    <t>Captive Generation DG</t>
  </si>
  <si>
    <t>pf</t>
  </si>
  <si>
    <t>kva</t>
  </si>
  <si>
    <t>Demand</t>
  </si>
  <si>
    <t>Locations -  Manufacturing</t>
  </si>
  <si>
    <t>Carbon Emission 1</t>
  </si>
  <si>
    <t>Carbon Emission 2</t>
  </si>
  <si>
    <t>Generation Solar Roof top</t>
  </si>
  <si>
    <t>Net Carbon Emission</t>
  </si>
  <si>
    <t>Time</t>
  </si>
  <si>
    <t>Total</t>
  </si>
  <si>
    <t>Total (%)</t>
  </si>
  <si>
    <t>06:00 to 10:00</t>
  </si>
  <si>
    <t>10:00 to 18:00</t>
  </si>
  <si>
    <t>18:00 to 22:00</t>
  </si>
  <si>
    <t>22:00 to 06:00</t>
  </si>
  <si>
    <t>11KV Incomer Breaker06:00 to 10:00</t>
  </si>
  <si>
    <t>11KV Incomer Breaker10:00 to 18:00</t>
  </si>
  <si>
    <t>11KV Incomer Breaker18:00 to 22:00</t>
  </si>
  <si>
    <t>11KV Incomer Breaker22:00 to 06:00</t>
  </si>
  <si>
    <t>11KV ATS O/G Breaker06:00 to 10:00</t>
  </si>
  <si>
    <t>11KV ATS O/G Breaker10:00 to 18:00</t>
  </si>
  <si>
    <t>11KV ATS O/G Breaker18:00 to 22:00</t>
  </si>
  <si>
    <t>11KV ATS O/G Breaker22:00 to 06:00</t>
  </si>
  <si>
    <t>11KV Module &amp; Cell O/G Breaker06:00 to 10:00</t>
  </si>
  <si>
    <t>11KV Module &amp; Cell O/G Breaker10:00 to 18:00</t>
  </si>
  <si>
    <t>11KV Module &amp; Cell O/G Breaker18:00 to 22:00</t>
  </si>
  <si>
    <t>11KV Module &amp; Cell O/G Breaker22:00 to 06:00</t>
  </si>
  <si>
    <t>Transformer - 1. O/G Breaker06:00 to 10:00</t>
  </si>
  <si>
    <t>Transformer - 1. O/G Breaker10:00 to 18:00</t>
  </si>
  <si>
    <t>Transformer - 1. O/G Breaker18:00 to 22:00</t>
  </si>
  <si>
    <t>Transformer - 1. O/G Breaker22:00 to 06:00</t>
  </si>
  <si>
    <t>Sr. No.</t>
  </si>
  <si>
    <t>Department</t>
  </si>
  <si>
    <t>EB</t>
  </si>
  <si>
    <t>DG</t>
  </si>
  <si>
    <t>Select Location</t>
  </si>
  <si>
    <t>Date</t>
  </si>
  <si>
    <t>Morning Time</t>
  </si>
  <si>
    <t>Normal Time</t>
  </si>
  <si>
    <t>Evening Time</t>
  </si>
  <si>
    <t>NIght</t>
  </si>
  <si>
    <t>Progressive Report</t>
  </si>
  <si>
    <t>UNIT 1</t>
  </si>
  <si>
    <t>UNIT 2</t>
  </si>
  <si>
    <t>Unit 5 AC Store Room - Temperature</t>
  </si>
  <si>
    <t>Unit 5 AC Store Room - Humidity</t>
  </si>
  <si>
    <t>kwh</t>
  </si>
  <si>
    <t>Temperature</t>
  </si>
  <si>
    <t>Humidity</t>
  </si>
  <si>
    <t>Peak (morning)</t>
  </si>
  <si>
    <t>Normal time</t>
  </si>
  <si>
    <t>Peak (Evening)</t>
  </si>
  <si>
    <t>Night</t>
  </si>
  <si>
    <t>KWH</t>
  </si>
  <si>
    <t>6 TO 10</t>
  </si>
  <si>
    <t>Tata Power Solar Systems Ltd.</t>
  </si>
  <si>
    <t>MV - 2 UPS 3-400KVA Cell 2</t>
  </si>
  <si>
    <t>M28</t>
  </si>
  <si>
    <t>8175657f#1</t>
  </si>
  <si>
    <t>tata_Solar</t>
  </si>
  <si>
    <t>TPREL</t>
  </si>
  <si>
    <t>Bangalore</t>
  </si>
  <si>
    <t>mahadeva.prasad@tatapower.com</t>
  </si>
  <si>
    <t>kWh, kW, VOLTAGE (LN), CURRENT, FREQUENCY, Power Factor, KVAR, KVA, KVA (R PHASE), KVA (Y PHASE), KVA (B PHASE), VOLTAGE (LL), VOLTAGE (LL RY Phase), VOLTAGE (LL YB Phase), VOLTAGE (LL BR Phase), VOLTAGE (LN R Phase), VOLTAGE (LN Y PHASE), VOLTAGE (LN B PHASE), CURRENT (R PHASE), CURRENT (Y PHASE), CURRENT (B PHASE), KVAh, VOLTAGE THD (R PHASE), VOLTAGE THD (Y PHASE), VOLTAGE THD (B PHASE), CURRENT THD (R PHASE), CURRENT THD (Y PHASE), CURRENT THD (B PHASE), KVARh (INDUCTIVE RECEIVED), KVARh (CAPACITIVE RECEIVED), MAXIMUM DEMAND, KW (R PHASE), KW (Y PHASE), KW (B PHASE), KVAR (R PHASE), KVAR (Y PHASE), KVAR (B PHASE), KWh (DELIVERED), KVAh (DELIVERED), KVARh (INDUCTIVE DELIVERED), KVARh (CAPACITIVE DELIVERED), VOLTAGE THD, CURRENT THD, POWER FACTOR (R PHASE), POWER FACTOR (Y PHASE), POWER FACTOR (B PHASE), RISING DEMAND, PRESENT DEMAND, ON HOURS, INTERRUPTIONS, Total KWh data, Run Hours Import, Run Hours Export, RAW Power Factor, RAW POWER FACTOR (R PHASE), RAW POWER FACTOR (Y PHASE), RAW POWER FACTOR (B PHASE), Unit Operating Hours, Health Indicator, Scope 1 Emission</t>
  </si>
  <si>
    <t>MV-2 SMSB</t>
  </si>
  <si>
    <t>M652</t>
  </si>
  <si>
    <t>8175657f#4</t>
  </si>
  <si>
    <t>kWh, kW, VOLTAGE (LN), CURRENT, FREQUENCY, Power Factor, KVAR, KVA, KVA (R PHASE), KVA (Y PHASE), KVA (B PHASE), VOLTAGE (LL), VOLTAGE (LL RY Phase), VOLTAGE (LL YB Phase), VOLTAGE (LL BR Phase), VOLTAGE (LN R Phase), VOLTAGE (LN Y PHASE), VOLTAGE (LN B PHASE), CURRENT (R PHASE), CURRENT (Y PHASE), CURRENT (B PHASE), KVAh, VOLTAGE THD (R PHASE), VOLTAGE THD (Y PHASE), VOLTAGE THD (B PHASE), CURRENT THD (R PHASE), CURRENT THD (Y PHASE), CURRENT THD (B PHASE), KW (R PHASE), KW (Y PHASE), KW (B PHASE), KVAR (R PHASE), KVAR (Y PHASE), KVAR (B PHASE), KWh (DELIVERED), KVAh (DELIVERED), VOLTAGE THD, POWER FACTOR (R PHASE), POWER FACTOR (Y PHASE), POWER FACTOR (B PHASE), CURRENT (NEUTRAL), LAST DEMAND kW, PRESENT DEMAND kW, PREDICTED DEMAND kW, PEAK DEMAND kW, LAST DEMAND kVA, PRESENT DEMAND kVA, PREDICTED DEMAND kVA, PEAK DEMAND kVA, WH DEL + REC, WH DEL - REC, VARH DEL, VARH REC, VARH DEL + REC, VARH DEL - REC, VAH DEL + REC, VAH DEL - REC, Voltage Unbal R Phase, Voltage Unbal Y Phase, Voltage Unbal B Phase, Current Unbal R Phase, Current Unbal Y Phase, Current Unbal B Phase, Pre_Demand_KVAr, Demand_KVAr, Total KWh data, Voltage Unbalance A-B, Voltage Unbalance B-C, Voltage Unbalance C-A, Last Demand(KVAr), Peak Demand(KVAr), Last Demand (A Avg), Present Demand(A Avg), Predicted Demand(A Avg), Peak Demand(A Avg), Total KWH, kWh Total, Total kw, Scope 2 Emission</t>
  </si>
  <si>
    <t>MV - 2 Raw Power</t>
  </si>
  <si>
    <t>8175657f#3</t>
  </si>
  <si>
    <t>MV - 2 Lighting-AC-AC LTG</t>
  </si>
  <si>
    <t>M142</t>
  </si>
  <si>
    <t>8175657f#2</t>
  </si>
  <si>
    <t>Current Imbalance, Voltage Imbalance, Chiller_COP, kWh, kW, VOLTAGE (LN), CURRENT, FREQUENCY, Power Factor, KVAR, KVA, KVA (R PHASE), KVA (Y PHASE), KVA (B PHASE), VOLTAGE (LL), VOLTAGE (LL RY Phase), VOLTAGE (LL YB Phase), VOLTAGE (LL BR Phase), VOLTAGE (LN R Phase), VOLTAGE (LN Y PHASE), VOLTAGE (LN B PHASE), CURRENT (R PHASE), CURRENT (Y PHASE), CURRENT (B PHASE), KVAh, VOLTAGE THD (R PHASE), VOLTAGE THD (Y PHASE), VOLTAGE THD (B PHASE), CURRENT THD (R PHASE), CURRENT THD (Y PHASE), CURRENT THD (B PHASE), KW (R PHASE), KW (Y PHASE), KW (B PHASE), KVAR (R PHASE), KVAR (Y PHASE), KVAR (B PHASE), KWh (DELIVERED), KVAh (DELIVERED), VOLTAGE THD, CURRENT THD, POWER FACTOR (R PHASE), POWER FACTOR (Y PHASE), POWER FACTOR (B PHASE), CURRENT (NEUTRAL), LAST DEMAND kW, PRESENT DEMAND kW, PREDICTED DEMAND kW, PEAK DEMAND kW, LAST DEMAND kVA, PRESENT DEMAND kVA, PREDICTED DEMAND kVA, PEAK DEMAND kVA, WH DEL + REC, WH DEL - REC, VARH DEL, VARH REC, VARH DEL + REC, VARH DEL - REC, VAH DEL + REC, VAH DEL - REC, Voltage Unbal R Phase, Voltage Unbal Y Phase, Voltage Unbal B Phase, Current Unbal R Phase, Current Unbal Y Phase, Current Unbal B Phase, Pre_Demand_KVAr, Demand_KVAr, Total KWh data, Voltage Unbalance A-B, Voltage Unbalance B-C, Voltage Unbalance C-A, Last Demand(KVAr), Peak Demand(KVAr), Last Demand (A Avg), Present Demand(A Avg), Predicted Demand(A Avg), Peak Demand(A Avg), MD KVA, Total KWH, kWh Total, Total kw, Total_kWh_Data, kWh Total Value, Voltage Imbalance NEMA, Current Imbalance-I/P, V_Y_Ang_cal, V_B_Ang_cal, Angle_Y, Angle_B, V_R_B_Diff, V_R_Y_Diff, V_B_Y_Diff, I_R_B_Diff, I_R_Y_Diff, I_B_Y_Diff, PF_R_B_Diff, PF_R_Y_Diff, PF_B_Y_Diff, COP, Loading%, Scope 2, Total KW, Total chiller kW/TR, Avg Line_Current, IKW/TR comp</t>
  </si>
  <si>
    <t>UPW Raw Water In Flow Meter</t>
  </si>
  <si>
    <t>M191</t>
  </si>
  <si>
    <t>862952027124923#2</t>
  </si>
  <si>
    <t>Flow Rate(m3/hr), Reverse Flow Totaliser, Volume (m3/h), Totaliser(m3)</t>
  </si>
  <si>
    <t>Outgoing To CDA 6,7,8</t>
  </si>
  <si>
    <t>864524076934649#8</t>
  </si>
  <si>
    <t>MV -1 SSB 2</t>
  </si>
  <si>
    <t>868728038935125#3</t>
  </si>
  <si>
    <t>Vega Post Lamp Cooling Chamber</t>
  </si>
  <si>
    <t>M314</t>
  </si>
  <si>
    <t>868404044681497#3</t>
  </si>
  <si>
    <t>Temperature, Humidity, Dewpoint(Â°C)</t>
  </si>
  <si>
    <t>ETP RO Permeate</t>
  </si>
  <si>
    <t>M206</t>
  </si>
  <si>
    <t>862952027124923#5</t>
  </si>
  <si>
    <t>Flow Rate(m3/hr), Totaliser(m3)</t>
  </si>
  <si>
    <t>Module UPS2</t>
  </si>
  <si>
    <t>862952027076446#2</t>
  </si>
  <si>
    <t>Kaeser Compressor New Oil Free</t>
  </si>
  <si>
    <t>864524076934649#1</t>
  </si>
  <si>
    <t>CELL HEXA Line SMSB-2</t>
  </si>
  <si>
    <t>864524076934649#5</t>
  </si>
  <si>
    <t>Outgoing (250MW Mars line)Â RPÂ Panel</t>
  </si>
  <si>
    <t>864524076934649#4</t>
  </si>
  <si>
    <t>PMCC Utilities</t>
  </si>
  <si>
    <t>864524076934649#3</t>
  </si>
  <si>
    <t>UPS 3(500KVA) Breaker</t>
  </si>
  <si>
    <t>864524076934649#2</t>
  </si>
  <si>
    <t>Outgoing To CELL Line SMSB-3</t>
  </si>
  <si>
    <t>864524076934649#9</t>
  </si>
  <si>
    <t>Outgoing To ETP-1</t>
  </si>
  <si>
    <t>864524076934649#10</t>
  </si>
  <si>
    <t>Chiller - 3</t>
  </si>
  <si>
    <t>862360079646746#6</t>
  </si>
  <si>
    <t>CDA - 1</t>
  </si>
  <si>
    <t>862360079646746#3</t>
  </si>
  <si>
    <t>Chiller - 4</t>
  </si>
  <si>
    <t>862360079646746#1</t>
  </si>
  <si>
    <t>MV -1 ASRS</t>
  </si>
  <si>
    <t>868728038935125#2</t>
  </si>
  <si>
    <t>MV -1 Canteen SSB</t>
  </si>
  <si>
    <t>868728038935125#4</t>
  </si>
  <si>
    <t>MV -1 STP Panel</t>
  </si>
  <si>
    <t>868728038935125#5</t>
  </si>
  <si>
    <t>MV -1 Solar Grid</t>
  </si>
  <si>
    <t>868728038935125#7</t>
  </si>
  <si>
    <t>MV -1 Module Plant AC</t>
  </si>
  <si>
    <t>868728038935125#8</t>
  </si>
  <si>
    <t>MV -1 PAP Room</t>
  </si>
  <si>
    <t>868728038935125#6</t>
  </si>
  <si>
    <t>Diffusion (HEXA Line)</t>
  </si>
  <si>
    <t>862360074015061#3</t>
  </si>
  <si>
    <t>Tester (HEXA Line)</t>
  </si>
  <si>
    <t>862360074015061#4</t>
  </si>
  <si>
    <t>Cell Line Store</t>
  </si>
  <si>
    <t>868404044680481#1</t>
  </si>
  <si>
    <t>New UPS panel (VEGA)</t>
  </si>
  <si>
    <t>868404044681497#6</t>
  </si>
  <si>
    <t>11KV ATS O-G Breaker</t>
  </si>
  <si>
    <t>862360074039640#2</t>
  </si>
  <si>
    <t>66 KV CR Panel</t>
  </si>
  <si>
    <t>862360074039640#4</t>
  </si>
  <si>
    <t>Transformer - 5. OG Breaker</t>
  </si>
  <si>
    <t>862360079653528#5</t>
  </si>
  <si>
    <t>20KW Solar (Above Canteen )</t>
  </si>
  <si>
    <t>862952027212009#2</t>
  </si>
  <si>
    <t>11KV DG Cummins-4</t>
  </si>
  <si>
    <t>862360079653528#6</t>
  </si>
  <si>
    <t>BWSSB Inlet</t>
  </si>
  <si>
    <t>862952027121614#1</t>
  </si>
  <si>
    <t>Hexa UPS 2</t>
  </si>
  <si>
    <t>862952027079192#10</t>
  </si>
  <si>
    <t>40 kW Solar (PECVD Pump Room)</t>
  </si>
  <si>
    <t>868728038960214#4</t>
  </si>
  <si>
    <t>862952027010924#3</t>
  </si>
  <si>
    <t>UPW First RO Reject Water Flow Meter</t>
  </si>
  <si>
    <t>862952027124923#1</t>
  </si>
  <si>
    <t>11KV Incomer Breaker</t>
  </si>
  <si>
    <t>862360074039640#1</t>
  </si>
  <si>
    <t>Transformer - 2. OG Breaker</t>
  </si>
  <si>
    <t>862360079653528#2</t>
  </si>
  <si>
    <t>11KV DG, Cummins-6</t>
  </si>
  <si>
    <t>862360079653528#8</t>
  </si>
  <si>
    <t>862952027010924#1</t>
  </si>
  <si>
    <t>PMCC HVAC High Side</t>
  </si>
  <si>
    <t>862360079646746#4</t>
  </si>
  <si>
    <t>UPW Panel</t>
  </si>
  <si>
    <t>862360079646746#5</t>
  </si>
  <si>
    <t>Chiller - 1</t>
  </si>
  <si>
    <t>862952027076321#1</t>
  </si>
  <si>
    <t>CDA - 3</t>
  </si>
  <si>
    <t>862952027076321#2</t>
  </si>
  <si>
    <t>I-C 3(500KVA) UPS - Nexa line</t>
  </si>
  <si>
    <t>M55</t>
  </si>
  <si>
    <t>862952026923077#1</t>
  </si>
  <si>
    <t>kWh, kW, VOLTAGE (LN), CURRENT, FREQUENCY, Power Factor, KVAR, KVA, KVA (R PHASE), KVA (Y PHASE), KVA (B PHASE), VOLTAGE (LL), VOLTAGE (LL RY Phase), VOLTAGE (LL YB Phase), VOLTAGE (LL BR Phase), VOLTAGE (LN R Phase), VOLTAGE (LN Y PHASE), VOLTAGE (LN B PHASE), CURRENT (R PHASE), CURRENT (Y PHASE), CURRENT (B PHASE), KVAh, VOLTAGE THD (R PHASE), VOLTAGE THD (Y PHASE), VOLTAGE THD (B PHASE), CURRENT THD (R PHASE), CURRENT THD (Y PHASE), CURRENT THD (B PHASE), KVARh (INDUCTIVE RECEIVED), KVARh (CAPACITIVE RECEIVED), MAXIMUM DEMAND, KW (R PHASE), KW (Y PHASE), KW (B PHASE), KVAR (R PHASE), KVAR (Y PHASE), KVAR (B PHASE), POWER FACTOR (DELIVERED), CURRENT(DELIVERED), KWh (DELIVERED), KVAh (DELIVERED), KVARh (INDUCTIVE DELIVERED), KVARh (CAPACITIVE DELIVERED), POWER FACTOR (RECEIVED), CURRENT (RECEIVED), POWER FACTOR (R PHASE), POWER FACTOR (Y PHASE), POWER FACTOR (B PHASE), CURRENT (NEUTRAL), RISING DEMAND, FORECAST DEMAND, LH, MOTOR_RPM, INTERRUPTIONS, Load Hours Delivered, Voltage Unbal R Phase, Voltage Unbal Y Phase, Voltage Unbal B Phase, Current Unbal R Phase, Current Unbal Y Phase, Current Unbal B Phase, K factor Voltage R phase, K factor Voltage Y phase, K factor Voltage B phase, K factor Current R phase, K factor Current Y phase, 3rd harmonics Voltage B phase, 3rd harmonics Current R phase, 3rd harmonics Current Y phase, 3rd harmonics Current B phase, 5th harmonics Voltage R phase, 5th harmonics Voltage Y phase, 5th harmonics Voltage B phase, 5th harmonics Current Y phase, 5th harmonics Current B phase, 7th harmonics Voltage R phase, 7th harmonics Voltage Y phase, 7th harmonics Voltage B phase, 7th harmonics Current R phase, 7th harmonics Current Y phase, 7th harmonics Current B phase, 9th harmonics Voltage R phase, 9th harmonics Voltage Y phase, 9th harmonics Voltage B phase, 9th harmonics Current R phase, 9th harmonics Current Y phase, 9th harmonics Current B phase, 11th harmonics Voltage R phase, 11th harmonics Voltage Y phase, 11th harmonics Voltage B phase, 11th harmonics Current R phase, 11th harmonics Current Y phase, 11th harmonics Current B phase, 13th harmonics Voltage R phase, 13th harmonics Voltage Y phase, 13th harmonics Voltage B phase, 13th harmonics Current R phase, 13th harmonics Current Y phase, 13th harmonics Current B phase, 15th harmonics Voltage R phase, 15th harmonics Voltage Y phase, 15th harmonics Voltage B phase, 15th harmonics Current R phase, 15th harmonics Current Y phase, 15th harmonics Current B phase, 17th harmonics Voltage R phase, 17th harmonics Voltage Y phase, 17th harmonics Voltage B phase, 17th harmonics Current R phase, 17th harmonics Current Y phase, 17th harmonics Current B phase, 19th harmonics Voltage R phase, 19th harmonics Voltage Y phase, 19th harmonics Voltage B phase, 19th harmonics Current R phase, 19th harmonics Current Y phase, 19th harmonics Current B phase, 21st harmonics Voltage R phase, 21st harmonics Voltage Y phase, 21st harmonics Voltage B phase, 21st harmonics Current R phase, 21st harmonics Current Y phase, 21st harmonics Current B phase, 23rd harmonics Voltage R phase, 23rd harmonics Voltage Y phase, 23rd harmonics Voltage B phase, 23rd harmonics Current R phase, 23rd harmonics Current Y phase, 23rd harmonics Current B phase, 25th harmonics Voltage R phase, 25th harmonics Voltage Y phase, 25th harmonics Voltage B phase, 25th harmonics Current R phase, 25th harmonics Current Y phase, 25th harmonics Current B phase, 27th harmonics Voltage R phase, 27th harmonics Voltage Y phase, 27th harmonics Voltage B phase, 27th harmonics Current R phase, 27th harmonics Current Y phase, 27th harmonics Current B phase, 29th harmonics Voltage R phase, 29th harmonics Voltage Y phase, 29th harmonics Voltage B phase, 29th harmonics Current R phase, 29th harmonics Current Y phase, 29th harmonics Current B phase, 31st harmonics Voltage R phase, 31st harmonics Voltage Y phase, 31st harmonics Voltage B phase, 31st harmonics Current R phase, 31st harmonics Current B phase, kW sum</t>
  </si>
  <si>
    <t>O-G 3(500KVA) New UPS L5 - L6</t>
  </si>
  <si>
    <t>862952026923077#2</t>
  </si>
  <si>
    <t>Fire Hydrant Line Pressure(U2)</t>
  </si>
  <si>
    <t>A146</t>
  </si>
  <si>
    <t>862360074039640#5</t>
  </si>
  <si>
    <t>Temperature, Flow Rate(m3/hr), Pressure(Bar)</t>
  </si>
  <si>
    <t>MV-1 EB Incomer</t>
  </si>
  <si>
    <t>862952027079192#1</t>
  </si>
  <si>
    <t>869244049082625#1</t>
  </si>
  <si>
    <t>869244049082625#2</t>
  </si>
  <si>
    <t>MV - 1 Essential Panel</t>
  </si>
  <si>
    <t>862952027079192#5</t>
  </si>
  <si>
    <t>FAD - Cell line</t>
  </si>
  <si>
    <t>862952027093516#2</t>
  </si>
  <si>
    <t>AC Storage in CDA Building - Temperature</t>
  </si>
  <si>
    <t>A61</t>
  </si>
  <si>
    <t>862952027093516#L2</t>
  </si>
  <si>
    <t>FREQUENCY, Temperature, FLOW RATE., PRESSURE (kg/cm2), Water Flow, Humidity, PH Value, Screw Speed, Line Speed, Flow Rate(m3/hr), Up Running Status, Down Running Status, Energy Output, Vibration, Level, Vaccum Pressure, Pressure (bar), PH, Recycle Flow, Pressure(Pascal), Upper Tank Level (%), SUMP Level (%), Flow Rate(Gallon/min), Level (m), Tap Position</t>
  </si>
  <si>
    <t>MV - 1 DG Incomer</t>
  </si>
  <si>
    <t>862952027079192#9</t>
  </si>
  <si>
    <t>Tool Inlet For Cell Plant</t>
  </si>
  <si>
    <t>868728038960214#3</t>
  </si>
  <si>
    <t>Tool Return</t>
  </si>
  <si>
    <t>868728038960214#1</t>
  </si>
  <si>
    <t>UPW RO Backwash Reject Inlet for ETP</t>
  </si>
  <si>
    <t>869668023211828#1</t>
  </si>
  <si>
    <t>MV - 1 Module Rework</t>
  </si>
  <si>
    <t>862952027079192#2</t>
  </si>
  <si>
    <t>MV - 1 SSB 4</t>
  </si>
  <si>
    <t>862952027079192#6</t>
  </si>
  <si>
    <t>MV - 2. 11KV to 2000KVA TF</t>
  </si>
  <si>
    <t>862952027220994#2</t>
  </si>
  <si>
    <t>MV - 1. 11KV to 2000KVA TF</t>
  </si>
  <si>
    <t>862952027220994#1</t>
  </si>
  <si>
    <t>New 11kv Panel IC</t>
  </si>
  <si>
    <t>862952027220994#3</t>
  </si>
  <si>
    <t>230kW Solar kit (Chiller Area 3to6)</t>
  </si>
  <si>
    <t>868728038960214#6</t>
  </si>
  <si>
    <t>180kw Solar (Hexa AHU Area)</t>
  </si>
  <si>
    <t>868728038960214#5</t>
  </si>
  <si>
    <t>DG - 4 (1025) KVA</t>
  </si>
  <si>
    <t>M169</t>
  </si>
  <si>
    <t>862952027079655#2</t>
  </si>
  <si>
    <t>kWh, kW, VOLTAGE (LN), CURRENT, FREQUENCY, Power Factor, KVAR, KVA, KVA (R PHASE), KVA (Y PHASE), KVA (B PHASE), VOLTAGE (LL), VOLTAGE (LL RY Phase), VOLTAGE (LL YB Phase), VOLTAGE (LL BR Phase), VOLTAGE (LN R Phase), VOLTAGE (LN Y PHASE), VOLTAGE (LN B PHASE), CURRENT (R PHASE), CURRENT (Y PHASE), CURRENT (B PHASE), KVAh, KVARh (INDUCTIVE RECEIVED), KVARh (CAPACITIVE RECEIVED), KW (R PHASE), KW (Y PHASE), KW (B PHASE), KVAR (R PHASE), KVAR (Y PHASE), KVAR (B PHASE), KWh (DELIVERED), KVAh (DELIVERED), KVARh (INDUCTIVE DELIVERED), KVARh (CAPACITIVE DELIVERED), POWER FACTOR (R PHASE), POWER FACTOR (Y PHASE), POWER FACTOR (B PHASE), PRESENT DEMAND, PEAK DEMAND kW</t>
  </si>
  <si>
    <t>862952027010924#2</t>
  </si>
  <si>
    <t>Module CDA</t>
  </si>
  <si>
    <t>862952027076321#8</t>
  </si>
  <si>
    <t>11KV DG, Cummins-7</t>
  </si>
  <si>
    <t>862360079653528#9</t>
  </si>
  <si>
    <t>Outgoing (250 MV MARS Line) SSB-1</t>
  </si>
  <si>
    <t>868404044680952#1</t>
  </si>
  <si>
    <t>Printer (HEXA Line)</t>
  </si>
  <si>
    <t>862360074015061#1</t>
  </si>
  <si>
    <t>PECVD (HEXA Line)</t>
  </si>
  <si>
    <t>862360074015061#2</t>
  </si>
  <si>
    <t>Vega Post Lamp Framing</t>
  </si>
  <si>
    <t>868404044681497#4</t>
  </si>
  <si>
    <t>JINCHEN LAMINATOR 2</t>
  </si>
  <si>
    <t>862952027123123#1</t>
  </si>
  <si>
    <t>Prdn EVA Storage - RH+T</t>
  </si>
  <si>
    <t>M687</t>
  </si>
  <si>
    <t>862360079659400#7</t>
  </si>
  <si>
    <t>Temperature, Humidity</t>
  </si>
  <si>
    <t>Module UPS3</t>
  </si>
  <si>
    <t>862952027076446#3</t>
  </si>
  <si>
    <t>Module UPS1</t>
  </si>
  <si>
    <t>862952027076446#1</t>
  </si>
  <si>
    <t>MV - 1 SSB 3</t>
  </si>
  <si>
    <t>862952027079192#7</t>
  </si>
  <si>
    <t>MV - 1 SMSB</t>
  </si>
  <si>
    <t>862952027079192#8</t>
  </si>
  <si>
    <t>MV - 1 SSB 5</t>
  </si>
  <si>
    <t>862952027079192#4</t>
  </si>
  <si>
    <t>MV - 1 SSB 6</t>
  </si>
  <si>
    <t>862952027079192#3</t>
  </si>
  <si>
    <t>DG - 3 (1025) KVA</t>
  </si>
  <si>
    <t>862952027079655#3</t>
  </si>
  <si>
    <t>DG - 1 (825) KVA</t>
  </si>
  <si>
    <t>862952027079655#1</t>
  </si>
  <si>
    <t>Chiller - 5</t>
  </si>
  <si>
    <t>862952027076321#7</t>
  </si>
  <si>
    <t>HVAC Low Side</t>
  </si>
  <si>
    <t>862952027076321#6</t>
  </si>
  <si>
    <t>CDA - 4</t>
  </si>
  <si>
    <t>862952027076321#5</t>
  </si>
  <si>
    <t>60KW Solar ( Above ATS)</t>
  </si>
  <si>
    <t>862952027076321#4</t>
  </si>
  <si>
    <t>Fire Pump</t>
  </si>
  <si>
    <t>862952027076321#3</t>
  </si>
  <si>
    <t>Chiller - 2</t>
  </si>
  <si>
    <t>862360079646746#7</t>
  </si>
  <si>
    <t>CDA - 2</t>
  </si>
  <si>
    <t>862360079646746#2</t>
  </si>
  <si>
    <t>11KV DG, MTU-5</t>
  </si>
  <si>
    <t>862360079653528#7</t>
  </si>
  <si>
    <t>Transformer - 4. OG Breaker</t>
  </si>
  <si>
    <t>862360079653528#4</t>
  </si>
  <si>
    <t>Transformer - 3. OG Breaker</t>
  </si>
  <si>
    <t>862360079653528#3</t>
  </si>
  <si>
    <t>Transformer - 1. OG Breaker</t>
  </si>
  <si>
    <t>862360079653528#1</t>
  </si>
  <si>
    <t>11KV Module &amp; Cell O-G Breaker</t>
  </si>
  <si>
    <t>862360074039640#3</t>
  </si>
  <si>
    <t>Hexa UPS 1</t>
  </si>
  <si>
    <t>865904022200908#1</t>
  </si>
  <si>
    <t>CDA Building</t>
  </si>
  <si>
    <t>862952027212009#1</t>
  </si>
  <si>
    <t>Outgoing To HEXA CELL Line SMSB-1</t>
  </si>
  <si>
    <t>868404044680952#3</t>
  </si>
  <si>
    <t>ETP-2(Wipro)</t>
  </si>
  <si>
    <t>868404044680952#2</t>
  </si>
  <si>
    <t>Vega ATW Pre&amp;post lam Control panel</t>
  </si>
  <si>
    <t>868404044681497#7</t>
  </si>
  <si>
    <t>STP Input</t>
  </si>
  <si>
    <t>862952027174837#4</t>
  </si>
  <si>
    <t>STP Output</t>
  </si>
  <si>
    <t>862952027174837#3</t>
  </si>
  <si>
    <t>SLV Water Supply</t>
  </si>
  <si>
    <t>862952027174837#1</t>
  </si>
  <si>
    <t>Softner Output</t>
  </si>
  <si>
    <t>862952027174837#2</t>
  </si>
  <si>
    <t>MMF &amp; ACF Back Wash Water Flow Meter</t>
  </si>
  <si>
    <t>M651</t>
  </si>
  <si>
    <t>862952027124923#3</t>
  </si>
  <si>
    <t>ETP MMF Feed</t>
  </si>
  <si>
    <t>862952027124923#4</t>
  </si>
  <si>
    <t>Vega Buffer Near</t>
  </si>
  <si>
    <t>868404044681497#1</t>
  </si>
  <si>
    <t>Vega Testing</t>
  </si>
  <si>
    <t>868404044681497#2</t>
  </si>
  <si>
    <t>Vega Pre Lamp Area ATW(Near)</t>
  </si>
  <si>
    <t>868404044681497#5</t>
  </si>
  <si>
    <t>EVA Storage - RH+T</t>
  </si>
  <si>
    <t>862360079659400#8</t>
  </si>
  <si>
    <t>Solar Near Gate-1 Pathway Staircase</t>
  </si>
  <si>
    <t>868440031506776#1</t>
  </si>
  <si>
    <t>Hexa UPS 3</t>
  </si>
  <si>
    <t>862952027220101#2</t>
  </si>
  <si>
    <t>Solar Near STP</t>
  </si>
  <si>
    <t>862952027174837#5</t>
  </si>
  <si>
    <t>MV -1 3X200 KVA UPS</t>
  </si>
  <si>
    <t>868728038935125#1</t>
  </si>
  <si>
    <t>Server Room</t>
  </si>
  <si>
    <t>M319</t>
  </si>
  <si>
    <t>862360079659400#1</t>
  </si>
  <si>
    <t>FAD - Modula line</t>
  </si>
  <si>
    <t>M466</t>
  </si>
  <si>
    <t>862952027093516#1</t>
  </si>
  <si>
    <t>Totaliser(Kg), Flow Rate(Kg/hr)</t>
  </si>
  <si>
    <t>-</t>
  </si>
  <si>
    <t>Unit 1 EB Incomer06:00 to 10:00</t>
  </si>
  <si>
    <t>Unit 1 EB Incomer10:00 to 18:00</t>
  </si>
  <si>
    <t>Unit 1 EB Incomer18:00 to 22:00</t>
  </si>
  <si>
    <t>Unit 1 EB Incomer22:00 to 06:00</t>
  </si>
  <si>
    <t>462350.25</t>
  </si>
  <si>
    <t>462350.291666666666667</t>
  </si>
  <si>
    <t>462350.333333333333333</t>
  </si>
  <si>
    <t>462350.375</t>
  </si>
  <si>
    <t>462350.416666666666667</t>
  </si>
  <si>
    <t>462350.458333333333333</t>
  </si>
  <si>
    <t>462350.5</t>
  </si>
  <si>
    <t>462350.541666666666667</t>
  </si>
  <si>
    <t>462350.583333333333333</t>
  </si>
  <si>
    <t>462350.625</t>
  </si>
  <si>
    <t>462350.666666666666667</t>
  </si>
  <si>
    <t>462350.708333333333333</t>
  </si>
  <si>
    <t>462350.75</t>
  </si>
  <si>
    <t>462350.791666666666667</t>
  </si>
  <si>
    <t>462350.833333333333333</t>
  </si>
  <si>
    <t>462350.875</t>
  </si>
  <si>
    <t>462350.916666666666667</t>
  </si>
  <si>
    <t>462350.958333333333333</t>
  </si>
  <si>
    <t>462350</t>
  </si>
  <si>
    <t>462350.0416666666666667</t>
  </si>
  <si>
    <t>462350.0833333333333333</t>
  </si>
  <si>
    <t>462350.125</t>
  </si>
  <si>
    <t>462350.166666666666667</t>
  </si>
  <si>
    <t>462350.208333333333333</t>
  </si>
  <si>
    <t>462360.25</t>
  </si>
  <si>
    <t>462360.291666666666667</t>
  </si>
  <si>
    <t>462360.333333333333333</t>
  </si>
  <si>
    <t>462360.375</t>
  </si>
  <si>
    <t>462360.416666666666667</t>
  </si>
  <si>
    <t>462360.458333333333333</t>
  </si>
  <si>
    <t>462360.5</t>
  </si>
  <si>
    <t>462360.541666666666667</t>
  </si>
  <si>
    <t>462360.583333333333333</t>
  </si>
  <si>
    <t>462360.625</t>
  </si>
  <si>
    <t>462360.666666666666667</t>
  </si>
  <si>
    <t>462360.708333333333333</t>
  </si>
  <si>
    <t>462360.75</t>
  </si>
  <si>
    <t>462360.791666666666667</t>
  </si>
  <si>
    <t>462360.833333333333333</t>
  </si>
  <si>
    <t>462360.875</t>
  </si>
  <si>
    <t>462360.916666666666667</t>
  </si>
  <si>
    <t>462360.958333333333333</t>
  </si>
  <si>
    <t>462360</t>
  </si>
  <si>
    <t>462360.0416666666666667</t>
  </si>
  <si>
    <t>462360.0833333333333333</t>
  </si>
  <si>
    <t>462360.125</t>
  </si>
  <si>
    <t>462360.166666666666667</t>
  </si>
  <si>
    <t>462360.208333333333333</t>
  </si>
  <si>
    <t>462370.25</t>
  </si>
  <si>
    <t>462370.291666666666667</t>
  </si>
  <si>
    <t>462370.333333333333333</t>
  </si>
  <si>
    <t>462370.375</t>
  </si>
  <si>
    <t>462370.416666666666667</t>
  </si>
  <si>
    <t>462370.458333333333333</t>
  </si>
  <si>
    <t>462370.5</t>
  </si>
  <si>
    <t>462370.541666666666667</t>
  </si>
  <si>
    <t>462370.583333333333333</t>
  </si>
  <si>
    <t>462370.625</t>
  </si>
  <si>
    <t>462370.666666666666667</t>
  </si>
  <si>
    <t>462370.708333333333333</t>
  </si>
  <si>
    <t>462370.75</t>
  </si>
  <si>
    <t>462370.791666666666667</t>
  </si>
  <si>
    <t>462370.833333333333333</t>
  </si>
  <si>
    <t>462370.875</t>
  </si>
  <si>
    <t>462370.916666666666667</t>
  </si>
  <si>
    <t>462370.958333333333333</t>
  </si>
  <si>
    <t>462370</t>
  </si>
  <si>
    <t>462370.0416666666666667</t>
  </si>
  <si>
    <t>462370.0833333333333333</t>
  </si>
  <si>
    <t>462370.125</t>
  </si>
  <si>
    <t>462370.166666666666667</t>
  </si>
  <si>
    <t>462370.208333333333333</t>
  </si>
  <si>
    <t>462380.25</t>
  </si>
  <si>
    <t>462380.291666666666667</t>
  </si>
  <si>
    <t>462380.333333333333333</t>
  </si>
  <si>
    <t>462380.375</t>
  </si>
  <si>
    <t>462380.416666666666667</t>
  </si>
  <si>
    <t>462380.458333333333333</t>
  </si>
  <si>
    <t>462380.5</t>
  </si>
  <si>
    <t>462380.541666666666667</t>
  </si>
  <si>
    <t>462380.583333333333333</t>
  </si>
  <si>
    <t>462380.625</t>
  </si>
  <si>
    <t>462380.666666666666667</t>
  </si>
  <si>
    <t>462380.708333333333333</t>
  </si>
  <si>
    <t>462380.75</t>
  </si>
  <si>
    <t>462380.791666666666667</t>
  </si>
  <si>
    <t>462380.833333333333333</t>
  </si>
  <si>
    <t>462380.875</t>
  </si>
  <si>
    <t>462380.916666666666667</t>
  </si>
  <si>
    <t>462380.958333333333333</t>
  </si>
  <si>
    <t>462380</t>
  </si>
  <si>
    <t>462380.0416666666666667</t>
  </si>
  <si>
    <t>462380.0833333333333333</t>
  </si>
  <si>
    <t>462380.125</t>
  </si>
  <si>
    <t>462380.166666666666667</t>
  </si>
  <si>
    <t>462380.208333333333333</t>
  </si>
  <si>
    <t>462390.25</t>
  </si>
  <si>
    <t>462390.291666666666667</t>
  </si>
  <si>
    <t>462390.333333333333333</t>
  </si>
  <si>
    <t>462390.375</t>
  </si>
  <si>
    <t>462390.416666666666667</t>
  </si>
  <si>
    <t>462390.458333333333333</t>
  </si>
  <si>
    <t>462390.5</t>
  </si>
  <si>
    <t>462390.541666666666667</t>
  </si>
  <si>
    <t>462390.583333333333333</t>
  </si>
  <si>
    <t>462390.625</t>
  </si>
  <si>
    <t>462390.666666666666667</t>
  </si>
  <si>
    <t>462390.708333333333333</t>
  </si>
  <si>
    <t>462390.75</t>
  </si>
  <si>
    <t>462390.791666666666667</t>
  </si>
  <si>
    <t>462390.833333333333333</t>
  </si>
  <si>
    <t>462390.875</t>
  </si>
  <si>
    <t>462390.916666666666667</t>
  </si>
  <si>
    <t>462390.958333333333333</t>
  </si>
  <si>
    <t>462390</t>
  </si>
  <si>
    <t>462390.0416666666666667</t>
  </si>
  <si>
    <t>462390.0833333333333333</t>
  </si>
  <si>
    <t>462390.125</t>
  </si>
  <si>
    <t>462390.166666666666667</t>
  </si>
  <si>
    <t>462390.208333333333333</t>
  </si>
  <si>
    <t>462400.25</t>
  </si>
  <si>
    <t>462400.291666666666667</t>
  </si>
  <si>
    <t>462400.333333333333333</t>
  </si>
  <si>
    <t>462400.375</t>
  </si>
  <si>
    <t>462400.416666666666667</t>
  </si>
  <si>
    <t>462400.458333333333333</t>
  </si>
  <si>
    <t>462400.5</t>
  </si>
  <si>
    <t>462400.541666666666667</t>
  </si>
  <si>
    <t>462400.583333333333333</t>
  </si>
  <si>
    <t>462400.625</t>
  </si>
  <si>
    <t>462400.666666666666667</t>
  </si>
  <si>
    <t>462400.708333333333333</t>
  </si>
  <si>
    <t>462400.75</t>
  </si>
  <si>
    <t>462400.791666666666667</t>
  </si>
  <si>
    <t>462400.833333333333333</t>
  </si>
  <si>
    <t>462400.875</t>
  </si>
  <si>
    <t>462400.916666666666667</t>
  </si>
  <si>
    <t>462400.958333333333333</t>
  </si>
  <si>
    <t>462400</t>
  </si>
  <si>
    <t>462400.0416666666666667</t>
  </si>
  <si>
    <t>462400.0833333333333333</t>
  </si>
  <si>
    <t>462400.125</t>
  </si>
  <si>
    <t>462400.166666666666667</t>
  </si>
  <si>
    <t>462400.208333333333333</t>
  </si>
  <si>
    <t>462410.25</t>
  </si>
  <si>
    <t>462410.291666666666667</t>
  </si>
  <si>
    <t>462410.333333333333333</t>
  </si>
  <si>
    <t>462410.375</t>
  </si>
  <si>
    <t>462410.416666666666667</t>
  </si>
  <si>
    <t>462410.458333333333333</t>
  </si>
  <si>
    <t>462410.5</t>
  </si>
  <si>
    <t>462410.541666666666667</t>
  </si>
  <si>
    <t>462410.583333333333333</t>
  </si>
  <si>
    <t>462410.625</t>
  </si>
  <si>
    <t>462410.666666666666667</t>
  </si>
  <si>
    <t>462410.708333333333333</t>
  </si>
  <si>
    <t>462410.75</t>
  </si>
  <si>
    <t>462410.791666666666667</t>
  </si>
  <si>
    <t>462410.833333333333333</t>
  </si>
  <si>
    <t>462410.875</t>
  </si>
  <si>
    <t>462410.916666666666667</t>
  </si>
  <si>
    <t>462410.958333333333333</t>
  </si>
  <si>
    <t>462410</t>
  </si>
  <si>
    <t>462410.0416666666666667</t>
  </si>
  <si>
    <t>462410.0833333333333333</t>
  </si>
  <si>
    <t>462410.125</t>
  </si>
  <si>
    <t>462410.166666666666667</t>
  </si>
  <si>
    <t>462410.208333333333333</t>
  </si>
  <si>
    <t>462420.25</t>
  </si>
  <si>
    <t>462420.291666666666667</t>
  </si>
  <si>
    <t>462420.333333333333333</t>
  </si>
  <si>
    <t>462420.375</t>
  </si>
  <si>
    <t>462420.416666666666667</t>
  </si>
  <si>
    <t>462420.458333333333333</t>
  </si>
  <si>
    <t>462420.5</t>
  </si>
  <si>
    <t>462420.541666666666667</t>
  </si>
  <si>
    <t>462420.583333333333333</t>
  </si>
  <si>
    <t>462420.625</t>
  </si>
  <si>
    <t>462420.666666666666667</t>
  </si>
  <si>
    <t>462420.708333333333333</t>
  </si>
  <si>
    <t>462420.75</t>
  </si>
  <si>
    <t>462420.791666666666667</t>
  </si>
  <si>
    <t>462420.833333333333333</t>
  </si>
  <si>
    <t>462420.875</t>
  </si>
  <si>
    <t>462420.916666666666667</t>
  </si>
  <si>
    <t>462420.958333333333333</t>
  </si>
  <si>
    <t>462420</t>
  </si>
  <si>
    <t>462420.0416666666666667</t>
  </si>
  <si>
    <t>462420.0833333333333333</t>
  </si>
  <si>
    <t>462420.125</t>
  </si>
  <si>
    <t>462420.166666666666667</t>
  </si>
  <si>
    <t>462420.208333333333333</t>
  </si>
  <si>
    <t>462430.25</t>
  </si>
  <si>
    <t>462430.291666666666667</t>
  </si>
  <si>
    <t>462430.333333333333333</t>
  </si>
  <si>
    <t>462430.375</t>
  </si>
  <si>
    <t>462430.416666666666667</t>
  </si>
  <si>
    <t>462430.458333333333333</t>
  </si>
  <si>
    <t>462430.5</t>
  </si>
  <si>
    <t>462430.541666666666667</t>
  </si>
  <si>
    <t>462430.583333333333333</t>
  </si>
  <si>
    <t>462430.625</t>
  </si>
  <si>
    <t>462430.666666666666667</t>
  </si>
  <si>
    <t>462430.708333333333333</t>
  </si>
  <si>
    <t>462430.75</t>
  </si>
  <si>
    <t>462430.791666666666667</t>
  </si>
  <si>
    <t>462430.833333333333333</t>
  </si>
  <si>
    <t>462430.875</t>
  </si>
  <si>
    <t>462430.916666666666667</t>
  </si>
  <si>
    <t>462430.958333333333333</t>
  </si>
  <si>
    <t>462430</t>
  </si>
  <si>
    <t>462430.0416666666666667</t>
  </si>
  <si>
    <t>462430.0833333333333333</t>
  </si>
  <si>
    <t>462430.125</t>
  </si>
  <si>
    <t>462430.166666666666667</t>
  </si>
  <si>
    <t>462430.208333333333333</t>
  </si>
  <si>
    <t>462440.25</t>
  </si>
  <si>
    <t>462440.291666666666667</t>
  </si>
  <si>
    <t>462440.333333333333333</t>
  </si>
  <si>
    <t>462440.375</t>
  </si>
  <si>
    <t>462440.416666666666667</t>
  </si>
  <si>
    <t>462440.458333333333333</t>
  </si>
  <si>
    <t>462440.5</t>
  </si>
  <si>
    <t>462440.541666666666667</t>
  </si>
  <si>
    <t>462440.583333333333333</t>
  </si>
  <si>
    <t>462440.625</t>
  </si>
  <si>
    <t>462440.666666666666667</t>
  </si>
  <si>
    <t>462440.708333333333333</t>
  </si>
  <si>
    <t>462440.75</t>
  </si>
  <si>
    <t>462440.791666666666667</t>
  </si>
  <si>
    <t>462440.833333333333333</t>
  </si>
  <si>
    <t>462440.875</t>
  </si>
  <si>
    <t>462440.916666666666667</t>
  </si>
  <si>
    <t>462440.958333333333333</t>
  </si>
  <si>
    <t>462440</t>
  </si>
  <si>
    <t>462440.0416666666666667</t>
  </si>
  <si>
    <t>462440.0833333333333333</t>
  </si>
  <si>
    <t>462440.125</t>
  </si>
  <si>
    <t>462440.166666666666667</t>
  </si>
  <si>
    <t>462440.208333333333333</t>
  </si>
  <si>
    <t>462450.25</t>
  </si>
  <si>
    <t>462450.291666666666667</t>
  </si>
  <si>
    <t>462450.333333333333333</t>
  </si>
  <si>
    <t>462450.375</t>
  </si>
  <si>
    <t>462450.416666666666667</t>
  </si>
  <si>
    <t>462450.458333333333333</t>
  </si>
  <si>
    <t>462450.5</t>
  </si>
  <si>
    <t>462450.541666666666667</t>
  </si>
  <si>
    <t>462450.583333333333333</t>
  </si>
  <si>
    <t>462450.625</t>
  </si>
  <si>
    <t>462450.666666666666667</t>
  </si>
  <si>
    <t>462450.708333333333333</t>
  </si>
  <si>
    <t>462450.75</t>
  </si>
  <si>
    <t>462450.791666666666667</t>
  </si>
  <si>
    <t>462450.833333333333333</t>
  </si>
  <si>
    <t>462450.875</t>
  </si>
  <si>
    <t>462450.916666666666667</t>
  </si>
  <si>
    <t>462450.958333333333333</t>
  </si>
  <si>
    <t>462450</t>
  </si>
  <si>
    <t>462450.0416666666666667</t>
  </si>
  <si>
    <t>462450.0833333333333333</t>
  </si>
  <si>
    <t>462450.125</t>
  </si>
  <si>
    <t>462450.166666666666667</t>
  </si>
  <si>
    <t>462450.208333333333333</t>
  </si>
  <si>
    <t>462460.25</t>
  </si>
  <si>
    <t>462460.291666666666667</t>
  </si>
  <si>
    <t>462460.333333333333333</t>
  </si>
  <si>
    <t>462460.375</t>
  </si>
  <si>
    <t>462460.416666666666667</t>
  </si>
  <si>
    <t>462460.458333333333333</t>
  </si>
  <si>
    <t>462460.5</t>
  </si>
  <si>
    <t>462460.541666666666667</t>
  </si>
  <si>
    <t>462460.583333333333333</t>
  </si>
  <si>
    <t>462460.625</t>
  </si>
  <si>
    <t>462460.666666666666667</t>
  </si>
  <si>
    <t>462460.708333333333333</t>
  </si>
  <si>
    <t>462460.75</t>
  </si>
  <si>
    <t>462460.791666666666667</t>
  </si>
  <si>
    <t>462460.833333333333333</t>
  </si>
  <si>
    <t>462460.875</t>
  </si>
  <si>
    <t>462460.916666666666667</t>
  </si>
  <si>
    <t>462460.958333333333333</t>
  </si>
  <si>
    <t>462460</t>
  </si>
  <si>
    <t>462460.0416666666666667</t>
  </si>
  <si>
    <t>462460.0833333333333333</t>
  </si>
  <si>
    <t>462460.125</t>
  </si>
  <si>
    <t>462460.166666666666667</t>
  </si>
  <si>
    <t>462460.208333333333333</t>
  </si>
  <si>
    <t>462470.25</t>
  </si>
  <si>
    <t>462470.291666666666667</t>
  </si>
  <si>
    <t>462470.333333333333333</t>
  </si>
  <si>
    <t>462470.375</t>
  </si>
  <si>
    <t>462470.416666666666667</t>
  </si>
  <si>
    <t>462470.458333333333333</t>
  </si>
  <si>
    <t>462470.5</t>
  </si>
  <si>
    <t>462470.541666666666667</t>
  </si>
  <si>
    <t>462470.583333333333333</t>
  </si>
  <si>
    <t>462470.625</t>
  </si>
  <si>
    <t>462470.666666666666667</t>
  </si>
  <si>
    <t>462470.708333333333333</t>
  </si>
  <si>
    <t>462470.75</t>
  </si>
  <si>
    <t>462470.791666666666667</t>
  </si>
  <si>
    <t>462470.833333333333333</t>
  </si>
  <si>
    <t>462470.875</t>
  </si>
  <si>
    <t>462470.916666666666667</t>
  </si>
  <si>
    <t>462470.958333333333333</t>
  </si>
  <si>
    <t>462470</t>
  </si>
  <si>
    <t>462470.0416666666666667</t>
  </si>
  <si>
    <t>462470.0833333333333333</t>
  </si>
  <si>
    <t>462470.125</t>
  </si>
  <si>
    <t>462470.166666666666667</t>
  </si>
  <si>
    <t>462470.208333333333333</t>
  </si>
  <si>
    <t>462480.25</t>
  </si>
  <si>
    <t>462480.291666666666667</t>
  </si>
  <si>
    <t>462480.333333333333333</t>
  </si>
  <si>
    <t>462480.375</t>
  </si>
  <si>
    <t>462480.416666666666667</t>
  </si>
  <si>
    <t>462480.458333333333333</t>
  </si>
  <si>
    <t>462480.5</t>
  </si>
  <si>
    <t>462480.541666666666667</t>
  </si>
  <si>
    <t>462480.583333333333333</t>
  </si>
  <si>
    <t>462480.625</t>
  </si>
  <si>
    <t>462480.666666666666667</t>
  </si>
  <si>
    <t>462480.708333333333333</t>
  </si>
  <si>
    <t>462480.75</t>
  </si>
  <si>
    <t>462480.791666666666667</t>
  </si>
  <si>
    <t>462480.833333333333333</t>
  </si>
  <si>
    <t>462480.875</t>
  </si>
  <si>
    <t>462480.916666666666667</t>
  </si>
  <si>
    <t>462480.958333333333333</t>
  </si>
  <si>
    <t>462480</t>
  </si>
  <si>
    <t>462480.0416666666666667</t>
  </si>
  <si>
    <t>462480.0833333333333333</t>
  </si>
  <si>
    <t>462480.125</t>
  </si>
  <si>
    <t>462480.166666666666667</t>
  </si>
  <si>
    <t>462480.208333333333333</t>
  </si>
  <si>
    <t>462490.25</t>
  </si>
  <si>
    <t>462490.291666666666667</t>
  </si>
  <si>
    <t>462490.333333333333333</t>
  </si>
  <si>
    <t>462490.375</t>
  </si>
  <si>
    <t>462490.416666666666667</t>
  </si>
  <si>
    <t>462490.458333333333333</t>
  </si>
  <si>
    <t>462490.5</t>
  </si>
  <si>
    <t>462490.541666666666667</t>
  </si>
  <si>
    <t>462490.583333333333333</t>
  </si>
  <si>
    <t>462490.625</t>
  </si>
  <si>
    <t>462490.666666666666667</t>
  </si>
  <si>
    <t>462490.708333333333333</t>
  </si>
  <si>
    <t>462490.75</t>
  </si>
  <si>
    <t>462490.791666666666667</t>
  </si>
  <si>
    <t>462490.833333333333333</t>
  </si>
  <si>
    <t>462490.875</t>
  </si>
  <si>
    <t>462490.916666666666667</t>
  </si>
  <si>
    <t>462490.958333333333333</t>
  </si>
  <si>
    <t>462490</t>
  </si>
  <si>
    <t>462490.0416666666666667</t>
  </si>
  <si>
    <t>462490.0833333333333333</t>
  </si>
  <si>
    <t>462490.125</t>
  </si>
  <si>
    <t>462490.166666666666667</t>
  </si>
  <si>
    <t>462490.208333333333333</t>
  </si>
  <si>
    <t>462500.25</t>
  </si>
  <si>
    <t>462500.291666666666667</t>
  </si>
  <si>
    <t>462500.333333333333333</t>
  </si>
  <si>
    <t>462500.375</t>
  </si>
  <si>
    <t>462500.416666666666667</t>
  </si>
  <si>
    <t>462500.458333333333333</t>
  </si>
  <si>
    <t>462500.5</t>
  </si>
  <si>
    <t>462500.541666666666667</t>
  </si>
  <si>
    <t>462500.583333333333333</t>
  </si>
  <si>
    <t>462500.625</t>
  </si>
  <si>
    <t>462500.666666666666667</t>
  </si>
  <si>
    <t>462500.708333333333333</t>
  </si>
  <si>
    <t>462500.75</t>
  </si>
  <si>
    <t>462500.791666666666667</t>
  </si>
  <si>
    <t>462500.833333333333333</t>
  </si>
  <si>
    <t>462500.875</t>
  </si>
  <si>
    <t>462500.916666666666667</t>
  </si>
  <si>
    <t>462500.958333333333333</t>
  </si>
  <si>
    <t>462500</t>
  </si>
  <si>
    <t>462500.0416666666666667</t>
  </si>
  <si>
    <t>462500.0833333333333333</t>
  </si>
  <si>
    <t>462500.125</t>
  </si>
  <si>
    <t>462500.166666666666667</t>
  </si>
  <si>
    <t>462500.208333333333333</t>
  </si>
  <si>
    <t>462510.25</t>
  </si>
  <si>
    <t>462510.291666666666667</t>
  </si>
  <si>
    <t>462510.333333333333333</t>
  </si>
  <si>
    <t>462510.375</t>
  </si>
  <si>
    <t>462510.416666666666667</t>
  </si>
  <si>
    <t>462510.458333333333333</t>
  </si>
  <si>
    <t>462510.5</t>
  </si>
  <si>
    <t>462510.541666666666667</t>
  </si>
  <si>
    <t>462510.583333333333333</t>
  </si>
  <si>
    <t>462510.625</t>
  </si>
  <si>
    <t>462510.666666666666667</t>
  </si>
  <si>
    <t>462510.708333333333333</t>
  </si>
  <si>
    <t>462510.75</t>
  </si>
  <si>
    <t>462510.791666666666667</t>
  </si>
  <si>
    <t>462510.833333333333333</t>
  </si>
  <si>
    <t>462510.875</t>
  </si>
  <si>
    <t>462510.916666666666667</t>
  </si>
  <si>
    <t>462510.958333333333333</t>
  </si>
  <si>
    <t>462510</t>
  </si>
  <si>
    <t>462510.0416666666666667</t>
  </si>
  <si>
    <t>462510.0833333333333333</t>
  </si>
  <si>
    <t>462510.125</t>
  </si>
  <si>
    <t>462510.166666666666667</t>
  </si>
  <si>
    <t>462510.208333333333333</t>
  </si>
  <si>
    <t>462520.25</t>
  </si>
  <si>
    <t>462520.291666666666667</t>
  </si>
  <si>
    <t>462520.333333333333333</t>
  </si>
  <si>
    <t>462520.375</t>
  </si>
  <si>
    <t>462520.416666666666667</t>
  </si>
  <si>
    <t>462520.458333333333333</t>
  </si>
  <si>
    <t>462520.5</t>
  </si>
  <si>
    <t>462520.541666666666667</t>
  </si>
  <si>
    <t>462520.583333333333333</t>
  </si>
  <si>
    <t>462520.625</t>
  </si>
  <si>
    <t>462520.666666666666667</t>
  </si>
  <si>
    <t>462520.708333333333333</t>
  </si>
  <si>
    <t>462520.75</t>
  </si>
  <si>
    <t>462520.791666666666667</t>
  </si>
  <si>
    <t>462520.833333333333333</t>
  </si>
  <si>
    <t>462520.875</t>
  </si>
  <si>
    <t>462520.916666666666667</t>
  </si>
  <si>
    <t>462520.958333333333333</t>
  </si>
  <si>
    <t>462520</t>
  </si>
  <si>
    <t>462520.0416666666666667</t>
  </si>
  <si>
    <t>462520.0833333333333333</t>
  </si>
  <si>
    <t>462520.125</t>
  </si>
  <si>
    <t>462520.166666666666667</t>
  </si>
  <si>
    <t>462520.208333333333333</t>
  </si>
  <si>
    <t>462530.25</t>
  </si>
  <si>
    <t>462530.291666666666667</t>
  </si>
  <si>
    <t>462530.333333333333333</t>
  </si>
  <si>
    <t>462530.375</t>
  </si>
  <si>
    <t>462530.416666666666667</t>
  </si>
  <si>
    <t>462530.458333333333333</t>
  </si>
  <si>
    <t>462530.5</t>
  </si>
  <si>
    <t>462530.541666666666667</t>
  </si>
  <si>
    <t>462530.583333333333333</t>
  </si>
  <si>
    <t>462530.625</t>
  </si>
  <si>
    <t>462530.666666666666667</t>
  </si>
  <si>
    <t>462530.708333333333333</t>
  </si>
  <si>
    <t>462530.75</t>
  </si>
  <si>
    <t>462530.791666666666667</t>
  </si>
  <si>
    <t>462530.833333333333333</t>
  </si>
  <si>
    <t>462530.875</t>
  </si>
  <si>
    <t>462530.916666666666667</t>
  </si>
  <si>
    <t>462530.958333333333333</t>
  </si>
  <si>
    <t>462530</t>
  </si>
  <si>
    <t>462530.0416666666666667</t>
  </si>
  <si>
    <t>462530.0833333333333333</t>
  </si>
  <si>
    <t>462530.125</t>
  </si>
  <si>
    <t>462530.166666666666667</t>
  </si>
  <si>
    <t>462530.208333333333333</t>
  </si>
  <si>
    <t>462540.25</t>
  </si>
  <si>
    <t>462540.291666666666667</t>
  </si>
  <si>
    <t>462540.333333333333333</t>
  </si>
  <si>
    <t>462540.375</t>
  </si>
  <si>
    <t>462540.416666666666667</t>
  </si>
  <si>
    <t>462540.458333333333333</t>
  </si>
  <si>
    <t>462540.5</t>
  </si>
  <si>
    <t>462540.541666666666667</t>
  </si>
  <si>
    <t>462540.583333333333333</t>
  </si>
  <si>
    <t>462540.625</t>
  </si>
  <si>
    <t>462540.666666666666667</t>
  </si>
  <si>
    <t>462540.708333333333333</t>
  </si>
  <si>
    <t>462540.75</t>
  </si>
  <si>
    <t>462540.791666666666667</t>
  </si>
  <si>
    <t>462540.833333333333333</t>
  </si>
  <si>
    <t>462540.875</t>
  </si>
  <si>
    <t>462540.916666666666667</t>
  </si>
  <si>
    <t>462540.958333333333333</t>
  </si>
  <si>
    <t>462540</t>
  </si>
  <si>
    <t>462540.0416666666666667</t>
  </si>
  <si>
    <t>462540.0833333333333333</t>
  </si>
  <si>
    <t>462540.125</t>
  </si>
  <si>
    <t>462540.166666666666667</t>
  </si>
  <si>
    <t>462540.208333333333333</t>
  </si>
  <si>
    <t>462550.25</t>
  </si>
  <si>
    <t>462550.291666666666667</t>
  </si>
  <si>
    <t>462550.333333333333333</t>
  </si>
  <si>
    <t>462550.375</t>
  </si>
  <si>
    <t>462550.416666666666667</t>
  </si>
  <si>
    <t>462550.458333333333333</t>
  </si>
  <si>
    <t>462550.5</t>
  </si>
  <si>
    <t>462550.541666666666667</t>
  </si>
  <si>
    <t>462550.583333333333333</t>
  </si>
  <si>
    <t>462550.625</t>
  </si>
  <si>
    <t>462550.666666666666667</t>
  </si>
  <si>
    <t>462550.708333333333333</t>
  </si>
  <si>
    <t>462550.75</t>
  </si>
  <si>
    <t>462550.791666666666667</t>
  </si>
  <si>
    <t>462550.833333333333333</t>
  </si>
  <si>
    <t>462550.875</t>
  </si>
  <si>
    <t>462550.916666666666667</t>
  </si>
  <si>
    <t>462550.958333333333333</t>
  </si>
  <si>
    <t>462550</t>
  </si>
  <si>
    <t>462550.0416666666666667</t>
  </si>
  <si>
    <t>462550.0833333333333333</t>
  </si>
  <si>
    <t>462550.125</t>
  </si>
  <si>
    <t>462550.166666666666667</t>
  </si>
  <si>
    <t>462550.208333333333333</t>
  </si>
  <si>
    <t>462560.25</t>
  </si>
  <si>
    <t>462560.291666666666667</t>
  </si>
  <si>
    <t>462560.333333333333333</t>
  </si>
  <si>
    <t>462560.375</t>
  </si>
  <si>
    <t>462560.416666666666667</t>
  </si>
  <si>
    <t>462560.458333333333333</t>
  </si>
  <si>
    <t>462560.5</t>
  </si>
  <si>
    <t>462560.541666666666667</t>
  </si>
  <si>
    <t>462560.583333333333333</t>
  </si>
  <si>
    <t>462560.625</t>
  </si>
  <si>
    <t>462560.666666666666667</t>
  </si>
  <si>
    <t>462560.708333333333333</t>
  </si>
  <si>
    <t>462560.75</t>
  </si>
  <si>
    <t>462560.791666666666667</t>
  </si>
  <si>
    <t>462560.833333333333333</t>
  </si>
  <si>
    <t>462560.875</t>
  </si>
  <si>
    <t>462560.916666666666667</t>
  </si>
  <si>
    <t>462560.958333333333333</t>
  </si>
  <si>
    <t>462560</t>
  </si>
  <si>
    <t>462560.0416666666666667</t>
  </si>
  <si>
    <t>462560.0833333333333333</t>
  </si>
  <si>
    <t>462560.125</t>
  </si>
  <si>
    <t>462560.166666666666667</t>
  </si>
  <si>
    <t>462560.208333333333333</t>
  </si>
  <si>
    <t>462570.25</t>
  </si>
  <si>
    <t>462570.291666666666667</t>
  </si>
  <si>
    <t>462570.333333333333333</t>
  </si>
  <si>
    <t>462570.375</t>
  </si>
  <si>
    <t>462570.416666666666667</t>
  </si>
  <si>
    <t>462570.458333333333333</t>
  </si>
  <si>
    <t>462570.5</t>
  </si>
  <si>
    <t>462570.541666666666667</t>
  </si>
  <si>
    <t>462570.583333333333333</t>
  </si>
  <si>
    <t>462570.625</t>
  </si>
  <si>
    <t>462570.666666666666667</t>
  </si>
  <si>
    <t>462570.708333333333333</t>
  </si>
  <si>
    <t>462570.75</t>
  </si>
  <si>
    <t>462570.791666666666667</t>
  </si>
  <si>
    <t>462570.833333333333333</t>
  </si>
  <si>
    <t>462570.875</t>
  </si>
  <si>
    <t>462570.916666666666667</t>
  </si>
  <si>
    <t>462570.958333333333333</t>
  </si>
  <si>
    <t>462570</t>
  </si>
  <si>
    <t>462570.0416666666666667</t>
  </si>
  <si>
    <t>462570.0833333333333333</t>
  </si>
  <si>
    <t>462570.125</t>
  </si>
  <si>
    <t>462570.166666666666667</t>
  </si>
  <si>
    <t>462570.208333333333333</t>
  </si>
  <si>
    <t>462580.25</t>
  </si>
  <si>
    <t>462580.291666666666667</t>
  </si>
  <si>
    <t>462580.333333333333333</t>
  </si>
  <si>
    <t>462580.375</t>
  </si>
  <si>
    <t>462580.416666666666667</t>
  </si>
  <si>
    <t>462580.458333333333333</t>
  </si>
  <si>
    <t>462580.5</t>
  </si>
  <si>
    <t>462580.541666666666667</t>
  </si>
  <si>
    <t>462580.583333333333333</t>
  </si>
  <si>
    <t>462580.625</t>
  </si>
  <si>
    <t>462580.666666666666667</t>
  </si>
  <si>
    <t>462580.708333333333333</t>
  </si>
  <si>
    <t>462580.75</t>
  </si>
  <si>
    <t>462580.791666666666667</t>
  </si>
  <si>
    <t>462580.833333333333333</t>
  </si>
  <si>
    <t>462580.875</t>
  </si>
  <si>
    <t>462580.916666666666667</t>
  </si>
  <si>
    <t>462580.958333333333333</t>
  </si>
  <si>
    <t>462580</t>
  </si>
  <si>
    <t>462580.0416666666666667</t>
  </si>
  <si>
    <t>462580.0833333333333333</t>
  </si>
  <si>
    <t>462580.125</t>
  </si>
  <si>
    <t>462580.166666666666667</t>
  </si>
  <si>
    <t>462580.208333333333333</t>
  </si>
  <si>
    <t>462590.25</t>
  </si>
  <si>
    <t>462590.291666666666667</t>
  </si>
  <si>
    <t>462590.333333333333333</t>
  </si>
  <si>
    <t>462590.375</t>
  </si>
  <si>
    <t>462590.416666666666667</t>
  </si>
  <si>
    <t>462590.458333333333333</t>
  </si>
  <si>
    <t>462590.5</t>
  </si>
  <si>
    <t>462590.541666666666667</t>
  </si>
  <si>
    <t>462590.583333333333333</t>
  </si>
  <si>
    <t>462590.625</t>
  </si>
  <si>
    <t>462590.666666666666667</t>
  </si>
  <si>
    <t>462590.708333333333333</t>
  </si>
  <si>
    <t>462590.75</t>
  </si>
  <si>
    <t>462590.791666666666667</t>
  </si>
  <si>
    <t>462590.833333333333333</t>
  </si>
  <si>
    <t>462590.875</t>
  </si>
  <si>
    <t>462590.916666666666667</t>
  </si>
  <si>
    <t>462590.958333333333333</t>
  </si>
  <si>
    <t>462590</t>
  </si>
  <si>
    <t>462590.0416666666666667</t>
  </si>
  <si>
    <t>462590.0833333333333333</t>
  </si>
  <si>
    <t>462590.125</t>
  </si>
  <si>
    <t>462590.166666666666667</t>
  </si>
  <si>
    <t>462590.208333333333333</t>
  </si>
  <si>
    <t>462600.25</t>
  </si>
  <si>
    <t>462600.291666666666667</t>
  </si>
  <si>
    <t>462600.333333333333333</t>
  </si>
  <si>
    <t>462600.375</t>
  </si>
  <si>
    <t>462600.416666666666667</t>
  </si>
  <si>
    <t>462600.458333333333333</t>
  </si>
  <si>
    <t>462600.5</t>
  </si>
  <si>
    <t>462600.541666666666667</t>
  </si>
  <si>
    <t>462600.583333333333333</t>
  </si>
  <si>
    <t>462600.625</t>
  </si>
  <si>
    <t>462600.666666666666667</t>
  </si>
  <si>
    <t>462600.708333333333333</t>
  </si>
  <si>
    <t>462600.75</t>
  </si>
  <si>
    <t>462600.791666666666667</t>
  </si>
  <si>
    <t>462600.833333333333333</t>
  </si>
  <si>
    <t>462600.875</t>
  </si>
  <si>
    <t>462600.916666666666667</t>
  </si>
  <si>
    <t>462600.958333333333333</t>
  </si>
  <si>
    <t>462600</t>
  </si>
  <si>
    <t>462600.0416666666666667</t>
  </si>
  <si>
    <t>462600.0833333333333333</t>
  </si>
  <si>
    <t>462600.125</t>
  </si>
  <si>
    <t>462600.166666666666667</t>
  </si>
  <si>
    <t>462600.208333333333333</t>
  </si>
  <si>
    <t>462610.25</t>
  </si>
  <si>
    <t>462610.291666666666667</t>
  </si>
  <si>
    <t>462610.333333333333333</t>
  </si>
  <si>
    <t>462610.375</t>
  </si>
  <si>
    <t>462610.416666666666667</t>
  </si>
  <si>
    <t>462610.458333333333333</t>
  </si>
  <si>
    <t>462610.5</t>
  </si>
  <si>
    <t>462610.541666666666667</t>
  </si>
  <si>
    <t>462610.583333333333333</t>
  </si>
  <si>
    <t>462610.625</t>
  </si>
  <si>
    <t>462610.666666666666667</t>
  </si>
  <si>
    <t>462610.708333333333333</t>
  </si>
  <si>
    <t>462610.75</t>
  </si>
  <si>
    <t>462610.791666666666667</t>
  </si>
  <si>
    <t>462610.833333333333333</t>
  </si>
  <si>
    <t>462610.875</t>
  </si>
  <si>
    <t>462610.916666666666667</t>
  </si>
  <si>
    <t>462610.958333333333333</t>
  </si>
  <si>
    <t>462610</t>
  </si>
  <si>
    <t>462610.0416666666666667</t>
  </si>
  <si>
    <t>462610.0833333333333333</t>
  </si>
  <si>
    <t>462610.125</t>
  </si>
  <si>
    <t>462610.166666666666667</t>
  </si>
  <si>
    <t>462610.208333333333333</t>
  </si>
  <si>
    <t>462620.25</t>
  </si>
  <si>
    <t>462620.291666666666667</t>
  </si>
  <si>
    <t>462620.333333333333333</t>
  </si>
  <si>
    <t>462620.375</t>
  </si>
  <si>
    <t>462620.416666666666667</t>
  </si>
  <si>
    <t>462620.458333333333333</t>
  </si>
  <si>
    <t>462620.5</t>
  </si>
  <si>
    <t>462620.541666666666667</t>
  </si>
  <si>
    <t>462620.583333333333333</t>
  </si>
  <si>
    <t>462620.625</t>
  </si>
  <si>
    <t>462620.666666666666667</t>
  </si>
  <si>
    <t>462620.708333333333333</t>
  </si>
  <si>
    <t>462620.75</t>
  </si>
  <si>
    <t>462620.791666666666667</t>
  </si>
  <si>
    <t>462620.833333333333333</t>
  </si>
  <si>
    <t>462620.875</t>
  </si>
  <si>
    <t>462620.916666666666667</t>
  </si>
  <si>
    <t>462620.958333333333333</t>
  </si>
  <si>
    <t>462620</t>
  </si>
  <si>
    <t>462620.0416666666666667</t>
  </si>
  <si>
    <t>462620.0833333333333333</t>
  </si>
  <si>
    <t>462620.125</t>
  </si>
  <si>
    <t>462620.166666666666667</t>
  </si>
  <si>
    <t>462620.208333333333333</t>
  </si>
  <si>
    <t>462630.25</t>
  </si>
  <si>
    <t>462630.291666666666667</t>
  </si>
  <si>
    <t>462630.333333333333333</t>
  </si>
  <si>
    <t>462630.375</t>
  </si>
  <si>
    <t>462630.416666666666667</t>
  </si>
  <si>
    <t>462630.458333333333333</t>
  </si>
  <si>
    <t>462630.5</t>
  </si>
  <si>
    <t>462630.541666666666667</t>
  </si>
  <si>
    <t>462630.583333333333333</t>
  </si>
  <si>
    <t>462630.625</t>
  </si>
  <si>
    <t>462630.666666666666667</t>
  </si>
  <si>
    <t>462630.708333333333333</t>
  </si>
  <si>
    <t>462630.75</t>
  </si>
  <si>
    <t>462630.791666666666667</t>
  </si>
  <si>
    <t>462630.833333333333333</t>
  </si>
  <si>
    <t>462630.875</t>
  </si>
  <si>
    <t>462630.916666666666667</t>
  </si>
  <si>
    <t>462630.958333333333333</t>
  </si>
  <si>
    <t>462630</t>
  </si>
  <si>
    <t>462630.0416666666666667</t>
  </si>
  <si>
    <t>462630.0833333333333333</t>
  </si>
  <si>
    <t>462630.125</t>
  </si>
  <si>
    <t>462630.166666666666667</t>
  </si>
  <si>
    <t>462630.208333333333333</t>
  </si>
  <si>
    <t>462640.25</t>
  </si>
  <si>
    <t>462640.291666666666667</t>
  </si>
  <si>
    <t>462640.333333333333333</t>
  </si>
  <si>
    <t>462640.375</t>
  </si>
  <si>
    <t>462640.416666666666667</t>
  </si>
  <si>
    <t>462640.458333333333333</t>
  </si>
  <si>
    <t>462640.5</t>
  </si>
  <si>
    <t>462640.541666666666667</t>
  </si>
  <si>
    <t>462640.583333333333333</t>
  </si>
  <si>
    <t>462640.625</t>
  </si>
  <si>
    <t>462640.666666666666667</t>
  </si>
  <si>
    <t>462640.708333333333333</t>
  </si>
  <si>
    <t>462640.75</t>
  </si>
  <si>
    <t>462640.791666666666667</t>
  </si>
  <si>
    <t>462640.833333333333333</t>
  </si>
  <si>
    <t>462640.875</t>
  </si>
  <si>
    <t>462640.916666666666667</t>
  </si>
  <si>
    <t>462640.958333333333333</t>
  </si>
  <si>
    <t>462640</t>
  </si>
  <si>
    <t>462640.0416666666666667</t>
  </si>
  <si>
    <t>462640.0833333333333333</t>
  </si>
  <si>
    <t>462640.125</t>
  </si>
  <si>
    <t>462640.166666666666667</t>
  </si>
  <si>
    <t>462640.208333333333333</t>
  </si>
  <si>
    <t>462650.25</t>
  </si>
  <si>
    <t>462650.291666666666667</t>
  </si>
  <si>
    <t>462650.333333333333333</t>
  </si>
  <si>
    <t>462650.375</t>
  </si>
  <si>
    <t>462650.416666666666667</t>
  </si>
  <si>
    <t>462650.458333333333333</t>
  </si>
  <si>
    <t>462650.5</t>
  </si>
  <si>
    <t>462650.541666666666667</t>
  </si>
  <si>
    <t>462650.583333333333333</t>
  </si>
  <si>
    <t>462650.625</t>
  </si>
  <si>
    <t>462650.666666666666667</t>
  </si>
  <si>
    <t>462650.708333333333333</t>
  </si>
  <si>
    <t>462650.75</t>
  </si>
  <si>
    <t>462650.791666666666667</t>
  </si>
  <si>
    <t>462650.833333333333333</t>
  </si>
  <si>
    <t>462650.875</t>
  </si>
  <si>
    <t>462650.916666666666667</t>
  </si>
  <si>
    <t>462650.958333333333333</t>
  </si>
  <si>
    <t>462650</t>
  </si>
  <si>
    <t>462650.0416666666666667</t>
  </si>
  <si>
    <t>462650.0833333333333333</t>
  </si>
  <si>
    <t>462650.125</t>
  </si>
  <si>
    <t>462650.166666666666667</t>
  </si>
  <si>
    <t>462650.208333333333333</t>
  </si>
  <si>
    <t>462660.25</t>
  </si>
  <si>
    <t>462660.291666666666667</t>
  </si>
  <si>
    <t>462660.333333333333333</t>
  </si>
  <si>
    <t>462660.375</t>
  </si>
  <si>
    <t>462660.416666666666667</t>
  </si>
  <si>
    <t>462660.458333333333333</t>
  </si>
  <si>
    <t>462660.5</t>
  </si>
  <si>
    <t>462660.541666666666667</t>
  </si>
  <si>
    <t>462660.583333333333333</t>
  </si>
  <si>
    <t>462660.625</t>
  </si>
  <si>
    <t>462660.666666666666667</t>
  </si>
  <si>
    <t>462660.708333333333333</t>
  </si>
  <si>
    <t>462660.75</t>
  </si>
  <si>
    <t>462660.791666666666667</t>
  </si>
  <si>
    <t>462660.833333333333333</t>
  </si>
  <si>
    <t>462660.875</t>
  </si>
  <si>
    <t>462660.916666666666667</t>
  </si>
  <si>
    <t>462660.958333333333333</t>
  </si>
  <si>
    <t>462660</t>
  </si>
  <si>
    <t>462660.0416666666666667</t>
  </si>
  <si>
    <t>462660.0833333333333333</t>
  </si>
  <si>
    <t>462660.125</t>
  </si>
  <si>
    <t>462660.166666666666667</t>
  </si>
  <si>
    <t>462660.208333333333333</t>
  </si>
  <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</sst>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d&quot;-&quot;mmm&quot;-&quot;yyyy"/>
    <numFmt numFmtId="165" formatCode="dd\-mmm\-yy"/>
    <numFmt numFmtId="166" formatCode="0.000"/>
    <numFmt numFmtId="167" formatCode="m/d/yyyy\ h:mm:ss"/>
    <numFmt numFmtId="168" formatCode="mm/dd/yyyy"/>
  </numFmts>
  <fonts count="29" x14ac:knownFonts="1">
    <font>
      <sz val="10"/>
      <color rgb="FF000000"/>
      <name val="Arial"/>
      <scheme val="minor"/>
    </font>
    <font>
      <b/>
      <sz val="11"/>
      <color rgb="FF000000"/>
      <name val="Calibri"/>
    </font>
    <font>
      <b/>
      <sz val="10"/>
      <color theme="1"/>
      <name val="Arial"/>
      <scheme val="minor"/>
    </font>
    <font>
      <b/>
      <sz val="12"/>
      <color rgb="FFFFFFFF"/>
      <name val="Calibri"/>
    </font>
    <font>
      <b/>
      <sz val="10"/>
      <color theme="1"/>
      <name val="Arial"/>
    </font>
    <font>
      <b/>
      <sz val="12"/>
      <color rgb="FF000000"/>
      <name val="Calibri"/>
    </font>
    <font>
      <sz val="10"/>
      <name val="Arial"/>
    </font>
    <font>
      <b/>
      <sz val="11"/>
      <color rgb="FF000000"/>
      <name val="Arial"/>
    </font>
    <font>
      <b/>
      <sz val="11"/>
      <color rgb="FF333333"/>
      <name val="Arial"/>
    </font>
    <font>
      <b/>
      <sz val="10"/>
      <color rgb="FF000000"/>
      <name val="Arial"/>
      <scheme val="minor"/>
    </font>
    <font>
      <sz val="10"/>
      <color theme="1"/>
      <name val="Arial"/>
      <scheme val="minor"/>
    </font>
    <font>
      <b/>
      <sz val="14"/>
      <color rgb="FF000000"/>
      <name val="Calibri"/>
    </font>
    <font>
      <b/>
      <sz val="11"/>
      <color rgb="FFFFFFFF"/>
      <name val="Calibri"/>
    </font>
    <font>
      <sz val="10"/>
      <color rgb="FFFFFFFF"/>
      <name val="Arial"/>
      <scheme val="minor"/>
    </font>
    <font>
      <sz val="11"/>
      <color rgb="FF000000"/>
      <name val="Calibri"/>
    </font>
    <font>
      <sz val="11"/>
      <color rgb="FF000000"/>
      <name val="Inconsolata"/>
    </font>
    <font>
      <sz val="11"/>
      <color rgb="FF333333"/>
      <name val="Arial"/>
    </font>
    <font>
      <sz val="12"/>
      <color theme="1"/>
      <name val="Arial"/>
      <scheme val="minor"/>
    </font>
    <font>
      <b/>
      <sz val="11"/>
      <color theme="1"/>
      <name val="Calibri"/>
    </font>
    <font>
      <b/>
      <sz val="12"/>
      <color theme="1"/>
      <name val="Arial"/>
      <scheme val="minor"/>
    </font>
    <font>
      <b/>
      <sz val="14"/>
      <color theme="1"/>
      <name val="Arial"/>
      <scheme val="minor"/>
    </font>
    <font>
      <b/>
      <sz val="11"/>
      <color rgb="FFFFFFFF"/>
      <name val="Arial"/>
    </font>
    <font>
      <b/>
      <sz val="10"/>
      <color rgb="FF16365C"/>
      <name val="Arial"/>
      <scheme val="minor"/>
    </font>
    <font>
      <b/>
      <sz val="11"/>
      <color rgb="FF16365C"/>
      <name val="Calibri"/>
    </font>
    <font>
      <b/>
      <sz val="11"/>
      <color rgb="FF16365C"/>
      <name val="Arial"/>
    </font>
    <font>
      <b/>
      <sz val="11"/>
      <color theme="1"/>
      <name val="Arial"/>
      <scheme val="minor"/>
    </font>
    <font>
      <b/>
      <sz val="11"/>
      <color rgb="FF16365C"/>
      <name val="Arial"/>
      <scheme val="minor"/>
    </font>
    <font>
      <sz val="10"/>
      <color theme="1"/>
      <name val="Arial"/>
    </font>
    <font>
      <sz val="10"/>
      <color rgb="FF000000"/>
      <name val="Arial"/>
    </font>
  </fonts>
  <fills count="22">
    <fill>
      <patternFill patternType="none"/>
    </fill>
    <fill>
      <patternFill patternType="gray125"/>
    </fill>
    <fill>
      <patternFill patternType="solid">
        <fgColor rgb="FF16365C"/>
        <bgColor rgb="FF16365C"/>
      </patternFill>
    </fill>
    <fill>
      <patternFill patternType="solid">
        <fgColor rgb="FFFFFFFF"/>
        <bgColor rgb="FFFFFFFF"/>
      </patternFill>
    </fill>
    <fill>
      <patternFill patternType="solid">
        <fgColor rgb="FF92D050"/>
        <bgColor rgb="FF92D050"/>
      </patternFill>
    </fill>
    <fill>
      <patternFill patternType="solid">
        <fgColor rgb="FF95B3D7"/>
        <bgColor rgb="FF95B3D7"/>
      </patternFill>
    </fill>
    <fill>
      <patternFill patternType="solid">
        <fgColor rgb="FFFFF2CC"/>
        <bgColor rgb="FFFFF2CC"/>
      </patternFill>
    </fill>
    <fill>
      <patternFill patternType="solid">
        <fgColor rgb="FFF4CCCC"/>
        <bgColor rgb="FFF4CCCC"/>
      </patternFill>
    </fill>
    <fill>
      <patternFill patternType="solid">
        <fgColor rgb="FFF2F2F2"/>
        <bgColor rgb="FFF2F2F2"/>
      </patternFill>
    </fill>
    <fill>
      <patternFill patternType="solid">
        <fgColor rgb="FFFFFF00"/>
        <bgColor rgb="FFFFFF00"/>
      </patternFill>
    </fill>
    <fill>
      <patternFill patternType="solid">
        <fgColor rgb="FFF79646"/>
        <bgColor rgb="FFF79646"/>
      </patternFill>
    </fill>
    <fill>
      <patternFill patternType="solid">
        <fgColor rgb="FFC9DAF8"/>
        <bgColor rgb="FFC9DAF8"/>
      </patternFill>
    </fill>
    <fill>
      <patternFill patternType="solid">
        <fgColor rgb="FF00FF00"/>
        <bgColor rgb="FF00FF00"/>
      </patternFill>
    </fill>
    <fill>
      <patternFill patternType="solid">
        <fgColor rgb="FF00FFFF"/>
        <bgColor rgb="FF00FFFF"/>
      </patternFill>
    </fill>
    <fill>
      <patternFill patternType="solid">
        <fgColor rgb="FF93C47D"/>
        <bgColor rgb="FF93C47D"/>
      </patternFill>
    </fill>
    <fill>
      <patternFill patternType="solid">
        <fgColor rgb="FF1F497D"/>
        <bgColor rgb="FF1F497D"/>
      </patternFill>
    </fill>
    <fill>
      <patternFill patternType="solid">
        <fgColor rgb="FF262626"/>
        <bgColor rgb="FF262626"/>
      </patternFill>
    </fill>
    <fill>
      <patternFill patternType="solid">
        <fgColor rgb="FFA2C4C9"/>
        <bgColor rgb="FFA2C4C9"/>
      </patternFill>
    </fill>
    <fill>
      <patternFill patternType="solid">
        <fgColor rgb="FFA4C2F4"/>
        <bgColor rgb="FFA4C2F4"/>
      </patternFill>
    </fill>
    <fill>
      <patternFill patternType="solid">
        <fgColor rgb="FFFF9900"/>
        <bgColor rgb="FFFF9900"/>
      </patternFill>
    </fill>
    <fill>
      <patternFill patternType="solid">
        <fgColor rgb="FFF9CB9C"/>
        <bgColor rgb="FFF9CB9C"/>
      </patternFill>
    </fill>
    <fill>
      <patternFill patternType="solid">
        <fgColor rgb="FF3C78D8"/>
        <bgColor rgb="FF3C78D8"/>
      </patternFill>
    </fill>
  </fills>
  <borders count="101">
    <border>
      <left/>
      <right/>
      <top/>
      <bottom/>
      <diagonal/>
    </border>
    <border>
      <left style="double">
        <color rgb="FF000000"/>
      </left>
      <right/>
      <top style="double">
        <color rgb="FF000000"/>
      </top>
      <bottom/>
      <diagonal/>
    </border>
    <border>
      <left/>
      <right/>
      <top style="double">
        <color rgb="FF000000"/>
      </top>
      <bottom/>
      <diagonal/>
    </border>
    <border>
      <left/>
      <right style="double">
        <color rgb="FF000000"/>
      </right>
      <top style="double">
        <color rgb="FF000000"/>
      </top>
      <bottom/>
      <diagonal/>
    </border>
    <border>
      <left style="double">
        <color rgb="FF000000"/>
      </left>
      <right/>
      <top/>
      <bottom/>
      <diagonal/>
    </border>
    <border>
      <left/>
      <right/>
      <top style="thin">
        <color rgb="FF000000"/>
      </top>
      <bottom/>
      <diagonal/>
    </border>
    <border>
      <left/>
      <right style="double">
        <color rgb="FF000000"/>
      </right>
      <top style="thin">
        <color rgb="FF000000"/>
      </top>
      <bottom/>
      <diagonal/>
    </border>
    <border>
      <left style="double">
        <color rgb="FF000000"/>
      </left>
      <right/>
      <top style="thick">
        <color rgb="FF000000"/>
      </top>
      <bottom style="thick">
        <color rgb="FF000000"/>
      </bottom>
      <diagonal/>
    </border>
    <border>
      <left/>
      <right/>
      <top style="thick">
        <color rgb="FF000000"/>
      </top>
      <bottom style="thick">
        <color rgb="FF000000"/>
      </bottom>
      <diagonal/>
    </border>
    <border>
      <left/>
      <right style="double">
        <color rgb="FF000000"/>
      </right>
      <top style="thick">
        <color rgb="FF000000"/>
      </top>
      <bottom style="thick">
        <color rgb="FF000000"/>
      </bottom>
      <diagonal/>
    </border>
    <border>
      <left/>
      <right style="thin">
        <color rgb="FF000000"/>
      </right>
      <top style="thick">
        <color rgb="FF000000"/>
      </top>
      <bottom style="thick">
        <color rgb="FF000000"/>
      </bottom>
      <diagonal/>
    </border>
    <border>
      <left style="double">
        <color rgb="FF000000"/>
      </left>
      <right/>
      <top/>
      <bottom style="thin">
        <color rgb="FF000000"/>
      </bottom>
      <diagonal/>
    </border>
    <border>
      <left/>
      <right style="thin">
        <color rgb="FF000000"/>
      </right>
      <top/>
      <bottom style="thin">
        <color rgb="FF000000"/>
      </bottom>
      <diagonal/>
    </border>
    <border>
      <left/>
      <right style="double">
        <color rgb="FF000000"/>
      </right>
      <top/>
      <bottom style="thin">
        <color rgb="FF000000"/>
      </bottom>
      <diagonal/>
    </border>
    <border>
      <left style="double">
        <color rgb="FF000000"/>
      </left>
      <right style="thin">
        <color rgb="FF000000"/>
      </right>
      <top style="thin">
        <color rgb="FF000000"/>
      </top>
      <bottom style="thin">
        <color rgb="FF000000"/>
      </bottom>
      <diagonal/>
    </border>
    <border>
      <left style="thin">
        <color rgb="FF000000"/>
      </left>
      <right/>
      <top style="thin">
        <color rgb="FFDDDDDD"/>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rgb="FF000000"/>
      </left>
      <right style="thin">
        <color rgb="FF000000"/>
      </right>
      <top style="thick">
        <color rgb="FF000000"/>
      </top>
      <bottom style="thin">
        <color rgb="FF000000"/>
      </bottom>
      <diagonal/>
    </border>
    <border>
      <left/>
      <right style="double">
        <color rgb="FF000000"/>
      </right>
      <top style="thick">
        <color rgb="FF000000"/>
      </top>
      <bottom style="thin">
        <color rgb="FF000000"/>
      </bottom>
      <diagonal/>
    </border>
    <border>
      <left style="double">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double">
        <color rgb="FF000000"/>
      </left>
      <right/>
      <top style="thick">
        <color rgb="FF000000"/>
      </top>
      <bottom/>
      <diagonal/>
    </border>
    <border>
      <left/>
      <right style="thin">
        <color rgb="FF000000"/>
      </right>
      <top style="thick">
        <color rgb="FF000000"/>
      </top>
      <bottom/>
      <diagonal/>
    </border>
    <border>
      <left/>
      <right/>
      <top style="thick">
        <color rgb="FF000000"/>
      </top>
      <bottom/>
      <diagonal/>
    </border>
    <border>
      <left/>
      <right style="thick">
        <color rgb="FF000000"/>
      </right>
      <top style="thick">
        <color rgb="FF000000"/>
      </top>
      <bottom/>
      <diagonal/>
    </border>
    <border>
      <left/>
      <right style="double">
        <color rgb="FF000000"/>
      </right>
      <top style="thick">
        <color rgb="FF000000"/>
      </top>
      <bottom/>
      <diagonal/>
    </border>
    <border>
      <left style="double">
        <color rgb="FF000000"/>
      </left>
      <right/>
      <top style="double">
        <color rgb="FF000000"/>
      </top>
      <bottom style="double">
        <color rgb="FF000000"/>
      </bottom>
      <diagonal/>
    </border>
    <border>
      <left/>
      <right/>
      <top style="double">
        <color rgb="FF000000"/>
      </top>
      <bottom style="double">
        <color rgb="FF000000"/>
      </bottom>
      <diagonal/>
    </border>
    <border>
      <left/>
      <right style="double">
        <color rgb="FF000000"/>
      </right>
      <top style="double">
        <color rgb="FF000000"/>
      </top>
      <bottom style="double">
        <color rgb="FF000000"/>
      </bottom>
      <diagonal/>
    </border>
    <border>
      <left style="thick">
        <color rgb="FF000000"/>
      </left>
      <right/>
      <top style="thick">
        <color rgb="FF000000"/>
      </top>
      <bottom/>
      <diagonal/>
    </border>
    <border>
      <left style="thick">
        <color rgb="FF000000"/>
      </left>
      <right/>
      <top/>
      <bottom style="thick">
        <color rgb="FF000000"/>
      </bottom>
      <diagonal/>
    </border>
    <border>
      <left/>
      <right/>
      <top/>
      <bottom style="thick">
        <color rgb="FF000000"/>
      </bottom>
      <diagonal/>
    </border>
    <border>
      <left/>
      <right style="thick">
        <color rgb="FF000000"/>
      </right>
      <top/>
      <bottom style="thick">
        <color rgb="FF000000"/>
      </bottom>
      <diagonal/>
    </border>
    <border>
      <left style="thick">
        <color rgb="FF000000"/>
      </left>
      <right/>
      <top style="thick">
        <color rgb="FF000000"/>
      </top>
      <bottom style="thick">
        <color rgb="FF000000"/>
      </bottom>
      <diagonal/>
    </border>
    <border>
      <left style="thin">
        <color rgb="FF000000"/>
      </left>
      <right style="thin">
        <color rgb="FF000000"/>
      </right>
      <top style="thick">
        <color rgb="FF000000"/>
      </top>
      <bottom style="thick">
        <color rgb="FF000000"/>
      </bottom>
      <diagonal/>
    </border>
    <border>
      <left/>
      <right style="thick">
        <color rgb="FF000000"/>
      </right>
      <top style="thick">
        <color rgb="FF000000"/>
      </top>
      <bottom style="thick">
        <color rgb="FF000000"/>
      </bottom>
      <diagonal/>
    </border>
    <border>
      <left style="thick">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ck">
        <color rgb="FF000000"/>
      </right>
      <top/>
      <bottom style="thin">
        <color rgb="FF000000"/>
      </bottom>
      <diagonal/>
    </border>
    <border>
      <left style="thin">
        <color rgb="FF000000"/>
      </left>
      <right style="thick">
        <color rgb="FF000000"/>
      </right>
      <top/>
      <bottom style="thin">
        <color rgb="FF000000"/>
      </bottom>
      <diagonal/>
    </border>
    <border>
      <left style="thick">
        <color rgb="FF000000"/>
      </left>
      <right style="thin">
        <color rgb="FF000000"/>
      </right>
      <top style="thin">
        <color rgb="FF000000"/>
      </top>
      <bottom style="thin">
        <color rgb="FF000000"/>
      </bottom>
      <diagonal/>
    </border>
    <border>
      <left style="thin">
        <color rgb="FF000000"/>
      </left>
      <right style="thick">
        <color rgb="FF000000"/>
      </right>
      <top style="thin">
        <color rgb="FF000000"/>
      </top>
      <bottom style="thin">
        <color rgb="FF000000"/>
      </bottom>
      <diagonal/>
    </border>
    <border>
      <left style="thick">
        <color rgb="FF000000"/>
      </left>
      <right style="thin">
        <color rgb="FF000000"/>
      </right>
      <top style="thin">
        <color rgb="FF000000"/>
      </top>
      <bottom style="thick">
        <color rgb="FF000000"/>
      </bottom>
      <diagonal/>
    </border>
    <border>
      <left style="thin">
        <color rgb="FF000000"/>
      </left>
      <right style="thin">
        <color rgb="FF000000"/>
      </right>
      <top style="thin">
        <color rgb="FF000000"/>
      </top>
      <bottom style="thick">
        <color rgb="FF000000"/>
      </bottom>
      <diagonal/>
    </border>
    <border>
      <left style="thin">
        <color rgb="FF000000"/>
      </left>
      <right style="thick">
        <color rgb="FF000000"/>
      </right>
      <top style="thin">
        <color rgb="FF000000"/>
      </top>
      <bottom style="thick">
        <color rgb="FF000000"/>
      </bottom>
      <diagonal/>
    </border>
    <border>
      <left/>
      <right/>
      <top/>
      <bottom style="double">
        <color rgb="FF000000"/>
      </bottom>
      <diagonal/>
    </border>
    <border>
      <left style="thick">
        <color rgb="FF000000"/>
      </left>
      <right/>
      <top/>
      <bottom style="double">
        <color rgb="FF000000"/>
      </bottom>
      <diagonal/>
    </border>
    <border>
      <left/>
      <right style="thick">
        <color rgb="FF000000"/>
      </right>
      <top/>
      <bottom style="double">
        <color rgb="FF000000"/>
      </bottom>
      <diagonal/>
    </border>
    <border>
      <left style="thick">
        <color rgb="FF000000"/>
      </left>
      <right/>
      <top style="double">
        <color rgb="FF000000"/>
      </top>
      <bottom style="double">
        <color rgb="FF000000"/>
      </bottom>
      <diagonal/>
    </border>
    <border>
      <left/>
      <right style="thin">
        <color rgb="FF000000"/>
      </right>
      <top style="double">
        <color rgb="FF000000"/>
      </top>
      <bottom style="double">
        <color rgb="FF000000"/>
      </bottom>
      <diagonal/>
    </border>
    <border>
      <left/>
      <right style="thin">
        <color rgb="FF000000"/>
      </right>
      <top/>
      <bottom style="double">
        <color rgb="FF000000"/>
      </bottom>
      <diagonal/>
    </border>
    <border>
      <left style="thick">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double">
        <color rgb="FF000000"/>
      </bottom>
      <diagonal/>
    </border>
    <border>
      <left style="thin">
        <color rgb="FF000000"/>
      </left>
      <right style="thick">
        <color rgb="FF000000"/>
      </right>
      <top/>
      <bottom style="double">
        <color rgb="FF000000"/>
      </bottom>
      <diagonal/>
    </border>
    <border>
      <left style="thick">
        <color rgb="FF000000"/>
      </left>
      <right/>
      <top/>
      <bottom/>
      <diagonal/>
    </border>
    <border>
      <left/>
      <right style="thick">
        <color rgb="FF000000"/>
      </right>
      <top/>
      <bottom/>
      <diagonal/>
    </border>
    <border>
      <left style="thick">
        <color rgb="FF000000"/>
      </left>
      <right/>
      <top style="thin">
        <color rgb="FF000000"/>
      </top>
      <bottom/>
      <diagonal/>
    </border>
    <border>
      <left/>
      <right style="thin">
        <color rgb="FF000000"/>
      </right>
      <top style="thin">
        <color rgb="FF000000"/>
      </top>
      <bottom/>
      <diagonal/>
    </border>
    <border>
      <left/>
      <right style="thin">
        <color rgb="FF000000"/>
      </right>
      <top style="thin">
        <color rgb="FF000000"/>
      </top>
      <bottom style="thick">
        <color rgb="FF000000"/>
      </bottom>
      <diagonal/>
    </border>
    <border>
      <left/>
      <right style="thick">
        <color rgb="FF000000"/>
      </right>
      <top style="thin">
        <color rgb="FF000000"/>
      </top>
      <bottom style="thick">
        <color rgb="FF000000"/>
      </bottom>
      <diagonal/>
    </border>
    <border>
      <left style="medium">
        <color rgb="FF000000"/>
      </left>
      <right style="thin">
        <color rgb="FF000000"/>
      </right>
      <top style="medium">
        <color rgb="FF000000"/>
      </top>
      <bottom style="medium">
        <color rgb="FF000000"/>
      </bottom>
      <diagonal/>
    </border>
    <border>
      <left/>
      <right style="thin">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thin">
        <color rgb="FF000000"/>
      </bottom>
      <diagonal/>
    </border>
    <border>
      <left style="medium">
        <color rgb="FF000000"/>
      </left>
      <right style="medium">
        <color rgb="FF000000"/>
      </right>
      <top style="thin">
        <color rgb="FF000000"/>
      </top>
      <bottom/>
      <diagonal/>
    </border>
    <border>
      <left style="thin">
        <color rgb="FF000000"/>
      </left>
      <right style="thin">
        <color rgb="FF000000"/>
      </right>
      <top style="double">
        <color rgb="FF000000"/>
      </top>
      <bottom style="thin">
        <color rgb="FF000000"/>
      </bottom>
      <diagonal/>
    </border>
    <border>
      <left style="medium">
        <color rgb="FF000000"/>
      </left>
      <right style="medium">
        <color rgb="FF000000"/>
      </right>
      <top/>
      <bottom style="medium">
        <color rgb="FF000000"/>
      </bottom>
      <diagonal/>
    </border>
    <border>
      <left/>
      <right style="thin">
        <color rgb="FF000000"/>
      </right>
      <top/>
      <bottom style="medium">
        <color rgb="FF000000"/>
      </bottom>
      <diagonal/>
    </border>
    <border>
      <left/>
      <right style="thin">
        <color rgb="FF000000"/>
      </right>
      <top style="thin">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thick">
        <color rgb="FF000000"/>
      </right>
      <top style="medium">
        <color rgb="FF000000"/>
      </top>
      <bottom/>
      <diagonal/>
    </border>
    <border>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ck">
        <color rgb="FF000000"/>
      </right>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style="thick">
        <color rgb="FF000000"/>
      </right>
      <top/>
      <bottom/>
      <diagonal/>
    </border>
    <border>
      <left style="thin">
        <color rgb="FF000000"/>
      </left>
      <right style="medium">
        <color rgb="FF000000"/>
      </right>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thin">
        <color rgb="FF000000"/>
      </right>
      <top/>
      <bottom/>
      <diagonal/>
    </border>
    <border>
      <left style="thin">
        <color rgb="FF000000"/>
      </left>
      <right style="thin">
        <color rgb="FF000000"/>
      </right>
      <top style="thin">
        <color rgb="FF000000"/>
      </top>
      <bottom/>
      <diagonal/>
    </border>
    <border>
      <left style="medium">
        <color rgb="FF000000"/>
      </left>
      <right style="thin">
        <color rgb="FF000000"/>
      </right>
      <top/>
      <bottom style="thin">
        <color rgb="FF000000"/>
      </bottom>
      <diagonal/>
    </border>
    <border>
      <left style="medium">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right style="double">
        <color rgb="FF000000"/>
      </right>
      <top/>
      <bottom style="double">
        <color rgb="FF000000"/>
      </bottom>
      <diagonal/>
    </border>
    <border>
      <left style="double">
        <color rgb="FF000000"/>
      </left>
      <right style="thin">
        <color rgb="FF000000"/>
      </right>
      <top style="thin">
        <color rgb="FF000000"/>
      </top>
      <bottom style="double">
        <color rgb="FF000000"/>
      </bottom>
      <diagonal/>
    </border>
    <border>
      <left style="thin">
        <color rgb="FF000000"/>
      </left>
      <right style="thin">
        <color rgb="FF000000"/>
      </right>
      <top style="thin">
        <color rgb="FF000000"/>
      </top>
      <bottom style="double">
        <color rgb="FF000000"/>
      </bottom>
      <diagonal/>
    </border>
  </borders>
  <cellStyleXfs count="1">
    <xf numFmtId="0" fontId="0" fillId="0" borderId="0"/>
  </cellStyleXfs>
  <cellXfs count="320">
    <xf numFmtId="0" fontId="0" fillId="0" borderId="0" xfId="0"/>
    <xf numFmtId="0" fontId="1" fillId="0" borderId="0" xfId="0" applyFont="1" applyAlignment="1">
      <alignment horizontal="center" vertical="top"/>
    </xf>
    <xf numFmtId="0" fontId="1" fillId="0" borderId="1" xfId="0" applyFont="1" applyBorder="1" applyAlignment="1">
      <alignment horizontal="center" vertical="top"/>
    </xf>
    <xf numFmtId="0" fontId="1" fillId="0" borderId="2" xfId="0" applyFont="1" applyBorder="1" applyAlignment="1">
      <alignment horizontal="center"/>
    </xf>
    <xf numFmtId="49" fontId="1" fillId="0" borderId="2" xfId="0" applyNumberFormat="1" applyFont="1" applyBorder="1" applyAlignment="1">
      <alignment horizontal="center"/>
    </xf>
    <xf numFmtId="0" fontId="1" fillId="0" borderId="3" xfId="0" applyFont="1" applyBorder="1" applyAlignment="1">
      <alignment horizontal="center"/>
    </xf>
    <xf numFmtId="0" fontId="2" fillId="0" borderId="0" xfId="0" applyFont="1" applyAlignment="1">
      <alignment horizontal="center"/>
    </xf>
    <xf numFmtId="0" fontId="1" fillId="0" borderId="4" xfId="0" applyFont="1" applyBorder="1" applyAlignment="1">
      <alignment horizontal="center" vertical="top"/>
    </xf>
    <xf numFmtId="0" fontId="1" fillId="0" borderId="5" xfId="0" applyFont="1" applyBorder="1" applyAlignment="1">
      <alignment horizontal="center"/>
    </xf>
    <xf numFmtId="49" fontId="1" fillId="0" borderId="5" xfId="0" applyNumberFormat="1" applyFont="1" applyBorder="1" applyAlignment="1">
      <alignment horizontal="center"/>
    </xf>
    <xf numFmtId="0" fontId="1" fillId="0" borderId="6" xfId="0" applyFont="1" applyBorder="1" applyAlignment="1">
      <alignment horizontal="center"/>
    </xf>
    <xf numFmtId="0" fontId="3" fillId="2" borderId="7" xfId="0" applyFont="1" applyFill="1" applyBorder="1" applyAlignment="1">
      <alignment horizontal="center"/>
    </xf>
    <xf numFmtId="164" fontId="3" fillId="2" borderId="8" xfId="0" applyNumberFormat="1" applyFont="1" applyFill="1" applyBorder="1" applyAlignment="1">
      <alignment horizontal="center"/>
    </xf>
    <xf numFmtId="49" fontId="3" fillId="2" borderId="8" xfId="0" applyNumberFormat="1" applyFont="1" applyFill="1" applyBorder="1" applyAlignment="1">
      <alignment horizontal="center"/>
    </xf>
    <xf numFmtId="0" fontId="3" fillId="2" borderId="8" xfId="0" applyFont="1" applyFill="1" applyBorder="1" applyAlignment="1">
      <alignment horizontal="center"/>
    </xf>
    <xf numFmtId="15" fontId="3" fillId="2" borderId="9" xfId="0" applyNumberFormat="1" applyFont="1" applyFill="1" applyBorder="1" applyAlignment="1">
      <alignment horizontal="center"/>
    </xf>
    <xf numFmtId="0" fontId="4" fillId="0" borderId="0" xfId="0" applyFont="1" applyAlignment="1">
      <alignment horizontal="center"/>
    </xf>
    <xf numFmtId="0" fontId="1" fillId="3" borderId="0" xfId="0" applyFont="1" applyFill="1" applyAlignment="1">
      <alignment horizontal="center"/>
    </xf>
    <xf numFmtId="49" fontId="5" fillId="4" borderId="10" xfId="0" applyNumberFormat="1" applyFont="1" applyFill="1" applyBorder="1" applyAlignment="1">
      <alignment horizontal="center"/>
    </xf>
    <xf numFmtId="0" fontId="5" fillId="4" borderId="10" xfId="0" applyFont="1" applyFill="1" applyBorder="1" applyAlignment="1">
      <alignment horizontal="center"/>
    </xf>
    <xf numFmtId="0" fontId="5" fillId="4" borderId="9" xfId="0" applyFont="1" applyFill="1" applyBorder="1" applyAlignment="1">
      <alignment horizontal="center"/>
    </xf>
    <xf numFmtId="49" fontId="1" fillId="0" borderId="12" xfId="0" applyNumberFormat="1" applyFont="1" applyBorder="1" applyAlignment="1">
      <alignment horizontal="center"/>
    </xf>
    <xf numFmtId="4" fontId="1" fillId="0" borderId="12" xfId="0" applyNumberFormat="1" applyFont="1" applyBorder="1" applyAlignment="1">
      <alignment horizontal="center"/>
    </xf>
    <xf numFmtId="4" fontId="1" fillId="0" borderId="13" xfId="0" applyNumberFormat="1" applyFont="1" applyBorder="1" applyAlignment="1">
      <alignment horizontal="center"/>
    </xf>
    <xf numFmtId="0" fontId="1" fillId="0" borderId="14" xfId="0" applyFont="1" applyBorder="1" applyAlignment="1">
      <alignment horizontal="center"/>
    </xf>
    <xf numFmtId="0" fontId="7" fillId="3" borderId="15" xfId="0" applyFont="1" applyFill="1" applyBorder="1" applyAlignment="1">
      <alignment horizontal="center" vertical="top"/>
    </xf>
    <xf numFmtId="0" fontId="8" fillId="0" borderId="0" xfId="0" applyFont="1" applyAlignment="1">
      <alignment horizontal="center"/>
    </xf>
    <xf numFmtId="4" fontId="1" fillId="0" borderId="16" xfId="0" applyNumberFormat="1" applyFont="1" applyBorder="1" applyAlignment="1">
      <alignment horizontal="center"/>
    </xf>
    <xf numFmtId="0" fontId="7" fillId="3" borderId="17" xfId="0" applyFont="1" applyFill="1" applyBorder="1" applyAlignment="1">
      <alignment horizontal="center" vertical="top"/>
    </xf>
    <xf numFmtId="0" fontId="7" fillId="3" borderId="18" xfId="0" applyFont="1" applyFill="1" applyBorder="1" applyAlignment="1">
      <alignment horizontal="center" vertical="top"/>
    </xf>
    <xf numFmtId="49" fontId="1" fillId="5" borderId="10" xfId="0" applyNumberFormat="1" applyFont="1" applyFill="1" applyBorder="1" applyAlignment="1">
      <alignment horizontal="center"/>
    </xf>
    <xf numFmtId="4" fontId="1" fillId="5" borderId="10" xfId="0" applyNumberFormat="1" applyFont="1" applyFill="1" applyBorder="1" applyAlignment="1">
      <alignment horizontal="center"/>
    </xf>
    <xf numFmtId="49" fontId="1" fillId="3" borderId="12" xfId="0" applyNumberFormat="1" applyFont="1" applyFill="1" applyBorder="1" applyAlignment="1">
      <alignment horizontal="center"/>
    </xf>
    <xf numFmtId="0" fontId="1" fillId="3" borderId="19" xfId="0" applyFont="1" applyFill="1" applyBorder="1" applyAlignment="1">
      <alignment horizontal="center"/>
    </xf>
    <xf numFmtId="0" fontId="1" fillId="3" borderId="20" xfId="0" applyFont="1" applyFill="1" applyBorder="1" applyAlignment="1">
      <alignment horizontal="center"/>
    </xf>
    <xf numFmtId="0" fontId="9" fillId="0" borderId="21" xfId="0" applyFont="1" applyBorder="1" applyAlignment="1">
      <alignment horizontal="center"/>
    </xf>
    <xf numFmtId="0" fontId="7" fillId="0" borderId="16" xfId="0" applyFont="1" applyBorder="1" applyAlignment="1">
      <alignment horizontal="center"/>
    </xf>
    <xf numFmtId="0" fontId="8" fillId="0" borderId="22" xfId="0" applyFont="1" applyBorder="1" applyAlignment="1">
      <alignment horizontal="center"/>
    </xf>
    <xf numFmtId="0" fontId="9" fillId="0" borderId="14" xfId="0" applyFont="1" applyBorder="1" applyAlignment="1">
      <alignment horizontal="center"/>
    </xf>
    <xf numFmtId="0" fontId="7" fillId="0" borderId="17" xfId="0" applyFont="1" applyBorder="1" applyAlignment="1">
      <alignment horizontal="center"/>
    </xf>
    <xf numFmtId="49" fontId="1" fillId="5" borderId="25" xfId="0" applyNumberFormat="1" applyFont="1" applyFill="1" applyBorder="1" applyAlignment="1">
      <alignment horizontal="center"/>
    </xf>
    <xf numFmtId="4" fontId="1" fillId="5" borderId="26" xfId="0" applyNumberFormat="1" applyFont="1" applyFill="1" applyBorder="1" applyAlignment="1">
      <alignment horizontal="center"/>
    </xf>
    <xf numFmtId="4" fontId="1" fillId="5" borderId="27" xfId="0" applyNumberFormat="1" applyFont="1" applyFill="1" applyBorder="1" applyAlignment="1">
      <alignment horizontal="center"/>
    </xf>
    <xf numFmtId="0" fontId="2" fillId="6" borderId="28" xfId="0" applyFont="1" applyFill="1" applyBorder="1" applyAlignment="1">
      <alignment horizontal="center"/>
    </xf>
    <xf numFmtId="0" fontId="2" fillId="6" borderId="29" xfId="0" applyFont="1" applyFill="1" applyBorder="1" applyAlignment="1">
      <alignment horizontal="center"/>
    </xf>
    <xf numFmtId="49" fontId="2" fillId="6" borderId="29" xfId="0" applyNumberFormat="1" applyFont="1" applyFill="1" applyBorder="1" applyAlignment="1">
      <alignment horizontal="center"/>
    </xf>
    <xf numFmtId="0" fontId="2" fillId="6" borderId="30" xfId="0" applyFont="1" applyFill="1" applyBorder="1" applyAlignment="1">
      <alignment horizontal="center"/>
    </xf>
    <xf numFmtId="49" fontId="2" fillId="0" borderId="0" xfId="0" applyNumberFormat="1" applyFont="1" applyAlignment="1">
      <alignment horizontal="center"/>
    </xf>
    <xf numFmtId="0" fontId="10" fillId="0" borderId="0" xfId="0" applyFont="1" applyAlignment="1">
      <alignment horizontal="center"/>
    </xf>
    <xf numFmtId="0" fontId="5" fillId="3" borderId="0" xfId="0" applyFont="1" applyFill="1" applyAlignment="1">
      <alignment horizontal="center"/>
    </xf>
    <xf numFmtId="0" fontId="12" fillId="2" borderId="31" xfId="0" applyFont="1" applyFill="1" applyBorder="1" applyAlignment="1">
      <alignment horizontal="center"/>
    </xf>
    <xf numFmtId="165" fontId="12" fillId="2" borderId="25" xfId="0" applyNumberFormat="1" applyFont="1" applyFill="1" applyBorder="1" applyAlignment="1">
      <alignment horizontal="center"/>
    </xf>
    <xf numFmtId="0" fontId="12" fillId="2" borderId="25" xfId="0" applyFont="1" applyFill="1" applyBorder="1" applyAlignment="1">
      <alignment horizontal="center"/>
    </xf>
    <xf numFmtId="15" fontId="12" fillId="2" borderId="26" xfId="0" applyNumberFormat="1" applyFont="1" applyFill="1" applyBorder="1" applyAlignment="1">
      <alignment horizontal="center"/>
    </xf>
    <xf numFmtId="0" fontId="13" fillId="2" borderId="31" xfId="0" applyFont="1" applyFill="1" applyBorder="1" applyAlignment="1">
      <alignment horizontal="center"/>
    </xf>
    <xf numFmtId="165" fontId="13" fillId="2" borderId="25" xfId="0" applyNumberFormat="1" applyFont="1" applyFill="1" applyBorder="1" applyAlignment="1">
      <alignment horizontal="center"/>
    </xf>
    <xf numFmtId="0" fontId="13" fillId="2" borderId="25" xfId="0" applyFont="1" applyFill="1" applyBorder="1" applyAlignment="1">
      <alignment horizontal="center"/>
    </xf>
    <xf numFmtId="15" fontId="13" fillId="2" borderId="26" xfId="0" applyNumberFormat="1" applyFont="1" applyFill="1" applyBorder="1" applyAlignment="1">
      <alignment horizontal="center"/>
    </xf>
    <xf numFmtId="0" fontId="1" fillId="8" borderId="36" xfId="0" applyFont="1" applyFill="1" applyBorder="1" applyAlignment="1">
      <alignment horizontal="center"/>
    </xf>
    <xf numFmtId="0" fontId="1" fillId="8" borderId="37" xfId="0" applyFont="1" applyFill="1" applyBorder="1" applyAlignment="1">
      <alignment horizontal="center"/>
    </xf>
    <xf numFmtId="0" fontId="1" fillId="9" borderId="38" xfId="0" applyFont="1" applyFill="1" applyBorder="1" applyAlignment="1">
      <alignment horizontal="center"/>
    </xf>
    <xf numFmtId="0" fontId="1" fillId="9" borderId="22" xfId="0" applyFont="1" applyFill="1" applyBorder="1" applyAlignment="1">
      <alignment horizontal="center"/>
    </xf>
    <xf numFmtId="0" fontId="1" fillId="9" borderId="39" xfId="0" applyFont="1" applyFill="1" applyBorder="1" applyAlignment="1">
      <alignment horizontal="center"/>
    </xf>
    <xf numFmtId="0" fontId="1" fillId="9" borderId="40" xfId="0" applyFont="1" applyFill="1" applyBorder="1" applyAlignment="1">
      <alignment horizontal="center"/>
    </xf>
    <xf numFmtId="0" fontId="1" fillId="9" borderId="41" xfId="0" applyFont="1" applyFill="1" applyBorder="1" applyAlignment="1">
      <alignment horizontal="center"/>
    </xf>
    <xf numFmtId="0" fontId="1" fillId="9" borderId="42" xfId="0" applyFont="1" applyFill="1" applyBorder="1" applyAlignment="1">
      <alignment horizontal="center"/>
    </xf>
    <xf numFmtId="0" fontId="7" fillId="3" borderId="43" xfId="0" applyFont="1" applyFill="1" applyBorder="1" applyAlignment="1">
      <alignment horizontal="center" vertical="center" wrapText="1"/>
    </xf>
    <xf numFmtId="0" fontId="8" fillId="3" borderId="16" xfId="0" applyFont="1" applyFill="1" applyBorder="1" applyAlignment="1">
      <alignment horizontal="center"/>
    </xf>
    <xf numFmtId="0" fontId="7" fillId="3" borderId="16" xfId="0" applyFont="1" applyFill="1" applyBorder="1" applyAlignment="1">
      <alignment horizontal="center" vertical="center" wrapText="1"/>
    </xf>
    <xf numFmtId="4" fontId="14" fillId="3" borderId="22" xfId="0" applyNumberFormat="1" applyFont="1" applyFill="1" applyBorder="1" applyAlignment="1">
      <alignment horizontal="center"/>
    </xf>
    <xf numFmtId="4" fontId="14" fillId="3" borderId="42" xfId="0" applyNumberFormat="1" applyFont="1" applyFill="1" applyBorder="1" applyAlignment="1">
      <alignment horizontal="center"/>
    </xf>
    <xf numFmtId="4" fontId="14" fillId="3" borderId="16" xfId="0" applyNumberFormat="1" applyFont="1" applyFill="1" applyBorder="1" applyAlignment="1">
      <alignment horizontal="center"/>
    </xf>
    <xf numFmtId="4" fontId="14" fillId="3" borderId="44" xfId="0" applyNumberFormat="1" applyFont="1" applyFill="1" applyBorder="1" applyAlignment="1">
      <alignment horizontal="center"/>
    </xf>
    <xf numFmtId="0" fontId="14" fillId="9" borderId="43" xfId="0" applyFont="1" applyFill="1" applyBorder="1" applyAlignment="1">
      <alignment horizontal="center"/>
    </xf>
    <xf numFmtId="0" fontId="14" fillId="9" borderId="16" xfId="0" applyFont="1" applyFill="1" applyBorder="1" applyAlignment="1">
      <alignment horizontal="center"/>
    </xf>
    <xf numFmtId="4" fontId="14" fillId="9" borderId="16" xfId="0" applyNumberFormat="1" applyFont="1" applyFill="1" applyBorder="1" applyAlignment="1">
      <alignment horizontal="center"/>
    </xf>
    <xf numFmtId="4" fontId="14" fillId="9" borderId="44" xfId="0" applyNumberFormat="1" applyFont="1" applyFill="1" applyBorder="1" applyAlignment="1">
      <alignment horizontal="center"/>
    </xf>
    <xf numFmtId="166" fontId="14" fillId="9" borderId="16" xfId="0" applyNumberFormat="1" applyFont="1" applyFill="1" applyBorder="1" applyAlignment="1">
      <alignment horizontal="center"/>
    </xf>
    <xf numFmtId="166" fontId="14" fillId="9" borderId="44" xfId="0" applyNumberFormat="1" applyFont="1" applyFill="1" applyBorder="1" applyAlignment="1">
      <alignment horizontal="center"/>
    </xf>
    <xf numFmtId="166" fontId="15" fillId="3" borderId="0" xfId="0" applyNumberFormat="1" applyFont="1" applyFill="1" applyAlignment="1">
      <alignment horizontal="center"/>
    </xf>
    <xf numFmtId="0" fontId="1" fillId="10" borderId="43" xfId="0" applyFont="1" applyFill="1" applyBorder="1" applyAlignment="1">
      <alignment horizontal="center"/>
    </xf>
    <xf numFmtId="0" fontId="1" fillId="10" borderId="16" xfId="0" applyFont="1" applyFill="1" applyBorder="1" applyAlignment="1">
      <alignment horizontal="center"/>
    </xf>
    <xf numFmtId="4" fontId="1" fillId="10" borderId="44" xfId="0" applyNumberFormat="1" applyFont="1" applyFill="1" applyBorder="1" applyAlignment="1">
      <alignment horizontal="center"/>
    </xf>
    <xf numFmtId="0" fontId="14" fillId="3" borderId="16" xfId="0" applyFont="1" applyFill="1" applyBorder="1" applyAlignment="1">
      <alignment horizontal="center"/>
    </xf>
    <xf numFmtId="0" fontId="7" fillId="3" borderId="45" xfId="0" applyFont="1" applyFill="1" applyBorder="1" applyAlignment="1">
      <alignment horizontal="center" vertical="center" wrapText="1"/>
    </xf>
    <xf numFmtId="0" fontId="8" fillId="3" borderId="46" xfId="0" applyFont="1" applyFill="1" applyBorder="1" applyAlignment="1">
      <alignment horizontal="center"/>
    </xf>
    <xf numFmtId="0" fontId="14" fillId="3" borderId="46" xfId="0" applyFont="1" applyFill="1" applyBorder="1" applyAlignment="1">
      <alignment horizontal="center"/>
    </xf>
    <xf numFmtId="4" fontId="14" fillId="3" borderId="46" xfId="0" applyNumberFormat="1" applyFont="1" applyFill="1" applyBorder="1" applyAlignment="1">
      <alignment horizontal="center"/>
    </xf>
    <xf numFmtId="4" fontId="14" fillId="3" borderId="47" xfId="0" applyNumberFormat="1" applyFont="1" applyFill="1" applyBorder="1" applyAlignment="1">
      <alignment horizontal="center"/>
    </xf>
    <xf numFmtId="0" fontId="10" fillId="3" borderId="0" xfId="0" applyFont="1" applyFill="1" applyAlignment="1">
      <alignment horizontal="center"/>
    </xf>
    <xf numFmtId="0" fontId="7" fillId="3" borderId="0" xfId="0" applyFont="1" applyFill="1" applyAlignment="1">
      <alignment horizontal="center" vertical="center" wrapText="1"/>
    </xf>
    <xf numFmtId="0" fontId="8" fillId="3" borderId="0" xfId="0" applyFont="1" applyFill="1" applyAlignment="1">
      <alignment horizontal="center"/>
    </xf>
    <xf numFmtId="0" fontId="10" fillId="0" borderId="0" xfId="0" applyFont="1"/>
    <xf numFmtId="0" fontId="7" fillId="11" borderId="48" xfId="0" applyFont="1" applyFill="1" applyBorder="1" applyAlignment="1">
      <alignment horizontal="center" vertical="center" wrapText="1"/>
    </xf>
    <xf numFmtId="0" fontId="14" fillId="12" borderId="0" xfId="0" applyFont="1" applyFill="1" applyAlignment="1">
      <alignment horizontal="center"/>
    </xf>
    <xf numFmtId="0" fontId="14" fillId="0" borderId="0" xfId="0" applyFont="1" applyAlignment="1">
      <alignment horizontal="center"/>
    </xf>
    <xf numFmtId="0" fontId="7" fillId="11" borderId="29" xfId="0" applyFont="1" applyFill="1" applyBorder="1" applyAlignment="1">
      <alignment horizontal="center" vertical="center" wrapText="1"/>
    </xf>
    <xf numFmtId="0" fontId="14" fillId="0" borderId="0" xfId="0" applyFont="1"/>
    <xf numFmtId="0" fontId="16" fillId="3" borderId="0" xfId="0" applyFont="1" applyFill="1"/>
    <xf numFmtId="0" fontId="14" fillId="0" borderId="0" xfId="0" applyFont="1" applyAlignment="1">
      <alignment horizontal="right"/>
    </xf>
    <xf numFmtId="166" fontId="14" fillId="13" borderId="0" xfId="0" applyNumberFormat="1" applyFont="1" applyFill="1"/>
    <xf numFmtId="166" fontId="14" fillId="0" borderId="0" xfId="0" applyNumberFormat="1" applyFont="1"/>
    <xf numFmtId="167" fontId="10" fillId="0" borderId="0" xfId="0" applyNumberFormat="1" applyFont="1"/>
    <xf numFmtId="14" fontId="10" fillId="14" borderId="0" xfId="0" applyNumberFormat="1" applyFont="1" applyFill="1"/>
    <xf numFmtId="166" fontId="10" fillId="13" borderId="0" xfId="0" applyNumberFormat="1" applyFont="1" applyFill="1"/>
    <xf numFmtId="166" fontId="10" fillId="0" borderId="0" xfId="0" applyNumberFormat="1" applyFont="1"/>
    <xf numFmtId="167" fontId="14" fillId="0" borderId="0" xfId="0" applyNumberFormat="1" applyFont="1"/>
    <xf numFmtId="14" fontId="10" fillId="0" borderId="0" xfId="0" applyNumberFormat="1" applyFont="1"/>
    <xf numFmtId="14" fontId="14" fillId="0" borderId="0" xfId="0" applyNumberFormat="1" applyFont="1"/>
    <xf numFmtId="0" fontId="5" fillId="8" borderId="36" xfId="0" applyFont="1" applyFill="1" applyBorder="1" applyAlignment="1">
      <alignment horizontal="center"/>
    </xf>
    <xf numFmtId="0" fontId="5" fillId="8" borderId="37" xfId="0" applyFont="1" applyFill="1" applyBorder="1" applyAlignment="1">
      <alignment horizontal="center"/>
    </xf>
    <xf numFmtId="0" fontId="1" fillId="9" borderId="49" xfId="0" applyFont="1" applyFill="1" applyBorder="1" applyAlignment="1">
      <alignment horizontal="center"/>
    </xf>
    <xf numFmtId="0" fontId="1" fillId="9" borderId="48" xfId="0" applyFont="1" applyFill="1" applyBorder="1" applyAlignment="1">
      <alignment horizontal="center"/>
    </xf>
    <xf numFmtId="0" fontId="1" fillId="9" borderId="50" xfId="0" applyFont="1" applyFill="1" applyBorder="1" applyAlignment="1">
      <alignment horizontal="center"/>
    </xf>
    <xf numFmtId="4" fontId="14" fillId="9" borderId="53" xfId="0" applyNumberFormat="1" applyFont="1" applyFill="1" applyBorder="1" applyAlignment="1">
      <alignment horizontal="center"/>
    </xf>
    <xf numFmtId="4" fontId="14" fillId="9" borderId="50" xfId="0" applyNumberFormat="1" applyFont="1" applyFill="1" applyBorder="1" applyAlignment="1">
      <alignment horizontal="center"/>
    </xf>
    <xf numFmtId="0" fontId="12" fillId="15" borderId="49" xfId="0" applyFont="1" applyFill="1" applyBorder="1" applyAlignment="1">
      <alignment horizontal="center"/>
    </xf>
    <xf numFmtId="0" fontId="12" fillId="15" borderId="53" xfId="0" applyFont="1" applyFill="1" applyBorder="1" applyAlignment="1">
      <alignment horizontal="center"/>
    </xf>
    <xf numFmtId="4" fontId="12" fillId="15" borderId="56" xfId="0" applyNumberFormat="1" applyFont="1" applyFill="1" applyBorder="1" applyAlignment="1">
      <alignment horizontal="center"/>
    </xf>
    <xf numFmtId="4" fontId="12" fillId="15" borderId="57" xfId="0" applyNumberFormat="1" applyFont="1" applyFill="1" applyBorder="1" applyAlignment="1">
      <alignment horizontal="center"/>
    </xf>
    <xf numFmtId="2" fontId="12" fillId="15" borderId="56" xfId="0" applyNumberFormat="1" applyFont="1" applyFill="1" applyBorder="1" applyAlignment="1">
      <alignment horizontal="center"/>
    </xf>
    <xf numFmtId="2" fontId="12" fillId="15" borderId="57" xfId="0" applyNumberFormat="1" applyFont="1" applyFill="1" applyBorder="1" applyAlignment="1">
      <alignment horizontal="center"/>
    </xf>
    <xf numFmtId="0" fontId="1" fillId="10" borderId="48" xfId="0" applyFont="1" applyFill="1" applyBorder="1" applyAlignment="1">
      <alignment horizontal="center"/>
    </xf>
    <xf numFmtId="4" fontId="1" fillId="10" borderId="50" xfId="0" applyNumberFormat="1" applyFont="1" applyFill="1" applyBorder="1" applyAlignment="1">
      <alignment horizontal="center"/>
    </xf>
    <xf numFmtId="4" fontId="14" fillId="3" borderId="12" xfId="0" applyNumberFormat="1" applyFont="1" applyFill="1" applyBorder="1" applyAlignment="1">
      <alignment horizontal="center"/>
    </xf>
    <xf numFmtId="4" fontId="14" fillId="3" borderId="41" xfId="0" applyNumberFormat="1" applyFont="1" applyFill="1" applyBorder="1" applyAlignment="1">
      <alignment horizontal="center"/>
    </xf>
    <xf numFmtId="0" fontId="14" fillId="3" borderId="41" xfId="0" applyFont="1" applyFill="1" applyBorder="1" applyAlignment="1">
      <alignment horizontal="center"/>
    </xf>
    <xf numFmtId="0" fontId="12" fillId="15" borderId="56" xfId="0" applyFont="1" applyFill="1" applyBorder="1" applyAlignment="1">
      <alignment horizontal="center"/>
    </xf>
    <xf numFmtId="0" fontId="12" fillId="15" borderId="57" xfId="0" applyFont="1" applyFill="1" applyBorder="1" applyAlignment="1">
      <alignment horizontal="center"/>
    </xf>
    <xf numFmtId="0" fontId="1" fillId="4" borderId="0" xfId="0" applyFont="1" applyFill="1" applyAlignment="1">
      <alignment horizontal="center"/>
    </xf>
    <xf numFmtId="0" fontId="1" fillId="4" borderId="59" xfId="0" applyFont="1" applyFill="1" applyBorder="1" applyAlignment="1">
      <alignment horizontal="center"/>
    </xf>
    <xf numFmtId="0" fontId="1" fillId="4" borderId="48" xfId="0" applyFont="1" applyFill="1" applyBorder="1" applyAlignment="1">
      <alignment horizontal="center"/>
    </xf>
    <xf numFmtId="0" fontId="1" fillId="4" borderId="50" xfId="0" applyFont="1" applyFill="1" applyBorder="1" applyAlignment="1">
      <alignment horizontal="center"/>
    </xf>
    <xf numFmtId="4" fontId="12" fillId="16" borderId="10" xfId="0" applyNumberFormat="1" applyFont="1" applyFill="1" applyBorder="1" applyAlignment="1">
      <alignment horizontal="center"/>
    </xf>
    <xf numFmtId="4" fontId="12" fillId="16" borderId="37" xfId="0" applyNumberFormat="1" applyFont="1" applyFill="1" applyBorder="1" applyAlignment="1">
      <alignment horizontal="center"/>
    </xf>
    <xf numFmtId="0" fontId="12" fillId="16" borderId="60" xfId="0" applyFont="1" applyFill="1" applyBorder="1" applyAlignment="1">
      <alignment horizontal="center"/>
    </xf>
    <xf numFmtId="0" fontId="12" fillId="16" borderId="61" xfId="0" applyFont="1" applyFill="1" applyBorder="1" applyAlignment="1">
      <alignment horizontal="center"/>
    </xf>
    <xf numFmtId="4" fontId="12" fillId="16" borderId="62" xfId="0" applyNumberFormat="1" applyFont="1" applyFill="1" applyBorder="1" applyAlignment="1">
      <alignment horizontal="center"/>
    </xf>
    <xf numFmtId="4" fontId="12" fillId="16" borderId="63" xfId="0" applyNumberFormat="1" applyFont="1" applyFill="1" applyBorder="1" applyAlignment="1">
      <alignment horizontal="center"/>
    </xf>
    <xf numFmtId="0" fontId="10" fillId="0" borderId="0" xfId="0" applyFont="1" applyAlignment="1">
      <alignment wrapText="1"/>
    </xf>
    <xf numFmtId="0" fontId="1" fillId="4" borderId="64" xfId="0" applyFont="1" applyFill="1" applyBorder="1" applyAlignment="1">
      <alignment horizontal="center" wrapText="1"/>
    </xf>
    <xf numFmtId="0" fontId="1" fillId="4" borderId="65" xfId="0" applyFont="1" applyFill="1" applyBorder="1" applyAlignment="1">
      <alignment horizontal="center"/>
    </xf>
    <xf numFmtId="165" fontId="1" fillId="4" borderId="65" xfId="0" applyNumberFormat="1" applyFont="1" applyFill="1" applyBorder="1" applyAlignment="1">
      <alignment horizontal="center"/>
    </xf>
    <xf numFmtId="0" fontId="1" fillId="4" borderId="66" xfId="0" applyFont="1" applyFill="1" applyBorder="1" applyAlignment="1">
      <alignment horizontal="center"/>
    </xf>
    <xf numFmtId="0" fontId="14" fillId="0" borderId="12" xfId="0" applyFont="1" applyBorder="1" applyAlignment="1">
      <alignment horizontal="center"/>
    </xf>
    <xf numFmtId="4" fontId="14" fillId="0" borderId="12" xfId="0" applyNumberFormat="1" applyFont="1" applyBorder="1" applyAlignment="1">
      <alignment horizontal="center"/>
    </xf>
    <xf numFmtId="10" fontId="14" fillId="0" borderId="12" xfId="0" applyNumberFormat="1" applyFont="1" applyBorder="1" applyAlignment="1">
      <alignment horizontal="center"/>
    </xf>
    <xf numFmtId="0" fontId="14" fillId="0" borderId="55" xfId="0" applyFont="1" applyBorder="1" applyAlignment="1">
      <alignment horizontal="center"/>
    </xf>
    <xf numFmtId="0" fontId="14" fillId="0" borderId="16" xfId="0" applyFont="1" applyBorder="1" applyAlignment="1">
      <alignment horizontal="center"/>
    </xf>
    <xf numFmtId="4" fontId="14" fillId="0" borderId="16" xfId="0" applyNumberFormat="1" applyFont="1" applyBorder="1" applyAlignment="1">
      <alignment horizontal="center"/>
    </xf>
    <xf numFmtId="4" fontId="14" fillId="0" borderId="55" xfId="0" applyNumberFormat="1" applyFont="1" applyBorder="1" applyAlignment="1">
      <alignment horizontal="center"/>
    </xf>
    <xf numFmtId="10" fontId="14" fillId="0" borderId="55" xfId="0" applyNumberFormat="1" applyFont="1" applyBorder="1" applyAlignment="1">
      <alignment horizontal="center"/>
    </xf>
    <xf numFmtId="0" fontId="14" fillId="0" borderId="53" xfId="0" applyFont="1" applyBorder="1"/>
    <xf numFmtId="0" fontId="14" fillId="17" borderId="53" xfId="0" applyFont="1" applyFill="1" applyBorder="1" applyAlignment="1">
      <alignment horizontal="center"/>
    </xf>
    <xf numFmtId="4" fontId="14" fillId="17" borderId="53" xfId="0" applyNumberFormat="1" applyFont="1" applyFill="1" applyBorder="1" applyAlignment="1">
      <alignment horizontal="center"/>
    </xf>
    <xf numFmtId="4" fontId="14" fillId="17" borderId="55" xfId="0" applyNumberFormat="1" applyFont="1" applyFill="1" applyBorder="1" applyAlignment="1">
      <alignment horizontal="center"/>
    </xf>
    <xf numFmtId="10" fontId="14" fillId="17" borderId="55" xfId="0" applyNumberFormat="1" applyFont="1" applyFill="1" applyBorder="1" applyAlignment="1">
      <alignment horizontal="center"/>
    </xf>
    <xf numFmtId="0" fontId="14" fillId="18" borderId="53" xfId="0" applyFont="1" applyFill="1" applyBorder="1" applyAlignment="1">
      <alignment horizontal="center"/>
    </xf>
    <xf numFmtId="4" fontId="14" fillId="18" borderId="53" xfId="0" applyNumberFormat="1" applyFont="1" applyFill="1" applyBorder="1" applyAlignment="1">
      <alignment horizontal="center"/>
    </xf>
    <xf numFmtId="4" fontId="14" fillId="18" borderId="55" xfId="0" applyNumberFormat="1" applyFont="1" applyFill="1" applyBorder="1" applyAlignment="1">
      <alignment horizontal="center"/>
    </xf>
    <xf numFmtId="10" fontId="14" fillId="18" borderId="55" xfId="0" applyNumberFormat="1" applyFont="1" applyFill="1" applyBorder="1" applyAlignment="1">
      <alignment horizontal="center"/>
    </xf>
    <xf numFmtId="4" fontId="14" fillId="0" borderId="71" xfId="0" applyNumberFormat="1" applyFont="1" applyBorder="1" applyAlignment="1">
      <alignment horizontal="center"/>
    </xf>
    <xf numFmtId="0" fontId="14" fillId="0" borderId="73" xfId="0" applyFont="1" applyBorder="1"/>
    <xf numFmtId="0" fontId="14" fillId="18" borderId="73" xfId="0" applyFont="1" applyFill="1" applyBorder="1" applyAlignment="1">
      <alignment horizontal="center"/>
    </xf>
    <xf numFmtId="4" fontId="14" fillId="18" borderId="73" xfId="0" applyNumberFormat="1" applyFont="1" applyFill="1" applyBorder="1" applyAlignment="1">
      <alignment horizontal="center"/>
    </xf>
    <xf numFmtId="4" fontId="14" fillId="18" borderId="74" xfId="0" applyNumberFormat="1" applyFont="1" applyFill="1" applyBorder="1" applyAlignment="1">
      <alignment horizontal="center"/>
    </xf>
    <xf numFmtId="10" fontId="14" fillId="18" borderId="74" xfId="0" applyNumberFormat="1" applyFont="1" applyFill="1" applyBorder="1" applyAlignment="1">
      <alignment horizontal="center"/>
    </xf>
    <xf numFmtId="0" fontId="14" fillId="0" borderId="75" xfId="0" applyFont="1" applyBorder="1" applyAlignment="1">
      <alignment horizontal="center" wrapText="1"/>
    </xf>
    <xf numFmtId="0" fontId="14" fillId="0" borderId="76" xfId="0" applyFont="1" applyBorder="1" applyAlignment="1">
      <alignment horizontal="center"/>
    </xf>
    <xf numFmtId="4" fontId="14" fillId="0" borderId="76" xfId="0" applyNumberFormat="1" applyFont="1" applyBorder="1" applyAlignment="1">
      <alignment horizontal="center"/>
    </xf>
    <xf numFmtId="10" fontId="14" fillId="0" borderId="66" xfId="0" applyNumberFormat="1" applyFont="1" applyBorder="1" applyAlignment="1">
      <alignment horizontal="center"/>
    </xf>
    <xf numFmtId="0" fontId="14" fillId="0" borderId="0" xfId="0" applyFont="1" applyAlignment="1">
      <alignment horizontal="center" wrapText="1"/>
    </xf>
    <xf numFmtId="4" fontId="14" fillId="0" borderId="0" xfId="0" applyNumberFormat="1" applyFont="1" applyAlignment="1">
      <alignment horizontal="center"/>
    </xf>
    <xf numFmtId="10" fontId="14" fillId="0" borderId="0" xfId="0" applyNumberFormat="1" applyFont="1" applyAlignment="1">
      <alignment horizontal="center"/>
    </xf>
    <xf numFmtId="0" fontId="18" fillId="4" borderId="64" xfId="0" applyFont="1" applyFill="1" applyBorder="1" applyAlignment="1">
      <alignment horizontal="center"/>
    </xf>
    <xf numFmtId="0" fontId="18" fillId="4" borderId="65" xfId="0" applyFont="1" applyFill="1" applyBorder="1" applyAlignment="1">
      <alignment horizontal="center"/>
    </xf>
    <xf numFmtId="165" fontId="1" fillId="4" borderId="66" xfId="0" applyNumberFormat="1" applyFont="1" applyFill="1" applyBorder="1" applyAlignment="1">
      <alignment horizontal="center"/>
    </xf>
    <xf numFmtId="0" fontId="7" fillId="11" borderId="78" xfId="0" applyFont="1" applyFill="1" applyBorder="1" applyAlignment="1">
      <alignment horizontal="center" vertical="center" wrapText="1"/>
    </xf>
    <xf numFmtId="0" fontId="8" fillId="0" borderId="79" xfId="0" applyFont="1" applyBorder="1" applyAlignment="1">
      <alignment horizontal="center"/>
    </xf>
    <xf numFmtId="2" fontId="14" fillId="0" borderId="79" xfId="0" applyNumberFormat="1" applyFont="1" applyBorder="1" applyAlignment="1">
      <alignment horizontal="center"/>
    </xf>
    <xf numFmtId="2" fontId="14" fillId="0" borderId="80" xfId="0" applyNumberFormat="1" applyFont="1" applyBorder="1" applyAlignment="1">
      <alignment horizontal="center"/>
    </xf>
    <xf numFmtId="0" fontId="7" fillId="11" borderId="74" xfId="0" applyFont="1" applyFill="1" applyBorder="1" applyAlignment="1">
      <alignment horizontal="center" vertical="center" wrapText="1"/>
    </xf>
    <xf numFmtId="0" fontId="8" fillId="0" borderId="82" xfId="0" applyFont="1" applyBorder="1" applyAlignment="1">
      <alignment horizontal="center"/>
    </xf>
    <xf numFmtId="2" fontId="14" fillId="0" borderId="82" xfId="0" applyNumberFormat="1" applyFont="1" applyBorder="1" applyAlignment="1">
      <alignment horizontal="center"/>
    </xf>
    <xf numFmtId="2" fontId="14" fillId="0" borderId="83" xfId="0" applyNumberFormat="1" applyFont="1" applyBorder="1" applyAlignment="1">
      <alignment horizontal="center"/>
    </xf>
    <xf numFmtId="0" fontId="7" fillId="11" borderId="12" xfId="0" applyFont="1" applyFill="1" applyBorder="1" applyAlignment="1">
      <alignment horizontal="center" vertical="center" wrapText="1"/>
    </xf>
    <xf numFmtId="2" fontId="14" fillId="0" borderId="22" xfId="0" applyNumberFormat="1" applyFont="1" applyBorder="1" applyAlignment="1">
      <alignment horizontal="center"/>
    </xf>
    <xf numFmtId="2" fontId="14" fillId="0" borderId="85" xfId="0" applyNumberFormat="1" applyFont="1" applyBorder="1" applyAlignment="1">
      <alignment horizontal="center"/>
    </xf>
    <xf numFmtId="0" fontId="7" fillId="11" borderId="55" xfId="0" applyFont="1" applyFill="1" applyBorder="1" applyAlignment="1">
      <alignment horizontal="center" vertical="center" wrapText="1"/>
    </xf>
    <xf numFmtId="0" fontId="8" fillId="0" borderId="16" xfId="0" applyFont="1" applyBorder="1" applyAlignment="1">
      <alignment horizontal="center"/>
    </xf>
    <xf numFmtId="2" fontId="14" fillId="0" borderId="16" xfId="0" applyNumberFormat="1" applyFont="1" applyBorder="1" applyAlignment="1">
      <alignment horizontal="center"/>
    </xf>
    <xf numFmtId="2" fontId="14" fillId="0" borderId="86" xfId="0" applyNumberFormat="1" applyFont="1" applyBorder="1" applyAlignment="1">
      <alignment horizontal="center"/>
    </xf>
    <xf numFmtId="0" fontId="10" fillId="0" borderId="0" xfId="0" applyFont="1" applyAlignment="1">
      <alignment horizontal="center" vertical="center" wrapText="1"/>
    </xf>
    <xf numFmtId="0" fontId="13" fillId="0" borderId="0" xfId="0" applyFont="1" applyAlignment="1">
      <alignment horizontal="center" vertical="center" wrapText="1"/>
    </xf>
    <xf numFmtId="0" fontId="13" fillId="3" borderId="0" xfId="0" applyFont="1" applyFill="1" applyAlignment="1">
      <alignment horizontal="center" vertical="center" wrapText="1"/>
    </xf>
    <xf numFmtId="0" fontId="21" fillId="3" borderId="0" xfId="0" applyFont="1" applyFill="1" applyAlignment="1">
      <alignment horizontal="center" vertical="center" wrapText="1"/>
    </xf>
    <xf numFmtId="0" fontId="14" fillId="0" borderId="93" xfId="0" applyFont="1" applyBorder="1" applyAlignment="1">
      <alignment horizontal="center"/>
    </xf>
    <xf numFmtId="0" fontId="14" fillId="0" borderId="94" xfId="0" applyFont="1" applyBorder="1" applyAlignment="1">
      <alignment horizontal="center"/>
    </xf>
    <xf numFmtId="0" fontId="2" fillId="19" borderId="75" xfId="0" applyFont="1" applyFill="1" applyBorder="1" applyAlignment="1">
      <alignment horizontal="center" vertical="center" wrapText="1"/>
    </xf>
    <xf numFmtId="0" fontId="2" fillId="19" borderId="76" xfId="0" applyFont="1" applyFill="1" applyBorder="1" applyAlignment="1">
      <alignment horizontal="center" vertical="center" wrapText="1"/>
    </xf>
    <xf numFmtId="0" fontId="2" fillId="19" borderId="66" xfId="0" applyFont="1" applyFill="1" applyBorder="1" applyAlignment="1">
      <alignment horizontal="center" vertical="center" wrapText="1"/>
    </xf>
    <xf numFmtId="165" fontId="10" fillId="0" borderId="95" xfId="0" applyNumberFormat="1" applyFont="1" applyBorder="1" applyAlignment="1">
      <alignment horizontal="center" vertical="center" wrapText="1"/>
    </xf>
    <xf numFmtId="2" fontId="10" fillId="0" borderId="22" xfId="0" applyNumberFormat="1" applyFont="1" applyBorder="1" applyAlignment="1">
      <alignment horizontal="center" vertical="center" wrapText="1"/>
    </xf>
    <xf numFmtId="0" fontId="10" fillId="0" borderId="22" xfId="0" applyFont="1" applyBorder="1" applyAlignment="1">
      <alignment horizontal="center" vertical="center" wrapText="1"/>
    </xf>
    <xf numFmtId="0" fontId="10" fillId="0" borderId="85" xfId="0" applyFont="1" applyBorder="1" applyAlignment="1">
      <alignment horizontal="center" vertical="center" wrapText="1"/>
    </xf>
    <xf numFmtId="165" fontId="10" fillId="0" borderId="96" xfId="0" applyNumberFormat="1" applyFont="1" applyBorder="1" applyAlignment="1">
      <alignment horizontal="center" vertical="center" wrapText="1"/>
    </xf>
    <xf numFmtId="2" fontId="10" fillId="0" borderId="16" xfId="0" applyNumberFormat="1" applyFont="1" applyBorder="1" applyAlignment="1">
      <alignment horizontal="center" vertical="center" wrapText="1"/>
    </xf>
    <xf numFmtId="0" fontId="10" fillId="0" borderId="16" xfId="0" applyFont="1" applyBorder="1" applyAlignment="1">
      <alignment horizontal="center" vertical="center" wrapText="1"/>
    </xf>
    <xf numFmtId="0" fontId="10" fillId="0" borderId="86" xfId="0" applyFont="1" applyBorder="1" applyAlignment="1">
      <alignment horizontal="center" vertical="center" wrapText="1"/>
    </xf>
    <xf numFmtId="165" fontId="10" fillId="0" borderId="97" xfId="0" applyNumberFormat="1" applyFont="1" applyBorder="1" applyAlignment="1">
      <alignment horizontal="center" vertical="center" wrapText="1"/>
    </xf>
    <xf numFmtId="2" fontId="10" fillId="0" borderId="82" xfId="0" applyNumberFormat="1" applyFont="1" applyBorder="1" applyAlignment="1">
      <alignment horizontal="center" vertical="center" wrapText="1"/>
    </xf>
    <xf numFmtId="0" fontId="10" fillId="0" borderId="82" xfId="0" applyFont="1" applyBorder="1" applyAlignment="1">
      <alignment horizontal="center" vertical="center" wrapText="1"/>
    </xf>
    <xf numFmtId="0" fontId="10" fillId="0" borderId="83" xfId="0" applyFont="1" applyBorder="1" applyAlignment="1">
      <alignment horizontal="center" vertical="center" wrapText="1"/>
    </xf>
    <xf numFmtId="0" fontId="22" fillId="0" borderId="0" xfId="0" applyFont="1" applyAlignment="1">
      <alignment horizontal="center"/>
    </xf>
    <xf numFmtId="14" fontId="22" fillId="0" borderId="0" xfId="0" applyNumberFormat="1" applyFont="1" applyAlignment="1">
      <alignment horizontal="center"/>
    </xf>
    <xf numFmtId="0" fontId="24" fillId="3" borderId="0" xfId="0" applyFont="1" applyFill="1" applyAlignment="1">
      <alignment horizontal="center" vertical="center" wrapText="1"/>
    </xf>
    <xf numFmtId="0" fontId="25" fillId="0" borderId="28" xfId="0" applyFont="1" applyBorder="1" applyAlignment="1">
      <alignment horizontal="center"/>
    </xf>
    <xf numFmtId="0" fontId="25" fillId="0" borderId="0" xfId="0" applyFont="1" applyAlignment="1">
      <alignment horizontal="center"/>
    </xf>
    <xf numFmtId="0" fontId="26" fillId="0" borderId="0" xfId="0" applyFont="1" applyAlignment="1">
      <alignment horizontal="center"/>
    </xf>
    <xf numFmtId="0" fontId="24" fillId="0" borderId="0" xfId="0" applyFont="1" applyAlignment="1">
      <alignment horizontal="center"/>
    </xf>
    <xf numFmtId="0" fontId="9" fillId="11" borderId="28" xfId="0" applyFont="1" applyFill="1" applyBorder="1" applyAlignment="1">
      <alignment horizontal="center" vertical="center" wrapText="1"/>
    </xf>
    <xf numFmtId="0" fontId="2" fillId="0" borderId="0" xfId="0" applyFont="1" applyAlignment="1">
      <alignment horizontal="center" wrapText="1"/>
    </xf>
    <xf numFmtId="0" fontId="22" fillId="0" borderId="0" xfId="0" applyFont="1" applyAlignment="1">
      <alignment horizontal="center" wrapText="1"/>
    </xf>
    <xf numFmtId="0" fontId="2" fillId="0" borderId="4" xfId="0" applyFont="1" applyBorder="1" applyAlignment="1">
      <alignment horizontal="center"/>
    </xf>
    <xf numFmtId="164" fontId="2" fillId="0" borderId="21" xfId="0" applyNumberFormat="1" applyFont="1" applyBorder="1" applyAlignment="1">
      <alignment horizontal="center"/>
    </xf>
    <xf numFmtId="2" fontId="2" fillId="0" borderId="22" xfId="0" applyNumberFormat="1" applyFont="1" applyBorder="1" applyAlignment="1">
      <alignment horizontal="center"/>
    </xf>
    <xf numFmtId="164" fontId="2" fillId="0" borderId="14" xfId="0" applyNumberFormat="1" applyFont="1" applyBorder="1" applyAlignment="1">
      <alignment horizontal="center"/>
    </xf>
    <xf numFmtId="2" fontId="2" fillId="0" borderId="16" xfId="0" applyNumberFormat="1" applyFont="1" applyBorder="1" applyAlignment="1">
      <alignment horizontal="center"/>
    </xf>
    <xf numFmtId="0" fontId="2" fillId="0" borderId="99" xfId="0" applyFont="1" applyBorder="1" applyAlignment="1">
      <alignment horizontal="center"/>
    </xf>
    <xf numFmtId="2" fontId="2" fillId="0" borderId="100" xfId="0" applyNumberFormat="1" applyFont="1" applyBorder="1" applyAlignment="1">
      <alignment horizontal="center"/>
    </xf>
    <xf numFmtId="0" fontId="2" fillId="0" borderId="28" xfId="0" applyFont="1" applyBorder="1" applyAlignment="1">
      <alignment horizontal="center"/>
    </xf>
    <xf numFmtId="2" fontId="2" fillId="0" borderId="29" xfId="0" applyNumberFormat="1" applyFont="1" applyBorder="1" applyAlignment="1">
      <alignment horizontal="center"/>
    </xf>
    <xf numFmtId="14" fontId="10" fillId="0" borderId="0" xfId="0" applyNumberFormat="1" applyFont="1" applyAlignment="1">
      <alignment horizontal="center"/>
    </xf>
    <xf numFmtId="21" fontId="10" fillId="0" borderId="0" xfId="0" applyNumberFormat="1" applyFont="1"/>
    <xf numFmtId="0" fontId="8" fillId="0" borderId="78" xfId="0" applyFont="1" applyBorder="1" applyAlignment="1">
      <alignment horizontal="center"/>
    </xf>
    <xf numFmtId="0" fontId="14" fillId="21" borderId="0" xfId="0" applyFont="1" applyFill="1" applyAlignment="1">
      <alignment horizontal="center"/>
    </xf>
    <xf numFmtId="0" fontId="1" fillId="9" borderId="0" xfId="0" applyFont="1" applyFill="1" applyAlignment="1">
      <alignment horizontal="center"/>
    </xf>
    <xf numFmtId="0" fontId="5" fillId="9" borderId="0" xfId="0" applyFont="1" applyFill="1" applyAlignment="1">
      <alignment horizontal="center"/>
    </xf>
    <xf numFmtId="168" fontId="14" fillId="0" borderId="0" xfId="0" applyNumberFormat="1" applyFont="1" applyAlignment="1">
      <alignment horizontal="right"/>
    </xf>
    <xf numFmtId="168" fontId="10" fillId="0" borderId="0" xfId="0" applyNumberFormat="1" applyFont="1"/>
    <xf numFmtId="2" fontId="10" fillId="0" borderId="0" xfId="0" applyNumberFormat="1" applyFont="1"/>
    <xf numFmtId="168" fontId="27" fillId="0" borderId="0" xfId="0" applyNumberFormat="1" applyFont="1" applyAlignment="1">
      <alignment horizontal="right"/>
    </xf>
    <xf numFmtId="164" fontId="27" fillId="0" borderId="0" xfId="0" applyNumberFormat="1" applyFont="1" applyAlignment="1">
      <alignment horizontal="right"/>
    </xf>
    <xf numFmtId="0" fontId="10" fillId="3" borderId="0" xfId="0" applyFont="1" applyFill="1"/>
    <xf numFmtId="0" fontId="14" fillId="9" borderId="0" xfId="0" applyFont="1" applyFill="1" applyAlignment="1">
      <alignment horizontal="center"/>
    </xf>
    <xf numFmtId="0" fontId="14" fillId="3" borderId="0" xfId="0" applyFont="1" applyFill="1" applyAlignment="1">
      <alignment horizontal="center"/>
    </xf>
    <xf numFmtId="21" fontId="14" fillId="0" borderId="0" xfId="0" applyNumberFormat="1" applyFont="1" applyAlignment="1">
      <alignment horizontal="right"/>
    </xf>
    <xf numFmtId="0" fontId="27" fillId="0" borderId="0" xfId="0" applyFont="1" applyAlignment="1">
      <alignment horizontal="right"/>
    </xf>
    <xf numFmtId="0" fontId="28" fillId="3" borderId="0" xfId="0" applyFont="1" applyFill="1"/>
    <xf numFmtId="165" fontId="14" fillId="0" borderId="0" xfId="0" applyNumberFormat="1" applyFont="1" applyAlignment="1">
      <alignment horizontal="right"/>
    </xf>
    <xf numFmtId="2" fontId="14" fillId="0" borderId="0" xfId="0" applyNumberFormat="1" applyFont="1" applyAlignment="1">
      <alignment horizontal="center" wrapText="1"/>
    </xf>
    <xf numFmtId="165" fontId="14" fillId="0" borderId="0" xfId="0" applyNumberFormat="1" applyFont="1" applyAlignment="1">
      <alignment horizontal="left"/>
    </xf>
    <xf numFmtId="0" fontId="14" fillId="0" borderId="0" xfId="0" applyFont="1" applyAlignment="1">
      <alignment horizontal="left"/>
    </xf>
    <xf numFmtId="167" fontId="14" fillId="0" borderId="0" xfId="0" applyNumberFormat="1" applyFont="1" applyAlignment="1">
      <alignment horizontal="left"/>
    </xf>
    <xf numFmtId="0" fontId="5" fillId="4" borderId="7" xfId="0" applyFont="1" applyFill="1" applyBorder="1" applyAlignment="1">
      <alignment horizontal="center"/>
    </xf>
    <xf numFmtId="0" fontId="6" fillId="0" borderId="10" xfId="0" applyFont="1" applyBorder="1"/>
    <xf numFmtId="0" fontId="5" fillId="0" borderId="11" xfId="0" applyFont="1" applyBorder="1" applyAlignment="1">
      <alignment horizontal="left"/>
    </xf>
    <xf numFmtId="0" fontId="6" fillId="0" borderId="12" xfId="0" applyFont="1" applyBorder="1"/>
    <xf numFmtId="0" fontId="1" fillId="5" borderId="7" xfId="0" applyFont="1" applyFill="1" applyBorder="1" applyAlignment="1">
      <alignment horizontal="center"/>
    </xf>
    <xf numFmtId="0" fontId="5" fillId="3" borderId="11" xfId="0" applyFont="1" applyFill="1" applyBorder="1" applyAlignment="1">
      <alignment horizontal="left"/>
    </xf>
    <xf numFmtId="0" fontId="1" fillId="5" borderId="23" xfId="0" applyFont="1" applyFill="1" applyBorder="1" applyAlignment="1">
      <alignment horizontal="center"/>
    </xf>
    <xf numFmtId="0" fontId="6" fillId="0" borderId="24" xfId="0" applyFont="1" applyBorder="1"/>
    <xf numFmtId="0" fontId="11" fillId="7" borderId="31" xfId="0" applyFont="1" applyFill="1" applyBorder="1" applyAlignment="1">
      <alignment horizontal="center" vertical="center" wrapText="1"/>
    </xf>
    <xf numFmtId="0" fontId="6" fillId="0" borderId="25" xfId="0" applyFont="1" applyBorder="1"/>
    <xf numFmtId="0" fontId="6" fillId="0" borderId="26" xfId="0" applyFont="1" applyBorder="1"/>
    <xf numFmtId="0" fontId="6" fillId="0" borderId="32" xfId="0" applyFont="1" applyBorder="1"/>
    <xf numFmtId="0" fontId="6" fillId="0" borderId="33" xfId="0" applyFont="1" applyBorder="1"/>
    <xf numFmtId="0" fontId="6" fillId="0" borderId="34" xfId="0" applyFont="1" applyBorder="1"/>
    <xf numFmtId="0" fontId="1" fillId="8" borderId="35" xfId="0" applyFont="1" applyFill="1" applyBorder="1" applyAlignment="1">
      <alignment horizontal="center"/>
    </xf>
    <xf numFmtId="0" fontId="6" fillId="0" borderId="8" xfId="0" applyFont="1" applyBorder="1"/>
    <xf numFmtId="0" fontId="14" fillId="12" borderId="0" xfId="0" applyFont="1" applyFill="1" applyAlignment="1">
      <alignment horizontal="center"/>
    </xf>
    <xf numFmtId="0" fontId="0" fillId="0" borderId="0" xfId="0"/>
    <xf numFmtId="0" fontId="14" fillId="0" borderId="0" xfId="0" applyFont="1" applyAlignment="1">
      <alignment horizontal="center"/>
    </xf>
    <xf numFmtId="0" fontId="1" fillId="10" borderId="49" xfId="0" applyFont="1" applyFill="1" applyBorder="1" applyAlignment="1">
      <alignment horizontal="center"/>
    </xf>
    <xf numFmtId="0" fontId="6" fillId="0" borderId="48" xfId="0" applyFont="1" applyBorder="1"/>
    <xf numFmtId="0" fontId="5" fillId="8" borderId="35" xfId="0" applyFont="1" applyFill="1" applyBorder="1" applyAlignment="1">
      <alignment horizontal="center"/>
    </xf>
    <xf numFmtId="0" fontId="17" fillId="0" borderId="35" xfId="0" applyFont="1" applyBorder="1" applyAlignment="1">
      <alignment horizontal="center"/>
    </xf>
    <xf numFmtId="0" fontId="1" fillId="9" borderId="49" xfId="0" applyFont="1" applyFill="1" applyBorder="1" applyAlignment="1">
      <alignment horizontal="center"/>
    </xf>
    <xf numFmtId="0" fontId="14" fillId="9" borderId="51" xfId="0" applyFont="1" applyFill="1" applyBorder="1" applyAlignment="1">
      <alignment horizontal="center"/>
    </xf>
    <xf numFmtId="0" fontId="6" fillId="0" borderId="52" xfId="0" applyFont="1" applyBorder="1"/>
    <xf numFmtId="0" fontId="7" fillId="3" borderId="54" xfId="0" applyFont="1" applyFill="1" applyBorder="1" applyAlignment="1">
      <alignment horizontal="center" vertical="center" wrapText="1"/>
    </xf>
    <xf numFmtId="0" fontId="6" fillId="0" borderId="55" xfId="0" applyFont="1" applyBorder="1"/>
    <xf numFmtId="0" fontId="14" fillId="0" borderId="35" xfId="0" applyFont="1" applyBorder="1" applyAlignment="1">
      <alignment horizontal="center"/>
    </xf>
    <xf numFmtId="0" fontId="6" fillId="0" borderId="37" xfId="0" applyFont="1" applyBorder="1"/>
    <xf numFmtId="0" fontId="14" fillId="3" borderId="54" xfId="0" applyFont="1" applyFill="1" applyBorder="1" applyAlignment="1">
      <alignment horizontal="center"/>
    </xf>
    <xf numFmtId="0" fontId="1" fillId="4" borderId="49" xfId="0" applyFont="1" applyFill="1" applyBorder="1" applyAlignment="1">
      <alignment horizontal="center"/>
    </xf>
    <xf numFmtId="0" fontId="1" fillId="4" borderId="58" xfId="0" applyFont="1" applyFill="1" applyBorder="1" applyAlignment="1">
      <alignment horizontal="center"/>
    </xf>
    <xf numFmtId="0" fontId="12" fillId="16" borderId="35" xfId="0" applyFont="1" applyFill="1" applyBorder="1" applyAlignment="1">
      <alignment horizontal="center"/>
    </xf>
    <xf numFmtId="0" fontId="14" fillId="0" borderId="0" xfId="0" applyFont="1" applyAlignment="1">
      <alignment horizontal="center" wrapText="1"/>
    </xf>
    <xf numFmtId="0" fontId="7" fillId="11" borderId="70" xfId="0" applyFont="1" applyFill="1" applyBorder="1" applyAlignment="1">
      <alignment horizontal="center" vertical="center" wrapText="1"/>
    </xf>
    <xf numFmtId="0" fontId="6" fillId="0" borderId="68" xfId="0" applyFont="1" applyBorder="1"/>
    <xf numFmtId="0" fontId="6" fillId="0" borderId="72" xfId="0" applyFont="1" applyBorder="1"/>
    <xf numFmtId="0" fontId="14" fillId="0" borderId="0" xfId="0" applyFont="1"/>
    <xf numFmtId="0" fontId="7" fillId="11" borderId="67" xfId="0" applyFont="1" applyFill="1" applyBorder="1" applyAlignment="1">
      <alignment horizontal="center" vertical="center" wrapText="1"/>
    </xf>
    <xf numFmtId="0" fontId="6" fillId="0" borderId="69" xfId="0" applyFont="1" applyBorder="1"/>
    <xf numFmtId="0" fontId="14" fillId="0" borderId="77" xfId="0" applyFont="1" applyBorder="1" applyAlignment="1">
      <alignment horizontal="center" wrapText="1"/>
    </xf>
    <xf numFmtId="0" fontId="6" fillId="0" borderId="81" xfId="0" applyFont="1" applyBorder="1"/>
    <xf numFmtId="0" fontId="14" fillId="0" borderId="84" xfId="0" applyFont="1" applyBorder="1" applyAlignment="1">
      <alignment horizontal="center" wrapText="1"/>
    </xf>
    <xf numFmtId="0" fontId="6" fillId="0" borderId="84" xfId="0" applyFont="1" applyBorder="1"/>
    <xf numFmtId="0" fontId="19" fillId="17" borderId="87" xfId="0" applyFont="1" applyFill="1" applyBorder="1" applyAlignment="1">
      <alignment horizontal="center" vertical="center" wrapText="1"/>
    </xf>
    <xf numFmtId="0" fontId="6" fillId="0" borderId="88" xfId="0" applyFont="1" applyBorder="1"/>
    <xf numFmtId="0" fontId="6" fillId="0" borderId="90" xfId="0" applyFont="1" applyBorder="1"/>
    <xf numFmtId="0" fontId="6" fillId="0" borderId="91" xfId="0" applyFont="1" applyBorder="1"/>
    <xf numFmtId="0" fontId="20" fillId="17" borderId="88" xfId="0" applyFont="1" applyFill="1" applyBorder="1" applyAlignment="1">
      <alignment horizontal="center" vertical="center" wrapText="1"/>
    </xf>
    <xf numFmtId="0" fontId="6" fillId="0" borderId="89" xfId="0" applyFont="1" applyBorder="1"/>
    <xf numFmtId="0" fontId="6" fillId="0" borderId="92" xfId="0" applyFont="1" applyBorder="1"/>
    <xf numFmtId="0" fontId="20" fillId="20" borderId="2" xfId="0" applyFont="1" applyFill="1" applyBorder="1" applyAlignment="1">
      <alignment horizontal="center" vertical="center" wrapText="1"/>
    </xf>
    <xf numFmtId="0" fontId="6" fillId="0" borderId="2" xfId="0" applyFont="1" applyBorder="1"/>
    <xf numFmtId="0" fontId="6" fillId="0" borderId="3" xfId="0" applyFont="1" applyBorder="1"/>
    <xf numFmtId="0" fontId="6" fillId="0" borderId="98" xfId="0" applyFont="1" applyBorder="1"/>
    <xf numFmtId="0" fontId="23" fillId="0" borderId="29" xfId="0" applyFont="1" applyBorder="1" applyAlignment="1">
      <alignment horizontal="center"/>
    </xf>
    <xf numFmtId="0" fontId="6" fillId="0" borderId="29" xfId="0" applyFont="1" applyBorder="1"/>
    <xf numFmtId="0" fontId="1" fillId="0" borderId="29" xfId="0" applyFont="1" applyBorder="1" applyAlignment="1">
      <alignment horizontal="center"/>
    </xf>
    <xf numFmtId="0" fontId="1" fillId="0" borderId="35" xfId="0" applyFont="1" applyBorder="1" applyAlignment="1">
      <alignment horizontal="center"/>
    </xf>
    <xf numFmtId="0" fontId="5" fillId="9" borderId="0" xfId="0" applyFont="1" applyFill="1" applyAlignment="1">
      <alignment horizontal="center"/>
    </xf>
    <xf numFmtId="0" fontId="1" fillId="9" borderId="0" xfId="0" applyFont="1" applyFill="1" applyAlignment="1">
      <alignment horizontal="center"/>
    </xf>
    <xf numFmtId="0" fontId="27" fillId="0" borderId="0" xfId="0" applyNumberFormat="1" applyFont="1" applyAlignment="1">
      <alignment horizontal="right"/>
    </xf>
    <xf numFmtId="0" fontId="10" fillId="0" borderId="0" xfId="0" applyNumberFormat="1" applyFont="1"/>
    <xf numFmtId="0" fontId="22" fillId="0" borderId="0" xfId="0" applyNumberFormat="1" applyFont="1" applyAlignment="1">
      <alignment horizontal="center"/>
    </xf>
    <xf numFmtId="0" fontId="0" fillId="0" borderId="0" xfId="0" applyNumberFormat="1"/>
  </cellXfs>
  <cellStyles count="1">
    <cellStyle name="Normal" xfId="0" builtinId="0"/>
  </cellStyles>
  <dxfs count="1">
    <dxf>
      <fill>
        <patternFill patternType="solid">
          <fgColor rgb="FFB7E1CD"/>
          <bgColor rgb="FFB7E1C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pieChart>
        <c:varyColors val="1"/>
        <c:ser>
          <c:idx val="0"/>
          <c:order val="0"/>
          <c:tx>
            <c:strRef>
              <c:f>Formulas_Overview!$E$10</c:f>
              <c:strCache>
                <c:ptCount val="1"/>
              </c:strCache>
            </c:strRef>
          </c:tx>
          <c:dPt>
            <c:idx val="0"/>
            <c:bubble3D val="0"/>
            <c:spPr>
              <a:solidFill>
                <a:srgbClr val="4285F4"/>
              </a:solidFill>
            </c:spPr>
            <c:extLst>
              <c:ext xmlns:c16="http://schemas.microsoft.com/office/drawing/2014/chart" uri="{C3380CC4-5D6E-409C-BE32-E72D297353CC}">
                <c16:uniqueId val="{00000001-5CEB-4E0C-B303-30FCBF02897F}"/>
              </c:ext>
            </c:extLst>
          </c:dPt>
          <c:dPt>
            <c:idx val="1"/>
            <c:bubble3D val="0"/>
            <c:extLst>
              <c:ext xmlns:c16="http://schemas.microsoft.com/office/drawing/2014/chart" uri="{C3380CC4-5D6E-409C-BE32-E72D297353CC}">
                <c16:uniqueId val="{00000002-5CEB-4E0C-B303-30FCBF02897F}"/>
              </c:ext>
            </c:extLst>
          </c:dPt>
          <c:dPt>
            <c:idx val="2"/>
            <c:bubble3D val="0"/>
            <c:extLst>
              <c:ext xmlns:c16="http://schemas.microsoft.com/office/drawing/2014/chart" uri="{C3380CC4-5D6E-409C-BE32-E72D297353CC}">
                <c16:uniqueId val="{00000003-5CEB-4E0C-B303-30FCBF02897F}"/>
              </c:ext>
            </c:extLst>
          </c:dPt>
          <c:dPt>
            <c:idx val="3"/>
            <c:bubble3D val="0"/>
            <c:extLst>
              <c:ext xmlns:c16="http://schemas.microsoft.com/office/drawing/2014/chart" uri="{C3380CC4-5D6E-409C-BE32-E72D297353CC}">
                <c16:uniqueId val="{00000004-5CEB-4E0C-B303-30FCBF02897F}"/>
              </c:ext>
            </c:extLst>
          </c:dPt>
          <c:dLbls>
            <c:spPr>
              <a:noFill/>
              <a:ln>
                <a:noFill/>
              </a:ln>
              <a:effectLst/>
            </c:spPr>
            <c:showLegendKey val="0"/>
            <c:showVal val="1"/>
            <c:showCatName val="0"/>
            <c:showSerName val="0"/>
            <c:showPercent val="0"/>
            <c:showBubbleSize val="0"/>
            <c:showLeaderLines val="1"/>
            <c:extLst>
              <c:ext xmlns:c15="http://schemas.microsoft.com/office/drawing/2012/chart" uri="{CE6537A1-D6FC-4f65-9D91-7224C49458BB}"/>
            </c:extLst>
          </c:dLbls>
          <c:cat>
            <c:numRef>
              <c:f>Formulas_Overview!$B$11:$B$12</c:f>
              <c:numCache>
                <c:formatCode>General</c:formatCode>
                <c:ptCount val="2"/>
              </c:numCache>
            </c:numRef>
          </c:cat>
          <c:val>
            <c:numRef>
              <c:f>Formulas_Overview!$E$11:$E$14</c:f>
              <c:numCache>
                <c:formatCode>#,##0.00</c:formatCode>
                <c:ptCount val="4"/>
                <c:pt idx="0">
                  <c:v>503.8984375</c:v>
                </c:pt>
                <c:pt idx="1">
                  <c:v>0</c:v>
                </c:pt>
                <c:pt idx="2">
                  <c:v>503.8984375</c:v>
                </c:pt>
              </c:numCache>
            </c:numRef>
          </c:val>
          <c:extLst>
            <c:ext xmlns:c16="http://schemas.microsoft.com/office/drawing/2014/chart" uri="{C3380CC4-5D6E-409C-BE32-E72D297353CC}">
              <c16:uniqueId val="{00000005-5CEB-4E0C-B303-30FCBF02897F}"/>
            </c:ext>
          </c:extLst>
        </c:ser>
        <c:dLbls>
          <c:showLegendKey val="0"/>
          <c:showVal val="0"/>
          <c:showCatName val="0"/>
          <c:showSerName val="0"/>
          <c:showPercent val="0"/>
          <c:showBubbleSize val="0"/>
          <c:showLeaderLines val="1"/>
        </c:dLbls>
        <c:firstSliceAng val="0"/>
      </c:pieChart>
    </c:plotArea>
    <c:legend>
      <c:legendPos val="b"/>
      <c:overlay val="0"/>
      <c:txPr>
        <a:bodyPr/>
        <a:lstStyle/>
        <a:p>
          <a:pPr lvl="0">
            <a:defRPr b="0" i="0">
              <a:solidFill>
                <a:srgbClr val="000000"/>
              </a:solidFill>
              <a:latin typeface="Roboto"/>
            </a:defRPr>
          </a:pPr>
          <a:endParaRPr lang="en-US"/>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pieChart>
        <c:varyColors val="1"/>
        <c:ser>
          <c:idx val="0"/>
          <c:order val="0"/>
          <c:tx>
            <c:strRef>
              <c:f>Formulas_Overview!$F$10</c:f>
              <c:strCache>
                <c:ptCount val="1"/>
              </c:strCache>
            </c:strRef>
          </c:tx>
          <c:dPt>
            <c:idx val="0"/>
            <c:bubble3D val="0"/>
            <c:spPr>
              <a:solidFill>
                <a:srgbClr val="4285F4"/>
              </a:solidFill>
            </c:spPr>
            <c:extLst>
              <c:ext xmlns:c16="http://schemas.microsoft.com/office/drawing/2014/chart" uri="{C3380CC4-5D6E-409C-BE32-E72D297353CC}">
                <c16:uniqueId val="{00000001-2240-4103-AAFF-3D0BE9BDA408}"/>
              </c:ext>
            </c:extLst>
          </c:dPt>
          <c:dPt>
            <c:idx val="1"/>
            <c:bubble3D val="0"/>
            <c:spPr>
              <a:solidFill>
                <a:srgbClr val="DB4437"/>
              </a:solidFill>
            </c:spPr>
            <c:extLst>
              <c:ext xmlns:c16="http://schemas.microsoft.com/office/drawing/2014/chart" uri="{C3380CC4-5D6E-409C-BE32-E72D297353CC}">
                <c16:uniqueId val="{00000003-2240-4103-AAFF-3D0BE9BDA408}"/>
              </c:ext>
            </c:extLst>
          </c:dPt>
          <c:dPt>
            <c:idx val="2"/>
            <c:bubble3D val="0"/>
            <c:spPr>
              <a:solidFill>
                <a:srgbClr val="F4B400"/>
              </a:solidFill>
            </c:spPr>
            <c:extLst>
              <c:ext xmlns:c16="http://schemas.microsoft.com/office/drawing/2014/chart" uri="{C3380CC4-5D6E-409C-BE32-E72D297353CC}">
                <c16:uniqueId val="{00000005-2240-4103-AAFF-3D0BE9BDA408}"/>
              </c:ext>
            </c:extLst>
          </c:dPt>
          <c:dLbls>
            <c:spPr>
              <a:noFill/>
              <a:ln>
                <a:noFill/>
              </a:ln>
              <a:effectLst/>
            </c:spPr>
            <c:showLegendKey val="0"/>
            <c:showVal val="1"/>
            <c:showCatName val="0"/>
            <c:showSerName val="0"/>
            <c:showPercent val="0"/>
            <c:showBubbleSize val="0"/>
            <c:showLeaderLines val="1"/>
            <c:extLst>
              <c:ext xmlns:c15="http://schemas.microsoft.com/office/drawing/2012/chart" uri="{CE6537A1-D6FC-4f65-9D91-7224C49458BB}"/>
            </c:extLst>
          </c:dLbls>
          <c:cat>
            <c:numRef>
              <c:f>Formulas_Overview!$B$11:$B$12</c:f>
              <c:numCache>
                <c:formatCode>General</c:formatCode>
                <c:ptCount val="2"/>
              </c:numCache>
            </c:numRef>
          </c:cat>
          <c:val>
            <c:numRef>
              <c:f>Formulas_Overview!$F$11:$F$13</c:f>
              <c:numCache>
                <c:formatCode>#,##0.00</c:formatCode>
                <c:ptCount val="3"/>
                <c:pt idx="0">
                  <c:v>5866.2312499999534</c:v>
                </c:pt>
                <c:pt idx="1">
                  <c:v>161.583984375</c:v>
                </c:pt>
                <c:pt idx="2">
                  <c:v>6027.8152343749534</c:v>
                </c:pt>
              </c:numCache>
            </c:numRef>
          </c:val>
          <c:extLst>
            <c:ext xmlns:c16="http://schemas.microsoft.com/office/drawing/2014/chart" uri="{C3380CC4-5D6E-409C-BE32-E72D297353CC}">
              <c16:uniqueId val="{00000006-2240-4103-AAFF-3D0BE9BDA408}"/>
            </c:ext>
          </c:extLst>
        </c:ser>
        <c:dLbls>
          <c:showLegendKey val="0"/>
          <c:showVal val="0"/>
          <c:showCatName val="0"/>
          <c:showSerName val="0"/>
          <c:showPercent val="0"/>
          <c:showBubbleSize val="0"/>
          <c:showLeaderLines val="1"/>
        </c:dLbls>
        <c:firstSliceAng val="0"/>
      </c:pieChart>
    </c:plotArea>
    <c:legend>
      <c:legendPos val="b"/>
      <c:overlay val="0"/>
      <c:txPr>
        <a:bodyPr/>
        <a:lstStyle/>
        <a:p>
          <a:pPr lvl="0">
            <a:defRPr b="0" i="0">
              <a:solidFill>
                <a:srgbClr val="000000"/>
              </a:solidFill>
              <a:latin typeface="Roboto"/>
            </a:defRPr>
          </a:pPr>
          <a:endParaRPr lang="en-US"/>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i="0">
                <a:solidFill>
                  <a:srgbClr val="000000"/>
                </a:solidFill>
                <a:latin typeface="Roboto"/>
              </a:defRPr>
            </a:pPr>
            <a:r>
              <a:rPr b="0" i="0">
                <a:solidFill>
                  <a:srgbClr val="000000"/>
                </a:solidFill>
                <a:latin typeface="Roboto"/>
              </a:rPr>
              <a:t>Shftwise Graph</a:t>
            </a:r>
          </a:p>
        </c:rich>
      </c:tx>
      <c:overlay val="0"/>
    </c:title>
    <c:autoTitleDeleted val="0"/>
    <c:plotArea>
      <c:layout/>
      <c:barChart>
        <c:barDir val="col"/>
        <c:grouping val="clustered"/>
        <c:varyColors val="1"/>
        <c:ser>
          <c:idx val="0"/>
          <c:order val="0"/>
          <c:tx>
            <c:strRef>
              <c:f>Formulas_Graphs!$C$27</c:f>
              <c:strCache>
                <c:ptCount val="1"/>
                <c:pt idx="0">
                  <c:v>Morning Time</c:v>
                </c:pt>
              </c:strCache>
            </c:strRef>
          </c:tx>
          <c:spPr>
            <a:solidFill>
              <a:srgbClr val="4285F4"/>
            </a:solidFill>
            <a:ln cmpd="sng">
              <a:solidFill>
                <a:srgbClr val="000000"/>
              </a:solidFill>
            </a:ln>
          </c:spPr>
          <c:invertIfNegative val="1"/>
          <c:cat>
            <c:numRef>
              <c:f>Formulas_Graphs!$B$28:$B$58</c:f>
              <c:numCache>
                <c:formatCode>dd\-mmm\-yy</c:formatCode>
                <c:ptCount val="31"/>
                <c:pt idx="0">
                  <c:v>46235</c:v>
                </c:pt>
                <c:pt idx="1">
                  <c:v>46236</c:v>
                </c:pt>
                <c:pt idx="2">
                  <c:v>46237</c:v>
                </c:pt>
                <c:pt idx="3">
                  <c:v>46238</c:v>
                </c:pt>
                <c:pt idx="4">
                  <c:v>46239</c:v>
                </c:pt>
                <c:pt idx="5">
                  <c:v>46240</c:v>
                </c:pt>
                <c:pt idx="6">
                  <c:v>46241</c:v>
                </c:pt>
                <c:pt idx="7">
                  <c:v>46242</c:v>
                </c:pt>
                <c:pt idx="8">
                  <c:v>46243</c:v>
                </c:pt>
                <c:pt idx="9">
                  <c:v>46244</c:v>
                </c:pt>
                <c:pt idx="10">
                  <c:v>46245</c:v>
                </c:pt>
                <c:pt idx="11">
                  <c:v>46246</c:v>
                </c:pt>
                <c:pt idx="12">
                  <c:v>46247</c:v>
                </c:pt>
                <c:pt idx="13">
                  <c:v>46248</c:v>
                </c:pt>
                <c:pt idx="14">
                  <c:v>46249</c:v>
                </c:pt>
                <c:pt idx="15">
                  <c:v>46250</c:v>
                </c:pt>
                <c:pt idx="16">
                  <c:v>46251</c:v>
                </c:pt>
                <c:pt idx="17">
                  <c:v>46252</c:v>
                </c:pt>
                <c:pt idx="18">
                  <c:v>46253</c:v>
                </c:pt>
                <c:pt idx="19">
                  <c:v>46254</c:v>
                </c:pt>
                <c:pt idx="20">
                  <c:v>46255</c:v>
                </c:pt>
                <c:pt idx="21">
                  <c:v>46256</c:v>
                </c:pt>
                <c:pt idx="22">
                  <c:v>46257</c:v>
                </c:pt>
                <c:pt idx="23">
                  <c:v>46258</c:v>
                </c:pt>
                <c:pt idx="24">
                  <c:v>46259</c:v>
                </c:pt>
                <c:pt idx="25">
                  <c:v>46260</c:v>
                </c:pt>
                <c:pt idx="26">
                  <c:v>46261</c:v>
                </c:pt>
                <c:pt idx="27">
                  <c:v>46262</c:v>
                </c:pt>
                <c:pt idx="28">
                  <c:v>46263</c:v>
                </c:pt>
                <c:pt idx="29">
                  <c:v>46264</c:v>
                </c:pt>
                <c:pt idx="30">
                  <c:v>46265</c:v>
                </c:pt>
              </c:numCache>
            </c:numRef>
          </c:cat>
          <c:val>
            <c:numRef>
              <c:f>Formulas_Graphs!$C$28:$C$58</c:f>
              <c:numCache>
                <c:formatCode>0.00</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80A2-4140-AB63-8AC1C9297362}"/>
            </c:ext>
          </c:extLst>
        </c:ser>
        <c:ser>
          <c:idx val="1"/>
          <c:order val="1"/>
          <c:tx>
            <c:strRef>
              <c:f>Formulas_Graphs!$D$27</c:f>
              <c:strCache>
                <c:ptCount val="1"/>
                <c:pt idx="0">
                  <c:v>Normal Time</c:v>
                </c:pt>
              </c:strCache>
            </c:strRef>
          </c:tx>
          <c:spPr>
            <a:solidFill>
              <a:srgbClr val="DB4437"/>
            </a:solidFill>
            <a:ln cmpd="sng">
              <a:solidFill>
                <a:srgbClr val="000000"/>
              </a:solidFill>
            </a:ln>
          </c:spPr>
          <c:invertIfNegative val="1"/>
          <c:cat>
            <c:numRef>
              <c:f>Formulas_Graphs!$B$28:$B$58</c:f>
              <c:numCache>
                <c:formatCode>dd\-mmm\-yy</c:formatCode>
                <c:ptCount val="31"/>
                <c:pt idx="0">
                  <c:v>46235</c:v>
                </c:pt>
                <c:pt idx="1">
                  <c:v>46236</c:v>
                </c:pt>
                <c:pt idx="2">
                  <c:v>46237</c:v>
                </c:pt>
                <c:pt idx="3">
                  <c:v>46238</c:v>
                </c:pt>
                <c:pt idx="4">
                  <c:v>46239</c:v>
                </c:pt>
                <c:pt idx="5">
                  <c:v>46240</c:v>
                </c:pt>
                <c:pt idx="6">
                  <c:v>46241</c:v>
                </c:pt>
                <c:pt idx="7">
                  <c:v>46242</c:v>
                </c:pt>
                <c:pt idx="8">
                  <c:v>46243</c:v>
                </c:pt>
                <c:pt idx="9">
                  <c:v>46244</c:v>
                </c:pt>
                <c:pt idx="10">
                  <c:v>46245</c:v>
                </c:pt>
                <c:pt idx="11">
                  <c:v>46246</c:v>
                </c:pt>
                <c:pt idx="12">
                  <c:v>46247</c:v>
                </c:pt>
                <c:pt idx="13">
                  <c:v>46248</c:v>
                </c:pt>
                <c:pt idx="14">
                  <c:v>46249</c:v>
                </c:pt>
                <c:pt idx="15">
                  <c:v>46250</c:v>
                </c:pt>
                <c:pt idx="16">
                  <c:v>46251</c:v>
                </c:pt>
                <c:pt idx="17">
                  <c:v>46252</c:v>
                </c:pt>
                <c:pt idx="18">
                  <c:v>46253</c:v>
                </c:pt>
                <c:pt idx="19">
                  <c:v>46254</c:v>
                </c:pt>
                <c:pt idx="20">
                  <c:v>46255</c:v>
                </c:pt>
                <c:pt idx="21">
                  <c:v>46256</c:v>
                </c:pt>
                <c:pt idx="22">
                  <c:v>46257</c:v>
                </c:pt>
                <c:pt idx="23">
                  <c:v>46258</c:v>
                </c:pt>
                <c:pt idx="24">
                  <c:v>46259</c:v>
                </c:pt>
                <c:pt idx="25">
                  <c:v>46260</c:v>
                </c:pt>
                <c:pt idx="26">
                  <c:v>46261</c:v>
                </c:pt>
                <c:pt idx="27">
                  <c:v>46262</c:v>
                </c:pt>
                <c:pt idx="28">
                  <c:v>46263</c:v>
                </c:pt>
                <c:pt idx="29">
                  <c:v>46264</c:v>
                </c:pt>
                <c:pt idx="30">
                  <c:v>46265</c:v>
                </c:pt>
              </c:numCache>
            </c:numRef>
          </c:cat>
          <c:val>
            <c:numRef>
              <c:f>Formulas_Graphs!$D$28:$D$58</c:f>
              <c:numCache>
                <c:formatCode>0.00</c:formatCode>
                <c:ptCount val="31"/>
                <c:pt idx="0">
                  <c:v>0</c:v>
                </c:pt>
                <c:pt idx="1">
                  <c:v>0</c:v>
                </c:pt>
                <c:pt idx="2">
                  <c:v>0</c:v>
                </c:pt>
                <c:pt idx="3">
                  <c:v>0</c:v>
                </c:pt>
                <c:pt idx="4">
                  <c:v>0</c:v>
                </c:pt>
                <c:pt idx="5">
                  <c:v>0</c:v>
                </c:pt>
                <c:pt idx="6">
                  <c:v>0</c:v>
                </c:pt>
                <c:pt idx="7">
                  <c:v>30.98046875</c:v>
                </c:pt>
                <c:pt idx="8">
                  <c:v>2.8984375</c:v>
                </c:pt>
                <c:pt idx="9">
                  <c:v>0</c:v>
                </c:pt>
                <c:pt idx="10">
                  <c:v>0</c:v>
                </c:pt>
                <c:pt idx="11">
                  <c:v>519.09375</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80A2-4140-AB63-8AC1C9297362}"/>
            </c:ext>
          </c:extLst>
        </c:ser>
        <c:ser>
          <c:idx val="2"/>
          <c:order val="2"/>
          <c:tx>
            <c:strRef>
              <c:f>Formulas_Graphs!$E$27</c:f>
              <c:strCache>
                <c:ptCount val="1"/>
                <c:pt idx="0">
                  <c:v>Evening Time</c:v>
                </c:pt>
              </c:strCache>
            </c:strRef>
          </c:tx>
          <c:spPr>
            <a:solidFill>
              <a:srgbClr val="F4B400"/>
            </a:solidFill>
            <a:ln cmpd="sng">
              <a:solidFill>
                <a:srgbClr val="000000"/>
              </a:solidFill>
            </a:ln>
          </c:spPr>
          <c:invertIfNegative val="1"/>
          <c:cat>
            <c:numRef>
              <c:f>Formulas_Graphs!$B$28:$B$58</c:f>
              <c:numCache>
                <c:formatCode>dd\-mmm\-yy</c:formatCode>
                <c:ptCount val="31"/>
                <c:pt idx="0">
                  <c:v>46235</c:v>
                </c:pt>
                <c:pt idx="1">
                  <c:v>46236</c:v>
                </c:pt>
                <c:pt idx="2">
                  <c:v>46237</c:v>
                </c:pt>
                <c:pt idx="3">
                  <c:v>46238</c:v>
                </c:pt>
                <c:pt idx="4">
                  <c:v>46239</c:v>
                </c:pt>
                <c:pt idx="5">
                  <c:v>46240</c:v>
                </c:pt>
                <c:pt idx="6">
                  <c:v>46241</c:v>
                </c:pt>
                <c:pt idx="7">
                  <c:v>46242</c:v>
                </c:pt>
                <c:pt idx="8">
                  <c:v>46243</c:v>
                </c:pt>
                <c:pt idx="9">
                  <c:v>46244</c:v>
                </c:pt>
                <c:pt idx="10">
                  <c:v>46245</c:v>
                </c:pt>
                <c:pt idx="11">
                  <c:v>46246</c:v>
                </c:pt>
                <c:pt idx="12">
                  <c:v>46247</c:v>
                </c:pt>
                <c:pt idx="13">
                  <c:v>46248</c:v>
                </c:pt>
                <c:pt idx="14">
                  <c:v>46249</c:v>
                </c:pt>
                <c:pt idx="15">
                  <c:v>46250</c:v>
                </c:pt>
                <c:pt idx="16">
                  <c:v>46251</c:v>
                </c:pt>
                <c:pt idx="17">
                  <c:v>46252</c:v>
                </c:pt>
                <c:pt idx="18">
                  <c:v>46253</c:v>
                </c:pt>
                <c:pt idx="19">
                  <c:v>46254</c:v>
                </c:pt>
                <c:pt idx="20">
                  <c:v>46255</c:v>
                </c:pt>
                <c:pt idx="21">
                  <c:v>46256</c:v>
                </c:pt>
                <c:pt idx="22">
                  <c:v>46257</c:v>
                </c:pt>
                <c:pt idx="23">
                  <c:v>46258</c:v>
                </c:pt>
                <c:pt idx="24">
                  <c:v>46259</c:v>
                </c:pt>
                <c:pt idx="25">
                  <c:v>46260</c:v>
                </c:pt>
                <c:pt idx="26">
                  <c:v>46261</c:v>
                </c:pt>
                <c:pt idx="27">
                  <c:v>46262</c:v>
                </c:pt>
                <c:pt idx="28">
                  <c:v>46263</c:v>
                </c:pt>
                <c:pt idx="29">
                  <c:v>46264</c:v>
                </c:pt>
                <c:pt idx="30">
                  <c:v>46265</c:v>
                </c:pt>
              </c:numCache>
            </c:numRef>
          </c:cat>
          <c:val>
            <c:numRef>
              <c:f>Formulas_Graphs!$E$28:$E$58</c:f>
              <c:numCache>
                <c:formatCode>General</c:formatCode>
                <c:ptCount val="31"/>
                <c:pt idx="0">
                  <c:v>0</c:v>
                </c:pt>
                <c:pt idx="1">
                  <c:v>81.300390624994179</c:v>
                </c:pt>
                <c:pt idx="2">
                  <c:v>0</c:v>
                </c:pt>
                <c:pt idx="3">
                  <c:v>0</c:v>
                </c:pt>
                <c:pt idx="4">
                  <c:v>36</c:v>
                </c:pt>
                <c:pt idx="5">
                  <c:v>0</c:v>
                </c:pt>
                <c:pt idx="6">
                  <c:v>0</c:v>
                </c:pt>
                <c:pt idx="7">
                  <c:v>50.84765625</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80A2-4140-AB63-8AC1C9297362}"/>
            </c:ext>
          </c:extLst>
        </c:ser>
        <c:ser>
          <c:idx val="3"/>
          <c:order val="3"/>
          <c:tx>
            <c:strRef>
              <c:f>Formulas_Graphs!$F$27</c:f>
              <c:strCache>
                <c:ptCount val="1"/>
                <c:pt idx="0">
                  <c:v>NIght</c:v>
                </c:pt>
              </c:strCache>
            </c:strRef>
          </c:tx>
          <c:spPr>
            <a:solidFill>
              <a:srgbClr val="0F9D58"/>
            </a:solidFill>
            <a:ln cmpd="sng">
              <a:solidFill>
                <a:srgbClr val="000000"/>
              </a:solidFill>
            </a:ln>
          </c:spPr>
          <c:invertIfNegative val="1"/>
          <c:cat>
            <c:numRef>
              <c:f>Formulas_Graphs!$B$28:$B$58</c:f>
              <c:numCache>
                <c:formatCode>dd\-mmm\-yy</c:formatCode>
                <c:ptCount val="31"/>
                <c:pt idx="0">
                  <c:v>46235</c:v>
                </c:pt>
                <c:pt idx="1">
                  <c:v>46236</c:v>
                </c:pt>
                <c:pt idx="2">
                  <c:v>46237</c:v>
                </c:pt>
                <c:pt idx="3">
                  <c:v>46238</c:v>
                </c:pt>
                <c:pt idx="4">
                  <c:v>46239</c:v>
                </c:pt>
                <c:pt idx="5">
                  <c:v>46240</c:v>
                </c:pt>
                <c:pt idx="6">
                  <c:v>46241</c:v>
                </c:pt>
                <c:pt idx="7">
                  <c:v>46242</c:v>
                </c:pt>
                <c:pt idx="8">
                  <c:v>46243</c:v>
                </c:pt>
                <c:pt idx="9">
                  <c:v>46244</c:v>
                </c:pt>
                <c:pt idx="10">
                  <c:v>46245</c:v>
                </c:pt>
                <c:pt idx="11">
                  <c:v>46246</c:v>
                </c:pt>
                <c:pt idx="12">
                  <c:v>46247</c:v>
                </c:pt>
                <c:pt idx="13">
                  <c:v>46248</c:v>
                </c:pt>
                <c:pt idx="14">
                  <c:v>46249</c:v>
                </c:pt>
                <c:pt idx="15">
                  <c:v>46250</c:v>
                </c:pt>
                <c:pt idx="16">
                  <c:v>46251</c:v>
                </c:pt>
                <c:pt idx="17">
                  <c:v>46252</c:v>
                </c:pt>
                <c:pt idx="18">
                  <c:v>46253</c:v>
                </c:pt>
                <c:pt idx="19">
                  <c:v>46254</c:v>
                </c:pt>
                <c:pt idx="20">
                  <c:v>46255</c:v>
                </c:pt>
                <c:pt idx="21">
                  <c:v>46256</c:v>
                </c:pt>
                <c:pt idx="22">
                  <c:v>46257</c:v>
                </c:pt>
                <c:pt idx="23">
                  <c:v>46258</c:v>
                </c:pt>
                <c:pt idx="24">
                  <c:v>46259</c:v>
                </c:pt>
                <c:pt idx="25">
                  <c:v>46260</c:v>
                </c:pt>
                <c:pt idx="26">
                  <c:v>46261</c:v>
                </c:pt>
                <c:pt idx="27">
                  <c:v>46262</c:v>
                </c:pt>
                <c:pt idx="28">
                  <c:v>46263</c:v>
                </c:pt>
                <c:pt idx="29">
                  <c:v>46264</c:v>
                </c:pt>
                <c:pt idx="30">
                  <c:v>46265</c:v>
                </c:pt>
              </c:numCache>
            </c:numRef>
          </c:cat>
          <c:val>
            <c:numRef>
              <c:f>Formulas_Graphs!$F$28:$F$58</c:f>
              <c:numCache>
                <c:formatCode>General</c:formatCode>
                <c:ptCount val="31"/>
                <c:pt idx="0">
                  <c:v>0</c:v>
                </c:pt>
                <c:pt idx="1">
                  <c:v>126.27773437500582</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3-80A2-4140-AB63-8AC1C9297362}"/>
            </c:ext>
          </c:extLst>
        </c:ser>
        <c:dLbls>
          <c:showLegendKey val="0"/>
          <c:showVal val="0"/>
          <c:showCatName val="0"/>
          <c:showSerName val="0"/>
          <c:showPercent val="0"/>
          <c:showBubbleSize val="0"/>
        </c:dLbls>
        <c:gapWidth val="150"/>
        <c:axId val="1199350882"/>
        <c:axId val="690976081"/>
      </c:barChart>
      <c:dateAx>
        <c:axId val="1199350882"/>
        <c:scaling>
          <c:orientation val="minMax"/>
        </c:scaling>
        <c:delete val="0"/>
        <c:axPos val="b"/>
        <c:title>
          <c:tx>
            <c:rich>
              <a:bodyPr/>
              <a:lstStyle/>
              <a:p>
                <a:pPr lvl="0">
                  <a:defRPr b="0" i="0">
                    <a:solidFill>
                      <a:srgbClr val="000000"/>
                    </a:solidFill>
                    <a:latin typeface="Roboto"/>
                  </a:defRPr>
                </a:pPr>
                <a:r>
                  <a:rPr b="0" i="0">
                    <a:solidFill>
                      <a:srgbClr val="000000"/>
                    </a:solidFill>
                    <a:latin typeface="Roboto"/>
                  </a:rPr>
                  <a:t>Date</a:t>
                </a:r>
              </a:p>
            </c:rich>
          </c:tx>
          <c:overlay val="0"/>
        </c:title>
        <c:numFmt formatCode="dd\-mmm\-yy" sourceLinked="1"/>
        <c:majorTickMark val="none"/>
        <c:minorTickMark val="none"/>
        <c:tickLblPos val="nextTo"/>
        <c:txPr>
          <a:bodyPr/>
          <a:lstStyle/>
          <a:p>
            <a:pPr lvl="0">
              <a:defRPr b="0" i="0">
                <a:solidFill>
                  <a:srgbClr val="000000"/>
                </a:solidFill>
                <a:latin typeface="Roboto"/>
              </a:defRPr>
            </a:pPr>
            <a:endParaRPr lang="en-US"/>
          </a:p>
        </c:txPr>
        <c:crossAx val="690976081"/>
        <c:crosses val="autoZero"/>
        <c:auto val="1"/>
        <c:lblOffset val="100"/>
        <c:baseTimeUnit val="days"/>
      </c:dateAx>
      <c:valAx>
        <c:axId val="69097608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00" sourceLinked="1"/>
        <c:majorTickMark val="none"/>
        <c:minorTickMark val="none"/>
        <c:tickLblPos val="nextTo"/>
        <c:spPr>
          <a:ln/>
        </c:spPr>
        <c:txPr>
          <a:bodyPr/>
          <a:lstStyle/>
          <a:p>
            <a:pPr lvl="0">
              <a:defRPr b="0" i="0">
                <a:solidFill>
                  <a:srgbClr val="000000"/>
                </a:solidFill>
                <a:latin typeface="Roboto"/>
              </a:defRPr>
            </a:pPr>
            <a:endParaRPr lang="en-US"/>
          </a:p>
        </c:txPr>
        <c:crossAx val="1199350882"/>
        <c:crosses val="autoZero"/>
        <c:crossBetween val="between"/>
      </c:valAx>
    </c:plotArea>
    <c:legend>
      <c:legendPos val="b"/>
      <c:overlay val="0"/>
      <c:txPr>
        <a:bodyPr/>
        <a:lstStyle/>
        <a:p>
          <a:pPr lvl="0">
            <a:defRPr b="0" i="0">
              <a:solidFill>
                <a:srgbClr val="000000"/>
              </a:solidFill>
              <a:latin typeface="Roboto"/>
            </a:defRPr>
          </a:pPr>
          <a:endParaRPr lang="en-US"/>
        </a:p>
      </c:txPr>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image" Target="../media/image2.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image" Target="../media/image3.jpg"/></Relationships>
</file>

<file path=xl/drawings/_rels/drawing4.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3.jp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oneCellAnchor>
    <xdr:from>
      <xdr:col>1</xdr:col>
      <xdr:colOff>57150</xdr:colOff>
      <xdr:row>29</xdr:row>
      <xdr:rowOff>9525</xdr:rowOff>
    </xdr:from>
    <xdr:ext cx="4143375" cy="2562225"/>
    <xdr:graphicFrame macro="">
      <xdr:nvGraphicFramePr>
        <xdr:cNvPr id="2" name="Chart 1" title="Chart">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5</xdr:col>
      <xdr:colOff>57150</xdr:colOff>
      <xdr:row>29</xdr:row>
      <xdr:rowOff>9525</xdr:rowOff>
    </xdr:from>
    <xdr:ext cx="4143375" cy="2562225"/>
    <xdr:graphicFrame macro="">
      <xdr:nvGraphicFramePr>
        <xdr:cNvPr id="3" name="Chart 2" title="Chart">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4</xdr:col>
      <xdr:colOff>266700</xdr:colOff>
      <xdr:row>0</xdr:row>
      <xdr:rowOff>85725</xdr:rowOff>
    </xdr:from>
    <xdr:ext cx="1619250" cy="581025"/>
    <xdr:pic>
      <xdr:nvPicPr>
        <xdr:cNvPr id="4" name="image2.png" title="Image">
          <a:extLst>
            <a:ext uri="{FF2B5EF4-FFF2-40B4-BE49-F238E27FC236}">
              <a16:creationId xmlns:a16="http://schemas.microsoft.com/office/drawing/2014/main" id="{00000000-0008-0000-00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2</xdr:col>
      <xdr:colOff>0</xdr:colOff>
      <xdr:row>0</xdr:row>
      <xdr:rowOff>0</xdr:rowOff>
    </xdr:from>
    <xdr:ext cx="3295650" cy="628650"/>
    <xdr:pic>
      <xdr:nvPicPr>
        <xdr:cNvPr id="5" name="image1.png">
          <a:extLst>
            <a:ext uri="{FF2B5EF4-FFF2-40B4-BE49-F238E27FC236}">
              <a16:creationId xmlns:a16="http://schemas.microsoft.com/office/drawing/2014/main" id="{00000000-0008-0000-00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1</xdr:col>
      <xdr:colOff>200025</xdr:colOff>
      <xdr:row>0</xdr:row>
      <xdr:rowOff>19050</xdr:rowOff>
    </xdr:from>
    <xdr:ext cx="1619250" cy="581025"/>
    <xdr:pic>
      <xdr:nvPicPr>
        <xdr:cNvPr id="2" name="image2.png" title="Image">
          <a:extLst>
            <a:ext uri="{FF2B5EF4-FFF2-40B4-BE49-F238E27FC236}">
              <a16:creationId xmlns:a16="http://schemas.microsoft.com/office/drawing/2014/main" id="{00000000-0008-0000-03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11</xdr:col>
      <xdr:colOff>0</xdr:colOff>
      <xdr:row>0</xdr:row>
      <xdr:rowOff>0</xdr:rowOff>
    </xdr:from>
    <xdr:ext cx="1333500" cy="257175"/>
    <xdr:pic>
      <xdr:nvPicPr>
        <xdr:cNvPr id="3" name="image1.png">
          <a:extLst>
            <a:ext uri="{FF2B5EF4-FFF2-40B4-BE49-F238E27FC236}">
              <a16:creationId xmlns:a16="http://schemas.microsoft.com/office/drawing/2014/main" id="{00000000-0008-0000-03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10</xdr:col>
      <xdr:colOff>838200</xdr:colOff>
      <xdr:row>0</xdr:row>
      <xdr:rowOff>0</xdr:rowOff>
    </xdr:from>
    <xdr:ext cx="2066925" cy="552450"/>
    <xdr:pic>
      <xdr:nvPicPr>
        <xdr:cNvPr id="2" name="image3.jpg" title="Image">
          <a:extLst>
            <a:ext uri="{FF2B5EF4-FFF2-40B4-BE49-F238E27FC236}">
              <a16:creationId xmlns:a16="http://schemas.microsoft.com/office/drawing/2014/main" id="{00000000-0008-0000-04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200025</xdr:colOff>
      <xdr:row>0</xdr:row>
      <xdr:rowOff>19050</xdr:rowOff>
    </xdr:from>
    <xdr:ext cx="1619250" cy="581025"/>
    <xdr:pic>
      <xdr:nvPicPr>
        <xdr:cNvPr id="3" name="image2.png" title="Image">
          <a:extLst>
            <a:ext uri="{FF2B5EF4-FFF2-40B4-BE49-F238E27FC236}">
              <a16:creationId xmlns:a16="http://schemas.microsoft.com/office/drawing/2014/main" id="{00000000-0008-0000-04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5</xdr:col>
      <xdr:colOff>0</xdr:colOff>
      <xdr:row>0</xdr:row>
      <xdr:rowOff>0</xdr:rowOff>
    </xdr:from>
    <xdr:ext cx="962025" cy="180975"/>
    <xdr:pic>
      <xdr:nvPicPr>
        <xdr:cNvPr id="4" name="image1.png">
          <a:extLst>
            <a:ext uri="{FF2B5EF4-FFF2-40B4-BE49-F238E27FC236}">
              <a16:creationId xmlns:a16="http://schemas.microsoft.com/office/drawing/2014/main" id="{00000000-0008-0000-04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dr:oneCellAnchor>
    <xdr:from>
      <xdr:col>2</xdr:col>
      <xdr:colOff>200025</xdr:colOff>
      <xdr:row>0</xdr:row>
      <xdr:rowOff>19050</xdr:rowOff>
    </xdr:from>
    <xdr:ext cx="1619250" cy="581025"/>
    <xdr:pic>
      <xdr:nvPicPr>
        <xdr:cNvPr id="2" name="image2.png" title="Image">
          <a:extLst>
            <a:ext uri="{FF2B5EF4-FFF2-40B4-BE49-F238E27FC236}">
              <a16:creationId xmlns:a16="http://schemas.microsoft.com/office/drawing/2014/main" id="{00000000-0008-0000-05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9</xdr:col>
      <xdr:colOff>419100</xdr:colOff>
      <xdr:row>0</xdr:row>
      <xdr:rowOff>47625</xdr:rowOff>
    </xdr:from>
    <xdr:ext cx="2066925" cy="552450"/>
    <xdr:pic>
      <xdr:nvPicPr>
        <xdr:cNvPr id="3" name="image3.jpg" title="Image">
          <a:extLst>
            <a:ext uri="{FF2B5EF4-FFF2-40B4-BE49-F238E27FC236}">
              <a16:creationId xmlns:a16="http://schemas.microsoft.com/office/drawing/2014/main" id="{00000000-0008-0000-05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5</xdr:col>
      <xdr:colOff>0</xdr:colOff>
      <xdr:row>0</xdr:row>
      <xdr:rowOff>0</xdr:rowOff>
    </xdr:from>
    <xdr:ext cx="962025" cy="180975"/>
    <xdr:pic>
      <xdr:nvPicPr>
        <xdr:cNvPr id="4" name="image1.png">
          <a:extLst>
            <a:ext uri="{FF2B5EF4-FFF2-40B4-BE49-F238E27FC236}">
              <a16:creationId xmlns:a16="http://schemas.microsoft.com/office/drawing/2014/main" id="{00000000-0008-0000-05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dr:oneCellAnchor>
    <xdr:from>
      <xdr:col>0</xdr:col>
      <xdr:colOff>742950</xdr:colOff>
      <xdr:row>3</xdr:row>
      <xdr:rowOff>28575</xdr:rowOff>
    </xdr:from>
    <xdr:ext cx="14706600" cy="3533775"/>
    <xdr:graphicFrame macro="">
      <xdr:nvGraphicFramePr>
        <xdr:cNvPr id="3" name="Chart 3" title="Chart">
          <a:extLst>
            <a:ext uri="{FF2B5EF4-FFF2-40B4-BE49-F238E27FC236}">
              <a16:creationId xmlns:a16="http://schemas.microsoft.com/office/drawing/2014/main" id="{00000000-0008-0000-06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1000"/>
  <sheetViews>
    <sheetView showGridLines="0" tabSelected="1" workbookViewId="0"/>
  </sheetViews>
  <sheetFormatPr defaultColWidth="12.5703125" defaultRowHeight="15" customHeight="1" x14ac:dyDescent="0.2"/>
  <cols>
    <col min="1" max="1" width="14.5703125" customWidth="1"/>
    <col min="2" max="2" width="12.5703125" customWidth="1"/>
    <col min="3" max="3" width="43.28515625" customWidth="1"/>
    <col min="4" max="4" width="12.5703125" hidden="1" customWidth="1"/>
    <col min="5" max="6" width="12.5703125" customWidth="1"/>
  </cols>
  <sheetData>
    <row r="1" spans="1:26" ht="63" customHeight="1" x14ac:dyDescent="0.25">
      <c r="A1" s="1"/>
      <c r="B1" s="2"/>
      <c r="C1" s="3"/>
      <c r="D1" s="4"/>
      <c r="E1" s="3"/>
      <c r="F1" s="5"/>
      <c r="G1" s="6"/>
      <c r="H1" s="6"/>
      <c r="I1" s="6"/>
      <c r="J1" s="6"/>
      <c r="K1" s="6"/>
      <c r="L1" s="6"/>
      <c r="M1" s="6"/>
      <c r="N1" s="6"/>
      <c r="O1" s="6"/>
      <c r="P1" s="6"/>
      <c r="Q1" s="6"/>
      <c r="R1" s="6"/>
      <c r="S1" s="6"/>
      <c r="T1" s="6"/>
      <c r="U1" s="6"/>
      <c r="V1" s="6"/>
      <c r="W1" s="6"/>
      <c r="X1" s="6"/>
      <c r="Y1" s="6"/>
      <c r="Z1" s="6"/>
    </row>
    <row r="2" spans="1:26" ht="15.75" customHeight="1" x14ac:dyDescent="0.25">
      <c r="A2" s="1"/>
      <c r="B2" s="7"/>
      <c r="C2" s="8"/>
      <c r="D2" s="9"/>
      <c r="E2" s="8"/>
      <c r="F2" s="10"/>
      <c r="G2" s="6"/>
      <c r="H2" s="6"/>
      <c r="I2" s="6"/>
      <c r="J2" s="6"/>
      <c r="K2" s="6"/>
      <c r="L2" s="6"/>
      <c r="M2" s="6"/>
      <c r="N2" s="6"/>
      <c r="O2" s="6"/>
      <c r="P2" s="6"/>
      <c r="Q2" s="6"/>
      <c r="R2" s="6"/>
      <c r="S2" s="6"/>
      <c r="T2" s="6"/>
      <c r="U2" s="6"/>
      <c r="V2" s="6"/>
      <c r="W2" s="6"/>
      <c r="X2" s="6"/>
      <c r="Y2" s="6"/>
      <c r="Z2" s="6"/>
    </row>
    <row r="3" spans="1:26" ht="15.75" customHeight="1" x14ac:dyDescent="0.25">
      <c r="A3" s="1"/>
      <c r="B3" s="11" t="s">
        <v>0</v>
      </c>
      <c r="C3" s="12">
        <f ca="1">meta_sheet!A3</f>
        <v>46235</v>
      </c>
      <c r="D3" s="13"/>
      <c r="E3" s="14" t="s">
        <v>1</v>
      </c>
      <c r="F3" s="15">
        <f ca="1">meta_sheet!A4-1</f>
        <v>46251</v>
      </c>
      <c r="G3" s="16"/>
      <c r="H3" s="6"/>
      <c r="I3" s="6"/>
      <c r="J3" s="6"/>
      <c r="K3" s="6"/>
      <c r="L3" s="6"/>
      <c r="M3" s="6"/>
      <c r="N3" s="6"/>
      <c r="O3" s="6"/>
      <c r="P3" s="6"/>
      <c r="Q3" s="6"/>
      <c r="R3" s="6"/>
      <c r="S3" s="6"/>
      <c r="T3" s="6"/>
      <c r="U3" s="6"/>
      <c r="V3" s="6"/>
      <c r="W3" s="6"/>
      <c r="X3" s="6"/>
      <c r="Y3" s="6"/>
      <c r="Z3" s="6"/>
    </row>
    <row r="4" spans="1:26" ht="15.75" customHeight="1" x14ac:dyDescent="0.25">
      <c r="A4" s="17"/>
      <c r="B4" s="254" t="s">
        <v>2</v>
      </c>
      <c r="C4" s="255"/>
      <c r="D4" s="18"/>
      <c r="E4" s="19" t="s">
        <v>3</v>
      </c>
      <c r="F4" s="20" t="s">
        <v>4</v>
      </c>
      <c r="G4" s="6"/>
      <c r="H4" s="6"/>
      <c r="I4" s="6"/>
      <c r="J4" s="6"/>
      <c r="K4" s="6"/>
      <c r="L4" s="6"/>
      <c r="M4" s="6"/>
      <c r="N4" s="6"/>
      <c r="O4" s="6"/>
      <c r="P4" s="6"/>
      <c r="Q4" s="6"/>
      <c r="R4" s="6"/>
      <c r="S4" s="6"/>
      <c r="T4" s="6"/>
      <c r="U4" s="6"/>
      <c r="V4" s="6"/>
      <c r="W4" s="6"/>
      <c r="X4" s="6"/>
      <c r="Y4" s="6"/>
      <c r="Z4" s="6"/>
    </row>
    <row r="5" spans="1:26" ht="15.75" customHeight="1" x14ac:dyDescent="0.25">
      <c r="A5" s="17"/>
      <c r="B5" s="256" t="s">
        <v>5</v>
      </c>
      <c r="C5" s="257"/>
      <c r="D5" s="21"/>
      <c r="E5" s="22"/>
      <c r="F5" s="23"/>
      <c r="G5" s="6"/>
      <c r="H5" s="6"/>
      <c r="I5" s="6"/>
      <c r="J5" s="6"/>
      <c r="K5" s="6"/>
      <c r="L5" s="6"/>
      <c r="M5" s="6"/>
      <c r="N5" s="6"/>
      <c r="O5" s="6"/>
      <c r="P5" s="6"/>
      <c r="Q5" s="6"/>
      <c r="R5" s="6"/>
      <c r="S5" s="6"/>
      <c r="T5" s="6"/>
      <c r="U5" s="6"/>
      <c r="V5" s="6"/>
      <c r="W5" s="6"/>
      <c r="X5" s="6"/>
      <c r="Y5" s="6"/>
      <c r="Z5" s="6"/>
    </row>
    <row r="6" spans="1:26" ht="15.75" customHeight="1" x14ac:dyDescent="0.25">
      <c r="A6" s="17"/>
      <c r="B6" s="24"/>
      <c r="C6" s="25" t="s">
        <v>6</v>
      </c>
      <c r="D6" s="26">
        <v>12819</v>
      </c>
      <c r="E6" s="27">
        <f ca="1">HLOOKUP($D6,'Monthly report'!$O$4:$U$5,2,0)</f>
        <v>1870.3952868850902</v>
      </c>
      <c r="F6" s="23">
        <f ca="1">HLOOKUP($D6,'Monthly report'!$B$6:$F$39,34,0)</f>
        <v>27153.949999999721</v>
      </c>
      <c r="G6" s="6"/>
      <c r="H6" s="6"/>
      <c r="I6" s="6"/>
      <c r="J6" s="6"/>
      <c r="K6" s="6"/>
      <c r="L6" s="6"/>
      <c r="M6" s="6"/>
      <c r="N6" s="6"/>
      <c r="O6" s="6"/>
      <c r="P6" s="6"/>
      <c r="Q6" s="6"/>
      <c r="R6" s="6"/>
      <c r="S6" s="6"/>
      <c r="T6" s="6"/>
      <c r="U6" s="6"/>
      <c r="V6" s="6"/>
      <c r="W6" s="6"/>
      <c r="X6" s="6"/>
      <c r="Y6" s="6"/>
      <c r="Z6" s="6"/>
    </row>
    <row r="7" spans="1:26" ht="15.75" customHeight="1" x14ac:dyDescent="0.25">
      <c r="A7" s="17"/>
      <c r="B7" s="24"/>
      <c r="C7" s="28" t="s">
        <v>7</v>
      </c>
      <c r="D7" s="26">
        <v>12817</v>
      </c>
      <c r="E7" s="27">
        <f ca="1">HLOOKUP($D7,'Monthly report'!$O$4:$U$5,2,0)</f>
        <v>0</v>
      </c>
      <c r="F7" s="23">
        <f ca="1">HLOOKUP($D7,'Monthly report'!$B$6:$F$39,34,0)</f>
        <v>847.3984375</v>
      </c>
      <c r="G7" s="16"/>
      <c r="H7" s="6"/>
      <c r="I7" s="6"/>
      <c r="J7" s="6"/>
      <c r="K7" s="6"/>
      <c r="L7" s="6"/>
      <c r="M7" s="6"/>
      <c r="N7" s="6"/>
      <c r="O7" s="6"/>
      <c r="P7" s="6"/>
      <c r="Q7" s="6"/>
      <c r="R7" s="6"/>
      <c r="S7" s="6"/>
      <c r="T7" s="6"/>
      <c r="U7" s="6"/>
      <c r="V7" s="6"/>
      <c r="W7" s="6"/>
      <c r="X7" s="6"/>
      <c r="Y7" s="6"/>
      <c r="Z7" s="6"/>
    </row>
    <row r="8" spans="1:26" ht="15.75" customHeight="1" x14ac:dyDescent="0.25">
      <c r="A8" s="17"/>
      <c r="B8" s="24"/>
      <c r="C8" s="29" t="s">
        <v>8</v>
      </c>
      <c r="D8" s="26">
        <v>12818</v>
      </c>
      <c r="E8" s="27">
        <f ca="1">HLOOKUP($D8,'Monthly report'!$O$4:$U$5,2,0)</f>
        <v>0</v>
      </c>
      <c r="F8" s="23">
        <f ca="1">HLOOKUP($D8,'Monthly report'!$B$6:$F$39,34,0)</f>
        <v>0</v>
      </c>
      <c r="G8" s="6"/>
      <c r="H8" s="6"/>
      <c r="I8" s="6"/>
      <c r="J8" s="6"/>
      <c r="K8" s="6"/>
      <c r="L8" s="6"/>
      <c r="M8" s="6"/>
      <c r="N8" s="6"/>
      <c r="O8" s="6"/>
      <c r="P8" s="6"/>
      <c r="Q8" s="6"/>
      <c r="R8" s="6"/>
      <c r="S8" s="6"/>
      <c r="T8" s="6"/>
      <c r="U8" s="6"/>
      <c r="V8" s="6"/>
      <c r="W8" s="6"/>
      <c r="X8" s="6"/>
      <c r="Y8" s="6"/>
      <c r="Z8" s="6"/>
    </row>
    <row r="9" spans="1:26" ht="15.75" customHeight="1" x14ac:dyDescent="0.25">
      <c r="A9" s="17"/>
      <c r="B9" s="258" t="s">
        <v>9</v>
      </c>
      <c r="C9" s="255"/>
      <c r="D9" s="30"/>
      <c r="E9" s="31">
        <f t="shared" ref="E9:F9" ca="1" si="0">E6+E7+E8</f>
        <v>1870.3952868850902</v>
      </c>
      <c r="F9" s="31">
        <f t="shared" ca="1" si="0"/>
        <v>28001.348437499721</v>
      </c>
      <c r="G9" s="6"/>
      <c r="H9" s="6"/>
      <c r="I9" s="6"/>
      <c r="J9" s="6"/>
      <c r="K9" s="6"/>
      <c r="L9" s="6"/>
      <c r="M9" s="6"/>
      <c r="N9" s="6"/>
      <c r="O9" s="6"/>
      <c r="P9" s="6"/>
      <c r="Q9" s="6"/>
      <c r="R9" s="6"/>
      <c r="S9" s="6"/>
      <c r="T9" s="6"/>
      <c r="U9" s="6"/>
      <c r="V9" s="6"/>
      <c r="W9" s="6"/>
      <c r="X9" s="6"/>
      <c r="Y9" s="6"/>
      <c r="Z9" s="6"/>
    </row>
    <row r="10" spans="1:26" ht="15.75" customHeight="1" x14ac:dyDescent="0.25">
      <c r="A10" s="17"/>
      <c r="B10" s="259" t="s">
        <v>10</v>
      </c>
      <c r="C10" s="257"/>
      <c r="D10" s="32"/>
      <c r="E10" s="33"/>
      <c r="F10" s="34"/>
      <c r="G10" s="6"/>
      <c r="H10" s="6"/>
      <c r="I10" s="6"/>
      <c r="J10" s="6"/>
      <c r="K10" s="6"/>
      <c r="L10" s="6"/>
      <c r="M10" s="6"/>
      <c r="N10" s="6"/>
      <c r="O10" s="6"/>
      <c r="P10" s="6"/>
      <c r="Q10" s="6"/>
      <c r="R10" s="6"/>
      <c r="S10" s="6"/>
      <c r="T10" s="6"/>
      <c r="U10" s="6"/>
      <c r="V10" s="6"/>
      <c r="W10" s="6"/>
      <c r="X10" s="6"/>
      <c r="Y10" s="6"/>
      <c r="Z10" s="6"/>
    </row>
    <row r="11" spans="1:26" ht="15.75" customHeight="1" x14ac:dyDescent="0.25">
      <c r="A11" s="17"/>
      <c r="B11" s="35"/>
      <c r="C11" s="36" t="s">
        <v>11</v>
      </c>
      <c r="D11" s="37">
        <v>13578</v>
      </c>
      <c r="E11" s="27">
        <f ca="1">HLOOKUP($D11,'Monthly report'!$O$4:$U$5,2,0)</f>
        <v>503.8984375</v>
      </c>
      <c r="F11" s="23">
        <f ca="1">HLOOKUP($D11,'Monthly report'!$B$6:$F$39,34,0)</f>
        <v>5866.2312499999534</v>
      </c>
      <c r="G11" s="16"/>
      <c r="H11" s="16"/>
      <c r="I11" s="6"/>
      <c r="J11" s="6"/>
      <c r="K11" s="6"/>
      <c r="L11" s="6"/>
      <c r="M11" s="6"/>
      <c r="N11" s="6"/>
      <c r="O11" s="6"/>
      <c r="P11" s="6"/>
      <c r="Q11" s="6"/>
      <c r="R11" s="6"/>
      <c r="S11" s="6"/>
      <c r="T11" s="6"/>
      <c r="U11" s="6"/>
      <c r="V11" s="6"/>
      <c r="W11" s="6"/>
      <c r="X11" s="6"/>
      <c r="Y11" s="6"/>
      <c r="Z11" s="6"/>
    </row>
    <row r="12" spans="1:26" ht="15.75" customHeight="1" x14ac:dyDescent="0.25">
      <c r="A12" s="17"/>
      <c r="B12" s="38"/>
      <c r="C12" s="39" t="s">
        <v>12</v>
      </c>
      <c r="D12" s="26">
        <v>13579</v>
      </c>
      <c r="E12" s="27">
        <f ca="1">HLOOKUP($D12,'Monthly report'!$O$4:$U$5,2,0)</f>
        <v>0</v>
      </c>
      <c r="F12" s="23">
        <f ca="1">HLOOKUP($D12,'Monthly report'!$B$6:$F$39,34,0)</f>
        <v>161.583984375</v>
      </c>
      <c r="G12" s="6"/>
      <c r="H12" s="6"/>
      <c r="I12" s="6"/>
      <c r="J12" s="6"/>
      <c r="K12" s="6"/>
      <c r="L12" s="6"/>
      <c r="M12" s="6"/>
      <c r="N12" s="6"/>
      <c r="O12" s="6"/>
      <c r="P12" s="6"/>
      <c r="Q12" s="6"/>
      <c r="R12" s="6"/>
      <c r="S12" s="6"/>
      <c r="T12" s="6"/>
      <c r="U12" s="6"/>
      <c r="V12" s="6"/>
      <c r="W12" s="6"/>
      <c r="X12" s="6"/>
      <c r="Y12" s="6"/>
      <c r="Z12" s="6"/>
    </row>
    <row r="13" spans="1:26" ht="15.75" customHeight="1" x14ac:dyDescent="0.25">
      <c r="A13" s="17"/>
      <c r="B13" s="260" t="s">
        <v>9</v>
      </c>
      <c r="C13" s="261"/>
      <c r="D13" s="40"/>
      <c r="E13" s="41">
        <f t="shared" ref="E13:F13" ca="1" si="1">E11+E12</f>
        <v>503.8984375</v>
      </c>
      <c r="F13" s="42">
        <f t="shared" ca="1" si="1"/>
        <v>6027.8152343749534</v>
      </c>
      <c r="G13" s="6"/>
      <c r="H13" s="6"/>
      <c r="I13" s="6"/>
      <c r="J13" s="6"/>
      <c r="K13" s="6"/>
      <c r="L13" s="6"/>
      <c r="M13" s="6"/>
      <c r="N13" s="6"/>
      <c r="O13" s="6"/>
      <c r="P13" s="6"/>
      <c r="Q13" s="6"/>
      <c r="R13" s="6"/>
      <c r="S13" s="6"/>
      <c r="T13" s="6"/>
      <c r="U13" s="6"/>
      <c r="V13" s="6"/>
      <c r="W13" s="6"/>
      <c r="X13" s="6"/>
      <c r="Y13" s="6"/>
      <c r="Z13" s="6"/>
    </row>
    <row r="14" spans="1:26" ht="15.75" customHeight="1" x14ac:dyDescent="0.2">
      <c r="A14" s="6"/>
      <c r="B14" s="43"/>
      <c r="C14" s="44"/>
      <c r="D14" s="45"/>
      <c r="E14" s="44"/>
      <c r="F14" s="46"/>
      <c r="G14" s="6"/>
      <c r="H14" s="6"/>
      <c r="I14" s="6"/>
      <c r="J14" s="6"/>
      <c r="K14" s="6"/>
      <c r="L14" s="6"/>
      <c r="M14" s="6"/>
      <c r="N14" s="6"/>
      <c r="O14" s="6"/>
      <c r="P14" s="6"/>
      <c r="Q14" s="6"/>
      <c r="R14" s="6"/>
      <c r="S14" s="6"/>
      <c r="T14" s="6"/>
      <c r="U14" s="6"/>
      <c r="V14" s="6"/>
      <c r="W14" s="6"/>
      <c r="X14" s="6"/>
      <c r="Y14" s="6"/>
      <c r="Z14" s="6"/>
    </row>
    <row r="15" spans="1:26" ht="15.75" customHeight="1" x14ac:dyDescent="0.2">
      <c r="A15" s="6"/>
      <c r="B15" s="6"/>
      <c r="G15" s="6"/>
      <c r="H15" s="6"/>
      <c r="I15" s="6"/>
      <c r="J15" s="6"/>
      <c r="K15" s="6"/>
      <c r="L15" s="6"/>
      <c r="M15" s="6"/>
      <c r="N15" s="6"/>
      <c r="O15" s="6"/>
      <c r="P15" s="6"/>
      <c r="Q15" s="6"/>
      <c r="R15" s="6"/>
      <c r="S15" s="6"/>
      <c r="T15" s="6"/>
      <c r="U15" s="6"/>
      <c r="V15" s="6"/>
      <c r="W15" s="6"/>
      <c r="X15" s="6"/>
      <c r="Y15" s="6"/>
      <c r="Z15" s="6"/>
    </row>
    <row r="16" spans="1:26" ht="15.75" customHeight="1" x14ac:dyDescent="0.2">
      <c r="A16" s="6"/>
      <c r="B16" s="6"/>
      <c r="G16" s="6"/>
      <c r="H16" s="6"/>
      <c r="I16" s="6"/>
      <c r="J16" s="6"/>
      <c r="K16" s="6"/>
      <c r="L16" s="6"/>
      <c r="M16" s="6"/>
      <c r="N16" s="6"/>
      <c r="O16" s="6"/>
      <c r="P16" s="6"/>
      <c r="Q16" s="6"/>
      <c r="R16" s="6"/>
      <c r="S16" s="6"/>
      <c r="T16" s="6"/>
      <c r="U16" s="6"/>
      <c r="V16" s="6"/>
      <c r="W16" s="6"/>
      <c r="X16" s="6"/>
      <c r="Y16" s="6"/>
      <c r="Z16" s="6"/>
    </row>
    <row r="17" spans="1:26" ht="15.75" customHeight="1" x14ac:dyDescent="0.2">
      <c r="A17" s="6"/>
      <c r="B17" s="6"/>
      <c r="C17" s="6"/>
      <c r="D17" s="47"/>
      <c r="E17" s="6"/>
      <c r="F17" s="6"/>
      <c r="G17" s="16"/>
      <c r="H17" s="6"/>
      <c r="I17" s="6"/>
      <c r="J17" s="6"/>
      <c r="K17" s="6"/>
      <c r="L17" s="6"/>
      <c r="M17" s="6"/>
      <c r="N17" s="6"/>
      <c r="O17" s="6"/>
      <c r="P17" s="6"/>
      <c r="Q17" s="6"/>
      <c r="R17" s="6"/>
      <c r="S17" s="6"/>
      <c r="T17" s="6"/>
      <c r="U17" s="6"/>
      <c r="V17" s="6"/>
      <c r="W17" s="6"/>
      <c r="X17" s="6"/>
      <c r="Y17" s="6"/>
      <c r="Z17" s="6"/>
    </row>
    <row r="18" spans="1:26" ht="15.75" customHeight="1" x14ac:dyDescent="0.2">
      <c r="A18" s="6"/>
      <c r="B18" s="6"/>
      <c r="C18" s="6"/>
      <c r="D18" s="47"/>
      <c r="E18" s="6"/>
      <c r="F18" s="6"/>
      <c r="G18" s="6"/>
      <c r="H18" s="6"/>
      <c r="I18" s="6"/>
      <c r="J18" s="6"/>
      <c r="K18" s="6"/>
      <c r="L18" s="6"/>
      <c r="M18" s="6"/>
      <c r="N18" s="6"/>
      <c r="O18" s="6"/>
      <c r="P18" s="6"/>
      <c r="Q18" s="6"/>
      <c r="R18" s="6"/>
      <c r="S18" s="6"/>
      <c r="T18" s="6"/>
      <c r="U18" s="6"/>
      <c r="V18" s="6"/>
      <c r="W18" s="6"/>
      <c r="X18" s="6"/>
      <c r="Y18" s="6"/>
      <c r="Z18" s="6"/>
    </row>
    <row r="19" spans="1:26" ht="15.75" customHeight="1" x14ac:dyDescent="0.2">
      <c r="A19" s="6"/>
      <c r="B19" s="6"/>
      <c r="C19" s="6"/>
      <c r="D19" s="47"/>
      <c r="E19" s="6"/>
      <c r="F19" s="6"/>
      <c r="G19" s="6"/>
      <c r="H19" s="6"/>
      <c r="I19" s="6"/>
      <c r="J19" s="6"/>
      <c r="K19" s="6"/>
      <c r="L19" s="6"/>
      <c r="M19" s="6"/>
      <c r="N19" s="6"/>
      <c r="O19" s="6"/>
      <c r="P19" s="6"/>
      <c r="Q19" s="6"/>
      <c r="R19" s="6"/>
      <c r="S19" s="6"/>
      <c r="T19" s="6"/>
      <c r="U19" s="6"/>
      <c r="V19" s="6"/>
      <c r="W19" s="6"/>
      <c r="X19" s="6"/>
      <c r="Y19" s="6"/>
      <c r="Z19" s="6"/>
    </row>
    <row r="20" spans="1:26" ht="15.75" customHeight="1" x14ac:dyDescent="0.2">
      <c r="A20" s="6"/>
      <c r="B20" s="6"/>
      <c r="C20" s="6"/>
      <c r="D20" s="47"/>
      <c r="E20" s="6"/>
      <c r="F20" s="6"/>
      <c r="G20" s="6"/>
      <c r="H20" s="6"/>
      <c r="I20" s="6"/>
      <c r="J20" s="6"/>
      <c r="K20" s="6"/>
      <c r="L20" s="6"/>
      <c r="M20" s="6"/>
      <c r="N20" s="6"/>
      <c r="O20" s="6"/>
      <c r="P20" s="6"/>
      <c r="Q20" s="6"/>
      <c r="R20" s="6"/>
      <c r="S20" s="6"/>
      <c r="T20" s="6"/>
      <c r="U20" s="6"/>
      <c r="V20" s="6"/>
      <c r="W20" s="6"/>
      <c r="X20" s="6"/>
      <c r="Y20" s="6"/>
      <c r="Z20" s="6"/>
    </row>
    <row r="21" spans="1:26" ht="15.75" customHeight="1" x14ac:dyDescent="0.2">
      <c r="A21" s="6"/>
      <c r="B21" s="6"/>
      <c r="C21" s="6"/>
      <c r="D21" s="47"/>
      <c r="E21" s="6"/>
      <c r="F21" s="6"/>
      <c r="G21" s="16"/>
      <c r="H21" s="6"/>
      <c r="I21" s="6"/>
      <c r="J21" s="6"/>
      <c r="K21" s="6"/>
      <c r="L21" s="6"/>
      <c r="M21" s="6"/>
      <c r="N21" s="6"/>
      <c r="O21" s="6"/>
      <c r="P21" s="6"/>
      <c r="Q21" s="6"/>
      <c r="R21" s="6"/>
      <c r="S21" s="6"/>
      <c r="T21" s="6"/>
      <c r="U21" s="6"/>
      <c r="V21" s="6"/>
      <c r="W21" s="6"/>
      <c r="X21" s="6"/>
      <c r="Y21" s="6"/>
      <c r="Z21" s="6"/>
    </row>
    <row r="22" spans="1:26" ht="15.75" customHeight="1" x14ac:dyDescent="0.2">
      <c r="A22" s="6"/>
      <c r="B22" s="6"/>
      <c r="C22" s="6"/>
      <c r="D22" s="47"/>
      <c r="E22" s="6"/>
      <c r="F22" s="6"/>
      <c r="G22" s="6"/>
      <c r="H22" s="6"/>
      <c r="I22" s="6"/>
      <c r="J22" s="6"/>
      <c r="K22" s="6"/>
      <c r="L22" s="6"/>
      <c r="M22" s="6"/>
      <c r="N22" s="6"/>
      <c r="O22" s="6"/>
      <c r="P22" s="6"/>
      <c r="Q22" s="6"/>
      <c r="R22" s="6"/>
      <c r="S22" s="6"/>
      <c r="T22" s="6"/>
      <c r="U22" s="6"/>
      <c r="V22" s="6"/>
      <c r="W22" s="6"/>
      <c r="X22" s="6"/>
      <c r="Y22" s="6"/>
      <c r="Z22" s="6"/>
    </row>
    <row r="23" spans="1:26" ht="15.75" customHeight="1" x14ac:dyDescent="0.2">
      <c r="A23" s="6"/>
      <c r="B23" s="6"/>
      <c r="C23" s="6"/>
      <c r="D23" s="47"/>
      <c r="E23" s="6"/>
      <c r="F23" s="6"/>
      <c r="G23" s="6"/>
      <c r="H23" s="6"/>
      <c r="I23" s="6"/>
      <c r="J23" s="6"/>
      <c r="K23" s="6"/>
      <c r="L23" s="6"/>
      <c r="M23" s="6"/>
      <c r="N23" s="6"/>
      <c r="O23" s="6"/>
      <c r="P23" s="6"/>
      <c r="Q23" s="6"/>
      <c r="R23" s="6"/>
      <c r="S23" s="6"/>
      <c r="T23" s="6"/>
      <c r="U23" s="6"/>
      <c r="V23" s="6"/>
      <c r="W23" s="6"/>
      <c r="X23" s="6"/>
      <c r="Y23" s="6"/>
      <c r="Z23" s="6"/>
    </row>
    <row r="24" spans="1:26" ht="15.75" customHeight="1" x14ac:dyDescent="0.2">
      <c r="A24" s="6"/>
      <c r="B24" s="6"/>
      <c r="C24" s="6"/>
      <c r="D24" s="47"/>
      <c r="E24" s="6"/>
      <c r="F24" s="6"/>
      <c r="G24" s="6"/>
      <c r="H24" s="6"/>
      <c r="I24" s="6"/>
      <c r="J24" s="6"/>
      <c r="K24" s="6"/>
      <c r="L24" s="6"/>
      <c r="M24" s="6"/>
      <c r="N24" s="6"/>
      <c r="O24" s="6"/>
      <c r="P24" s="6"/>
      <c r="Q24" s="6"/>
      <c r="R24" s="6"/>
      <c r="S24" s="6"/>
      <c r="T24" s="6"/>
      <c r="U24" s="6"/>
      <c r="V24" s="6"/>
      <c r="W24" s="6"/>
      <c r="X24" s="6"/>
      <c r="Y24" s="6"/>
      <c r="Z24" s="6"/>
    </row>
    <row r="25" spans="1:26" ht="15.75" customHeight="1" x14ac:dyDescent="0.2">
      <c r="A25" s="6"/>
      <c r="B25" s="6"/>
      <c r="C25" s="6"/>
      <c r="D25" s="47"/>
      <c r="E25" s="6"/>
      <c r="F25" s="6"/>
      <c r="G25" s="16"/>
      <c r="H25" s="6"/>
      <c r="I25" s="6"/>
      <c r="J25" s="6"/>
      <c r="K25" s="6"/>
      <c r="L25" s="6"/>
      <c r="M25" s="6"/>
      <c r="N25" s="6"/>
      <c r="O25" s="6"/>
      <c r="P25" s="6"/>
      <c r="Q25" s="6"/>
      <c r="R25" s="6"/>
      <c r="S25" s="6"/>
      <c r="T25" s="6"/>
      <c r="U25" s="6"/>
      <c r="V25" s="6"/>
      <c r="W25" s="6"/>
      <c r="X25" s="6"/>
      <c r="Y25" s="6"/>
      <c r="Z25" s="6"/>
    </row>
    <row r="26" spans="1:26" ht="15.75" customHeight="1" x14ac:dyDescent="0.2">
      <c r="A26" s="6"/>
      <c r="B26" s="6"/>
      <c r="C26" s="6"/>
      <c r="D26" s="47"/>
      <c r="E26" s="6"/>
      <c r="F26" s="6"/>
      <c r="G26" s="6"/>
      <c r="H26" s="6"/>
      <c r="I26" s="6"/>
      <c r="J26" s="6"/>
      <c r="K26" s="6"/>
      <c r="L26" s="6"/>
      <c r="M26" s="6"/>
      <c r="N26" s="6"/>
      <c r="O26" s="6"/>
      <c r="P26" s="6"/>
      <c r="Q26" s="6"/>
      <c r="R26" s="6"/>
      <c r="S26" s="6"/>
      <c r="T26" s="6"/>
      <c r="U26" s="6"/>
      <c r="V26" s="6"/>
      <c r="W26" s="6"/>
      <c r="X26" s="6"/>
      <c r="Y26" s="6"/>
      <c r="Z26" s="6"/>
    </row>
    <row r="27" spans="1:26" ht="15.75" customHeight="1" x14ac:dyDescent="0.2">
      <c r="A27" s="6"/>
      <c r="B27" s="6"/>
      <c r="C27" s="6"/>
      <c r="D27" s="47"/>
      <c r="E27" s="6"/>
      <c r="F27" s="6"/>
      <c r="G27" s="6"/>
      <c r="H27" s="6"/>
      <c r="I27" s="6"/>
      <c r="J27" s="6"/>
      <c r="K27" s="6"/>
      <c r="L27" s="6"/>
      <c r="M27" s="6"/>
      <c r="N27" s="6"/>
      <c r="O27" s="6"/>
      <c r="P27" s="6"/>
      <c r="Q27" s="6"/>
      <c r="R27" s="6"/>
      <c r="S27" s="6"/>
      <c r="T27" s="6"/>
      <c r="U27" s="6"/>
      <c r="V27" s="6"/>
      <c r="W27" s="6"/>
      <c r="X27" s="6"/>
      <c r="Y27" s="6"/>
      <c r="Z27" s="6"/>
    </row>
    <row r="28" spans="1:26" ht="15.75" customHeight="1" x14ac:dyDescent="0.2">
      <c r="A28" s="6"/>
      <c r="B28" s="6"/>
      <c r="C28" s="6"/>
      <c r="D28" s="47"/>
      <c r="E28" s="6"/>
      <c r="F28" s="6"/>
      <c r="G28" s="6"/>
      <c r="H28" s="6"/>
      <c r="I28" s="6"/>
      <c r="J28" s="6"/>
      <c r="K28" s="6"/>
      <c r="L28" s="6"/>
      <c r="M28" s="6"/>
      <c r="N28" s="6"/>
      <c r="O28" s="6"/>
      <c r="P28" s="6"/>
      <c r="Q28" s="6"/>
      <c r="R28" s="6"/>
      <c r="S28" s="6"/>
      <c r="T28" s="6"/>
      <c r="U28" s="6"/>
      <c r="V28" s="6"/>
      <c r="W28" s="6"/>
      <c r="X28" s="6"/>
      <c r="Y28" s="6"/>
      <c r="Z28" s="6"/>
    </row>
    <row r="29" spans="1:26" ht="15.75" customHeight="1" x14ac:dyDescent="0.2">
      <c r="A29" s="6"/>
      <c r="B29" s="6"/>
      <c r="C29" s="6"/>
      <c r="D29" s="47"/>
      <c r="E29" s="6"/>
      <c r="F29" s="6"/>
      <c r="G29" s="16"/>
      <c r="H29" s="6"/>
      <c r="I29" s="6"/>
      <c r="J29" s="6"/>
      <c r="K29" s="6"/>
      <c r="L29" s="6"/>
      <c r="M29" s="6"/>
      <c r="N29" s="6"/>
      <c r="O29" s="6"/>
      <c r="P29" s="6"/>
      <c r="Q29" s="6"/>
      <c r="R29" s="6"/>
      <c r="S29" s="6"/>
      <c r="T29" s="6"/>
      <c r="U29" s="6"/>
      <c r="V29" s="6"/>
      <c r="W29" s="6"/>
      <c r="X29" s="6"/>
      <c r="Y29" s="6"/>
      <c r="Z29" s="6"/>
    </row>
    <row r="30" spans="1:26" ht="15.75" customHeight="1" x14ac:dyDescent="0.2">
      <c r="A30" s="6"/>
      <c r="B30" s="6"/>
      <c r="C30" s="6"/>
      <c r="D30" s="47"/>
      <c r="E30" s="6"/>
      <c r="F30" s="6"/>
      <c r="G30" s="6"/>
      <c r="H30" s="6"/>
      <c r="I30" s="6"/>
      <c r="J30" s="6"/>
      <c r="K30" s="6"/>
      <c r="L30" s="6"/>
      <c r="M30" s="6"/>
      <c r="N30" s="6"/>
      <c r="O30" s="6"/>
      <c r="P30" s="6"/>
      <c r="Q30" s="6"/>
      <c r="R30" s="6"/>
      <c r="S30" s="6"/>
      <c r="T30" s="6"/>
      <c r="U30" s="6"/>
      <c r="V30" s="6"/>
      <c r="W30" s="6"/>
      <c r="X30" s="6"/>
      <c r="Y30" s="6"/>
      <c r="Z30" s="6"/>
    </row>
    <row r="31" spans="1:26" ht="15.75" customHeight="1" x14ac:dyDescent="0.2">
      <c r="A31" s="6"/>
      <c r="B31" s="6"/>
      <c r="C31" s="6"/>
      <c r="D31" s="47"/>
      <c r="E31" s="6"/>
      <c r="F31" s="6"/>
      <c r="G31" s="6"/>
      <c r="H31" s="6"/>
      <c r="I31" s="6"/>
      <c r="J31" s="6"/>
      <c r="K31" s="6"/>
      <c r="L31" s="6"/>
      <c r="M31" s="6"/>
      <c r="N31" s="6"/>
      <c r="O31" s="6"/>
      <c r="P31" s="6"/>
      <c r="Q31" s="6"/>
      <c r="R31" s="6"/>
      <c r="S31" s="6"/>
      <c r="T31" s="6"/>
      <c r="U31" s="6"/>
      <c r="V31" s="6"/>
      <c r="W31" s="6"/>
      <c r="X31" s="6"/>
      <c r="Y31" s="6"/>
      <c r="Z31" s="6"/>
    </row>
    <row r="32" spans="1:26" ht="15.75" customHeight="1" x14ac:dyDescent="0.2">
      <c r="A32" s="6"/>
      <c r="B32" s="6"/>
      <c r="C32" s="6"/>
      <c r="D32" s="47"/>
      <c r="E32" s="6"/>
      <c r="F32" s="6"/>
      <c r="G32" s="6"/>
      <c r="H32" s="6"/>
      <c r="I32" s="6"/>
      <c r="J32" s="6"/>
      <c r="K32" s="6"/>
      <c r="L32" s="6"/>
      <c r="M32" s="6"/>
      <c r="N32" s="6"/>
      <c r="O32" s="6"/>
      <c r="P32" s="6"/>
      <c r="Q32" s="6"/>
      <c r="R32" s="6"/>
      <c r="S32" s="6"/>
      <c r="T32" s="6"/>
      <c r="U32" s="6"/>
      <c r="V32" s="6"/>
      <c r="W32" s="6"/>
      <c r="X32" s="6"/>
      <c r="Y32" s="6"/>
      <c r="Z32" s="6"/>
    </row>
    <row r="33" spans="1:26" ht="15.75" customHeight="1" x14ac:dyDescent="0.2">
      <c r="A33" s="6"/>
      <c r="B33" s="6"/>
      <c r="C33" s="6"/>
      <c r="D33" s="47"/>
      <c r="E33" s="6"/>
      <c r="F33" s="6"/>
      <c r="G33" s="16"/>
      <c r="H33" s="6"/>
      <c r="I33" s="6"/>
      <c r="J33" s="6"/>
      <c r="K33" s="6"/>
      <c r="L33" s="6"/>
      <c r="M33" s="6"/>
      <c r="N33" s="6"/>
      <c r="O33" s="6"/>
      <c r="P33" s="6"/>
      <c r="Q33" s="6"/>
      <c r="R33" s="6"/>
      <c r="S33" s="6"/>
      <c r="T33" s="6"/>
      <c r="U33" s="6"/>
      <c r="V33" s="6"/>
      <c r="W33" s="6"/>
      <c r="X33" s="6"/>
      <c r="Y33" s="6"/>
      <c r="Z33" s="6"/>
    </row>
    <row r="34" spans="1:26" ht="15.75" customHeight="1" x14ac:dyDescent="0.2">
      <c r="A34" s="6"/>
      <c r="B34" s="6"/>
      <c r="C34" s="6"/>
      <c r="D34" s="47"/>
      <c r="E34" s="6"/>
      <c r="F34" s="6"/>
      <c r="G34" s="6"/>
      <c r="H34" s="6"/>
      <c r="I34" s="6"/>
      <c r="J34" s="6"/>
      <c r="K34" s="6"/>
      <c r="L34" s="6"/>
      <c r="M34" s="6"/>
      <c r="N34" s="6"/>
      <c r="O34" s="6"/>
      <c r="P34" s="6"/>
      <c r="Q34" s="6"/>
      <c r="R34" s="6"/>
      <c r="S34" s="6"/>
      <c r="T34" s="6"/>
      <c r="U34" s="6"/>
      <c r="V34" s="6"/>
      <c r="W34" s="6"/>
      <c r="X34" s="6"/>
      <c r="Y34" s="6"/>
      <c r="Z34" s="6"/>
    </row>
    <row r="35" spans="1:26" ht="15.75" customHeight="1" x14ac:dyDescent="0.2">
      <c r="A35" s="6"/>
      <c r="B35" s="6"/>
      <c r="C35" s="6"/>
      <c r="D35" s="47"/>
      <c r="E35" s="6"/>
      <c r="F35" s="6"/>
      <c r="G35" s="6"/>
      <c r="H35" s="6"/>
      <c r="I35" s="6"/>
      <c r="J35" s="6"/>
      <c r="K35" s="6"/>
      <c r="L35" s="6"/>
      <c r="M35" s="6"/>
      <c r="N35" s="6"/>
      <c r="O35" s="6"/>
      <c r="P35" s="6"/>
      <c r="Q35" s="6"/>
      <c r="R35" s="6"/>
      <c r="S35" s="6"/>
      <c r="T35" s="6"/>
      <c r="U35" s="6"/>
      <c r="V35" s="6"/>
      <c r="W35" s="6"/>
      <c r="X35" s="6"/>
      <c r="Y35" s="6"/>
      <c r="Z35" s="6"/>
    </row>
    <row r="36" spans="1:26" ht="15.75" customHeight="1" x14ac:dyDescent="0.2">
      <c r="A36" s="6"/>
      <c r="B36" s="6"/>
      <c r="C36" s="6"/>
      <c r="D36" s="47"/>
      <c r="E36" s="6"/>
      <c r="F36" s="6"/>
      <c r="G36" s="6"/>
      <c r="H36" s="6"/>
      <c r="I36" s="6"/>
      <c r="J36" s="6"/>
      <c r="K36" s="6"/>
      <c r="L36" s="6"/>
      <c r="M36" s="6"/>
      <c r="N36" s="6"/>
      <c r="O36" s="6"/>
      <c r="P36" s="6"/>
      <c r="Q36" s="6"/>
      <c r="R36" s="6"/>
      <c r="S36" s="6"/>
      <c r="T36" s="6"/>
      <c r="U36" s="6"/>
      <c r="V36" s="6"/>
      <c r="W36" s="6"/>
      <c r="X36" s="6"/>
      <c r="Y36" s="6"/>
      <c r="Z36" s="6"/>
    </row>
    <row r="37" spans="1:26" ht="15.75" customHeight="1" x14ac:dyDescent="0.2">
      <c r="A37" s="6"/>
      <c r="B37" s="6"/>
      <c r="C37" s="6"/>
      <c r="D37" s="47"/>
      <c r="E37" s="6"/>
      <c r="F37" s="6"/>
      <c r="G37" s="16"/>
      <c r="H37" s="6"/>
      <c r="I37" s="6"/>
      <c r="J37" s="6"/>
      <c r="K37" s="6"/>
      <c r="L37" s="6"/>
      <c r="M37" s="6"/>
      <c r="N37" s="6"/>
      <c r="O37" s="6"/>
      <c r="P37" s="6"/>
      <c r="Q37" s="6"/>
      <c r="R37" s="6"/>
      <c r="S37" s="6"/>
      <c r="T37" s="6"/>
      <c r="U37" s="6"/>
      <c r="V37" s="6"/>
      <c r="W37" s="6"/>
      <c r="X37" s="6"/>
      <c r="Y37" s="6"/>
      <c r="Z37" s="6"/>
    </row>
    <row r="38" spans="1:26" ht="15.75" customHeight="1" x14ac:dyDescent="0.2">
      <c r="A38" s="6"/>
      <c r="B38" s="6"/>
      <c r="C38" s="6"/>
      <c r="D38" s="47"/>
      <c r="E38" s="6"/>
      <c r="F38" s="6"/>
      <c r="G38" s="6"/>
      <c r="H38" s="6"/>
      <c r="I38" s="6"/>
      <c r="J38" s="6"/>
      <c r="K38" s="6"/>
      <c r="L38" s="6"/>
      <c r="M38" s="6"/>
      <c r="N38" s="6"/>
      <c r="O38" s="6"/>
      <c r="P38" s="6"/>
      <c r="Q38" s="6"/>
      <c r="R38" s="6"/>
      <c r="S38" s="6"/>
      <c r="T38" s="6"/>
      <c r="U38" s="6"/>
      <c r="V38" s="6"/>
      <c r="W38" s="6"/>
      <c r="X38" s="6"/>
      <c r="Y38" s="6"/>
      <c r="Z38" s="6"/>
    </row>
    <row r="39" spans="1:26" ht="15.75" customHeight="1" x14ac:dyDescent="0.2">
      <c r="A39" s="6"/>
      <c r="B39" s="6"/>
      <c r="C39" s="6"/>
      <c r="D39" s="47"/>
      <c r="E39" s="6"/>
      <c r="F39" s="6"/>
      <c r="G39" s="6"/>
      <c r="H39" s="6"/>
      <c r="I39" s="6"/>
      <c r="J39" s="6"/>
      <c r="K39" s="6"/>
      <c r="L39" s="6"/>
      <c r="M39" s="6"/>
      <c r="N39" s="6"/>
      <c r="O39" s="6"/>
      <c r="P39" s="6"/>
      <c r="Q39" s="6"/>
      <c r="R39" s="6"/>
      <c r="S39" s="6"/>
      <c r="T39" s="6"/>
      <c r="U39" s="6"/>
      <c r="V39" s="6"/>
      <c r="W39" s="6"/>
      <c r="X39" s="6"/>
      <c r="Y39" s="6"/>
      <c r="Z39" s="6"/>
    </row>
    <row r="40" spans="1:26" ht="15.75" customHeight="1" x14ac:dyDescent="0.2">
      <c r="A40" s="6"/>
      <c r="B40" s="6"/>
      <c r="C40" s="6"/>
      <c r="D40" s="47"/>
      <c r="E40" s="6"/>
      <c r="F40" s="6"/>
      <c r="G40" s="6"/>
      <c r="H40" s="6"/>
      <c r="I40" s="6"/>
      <c r="J40" s="6"/>
      <c r="K40" s="6"/>
      <c r="L40" s="6"/>
      <c r="M40" s="6"/>
      <c r="N40" s="6"/>
      <c r="O40" s="6"/>
      <c r="P40" s="6"/>
      <c r="Q40" s="6"/>
      <c r="R40" s="6"/>
      <c r="S40" s="6"/>
      <c r="T40" s="6"/>
      <c r="U40" s="6"/>
      <c r="V40" s="6"/>
      <c r="W40" s="6"/>
      <c r="X40" s="6"/>
      <c r="Y40" s="6"/>
      <c r="Z40" s="6"/>
    </row>
    <row r="41" spans="1:26" ht="15.75" customHeight="1" x14ac:dyDescent="0.2">
      <c r="A41" s="6"/>
      <c r="B41" s="6"/>
      <c r="C41" s="6"/>
      <c r="D41" s="47"/>
      <c r="E41" s="6"/>
      <c r="F41" s="6"/>
      <c r="G41" s="16"/>
      <c r="H41" s="6"/>
      <c r="I41" s="6"/>
      <c r="J41" s="6"/>
      <c r="K41" s="6"/>
      <c r="L41" s="6"/>
      <c r="M41" s="6"/>
      <c r="N41" s="6"/>
      <c r="O41" s="6"/>
      <c r="P41" s="6"/>
      <c r="Q41" s="6"/>
      <c r="R41" s="6"/>
      <c r="S41" s="6"/>
      <c r="T41" s="6"/>
      <c r="U41" s="6"/>
      <c r="V41" s="6"/>
      <c r="W41" s="6"/>
      <c r="X41" s="6"/>
      <c r="Y41" s="6"/>
      <c r="Z41" s="6"/>
    </row>
    <row r="42" spans="1:26" ht="15.75" customHeight="1" x14ac:dyDescent="0.2">
      <c r="A42" s="6"/>
      <c r="B42" s="6"/>
      <c r="C42" s="6"/>
      <c r="D42" s="47"/>
      <c r="E42" s="6"/>
      <c r="F42" s="6"/>
      <c r="G42" s="6"/>
      <c r="H42" s="6"/>
      <c r="I42" s="6"/>
      <c r="J42" s="6"/>
      <c r="K42" s="6"/>
      <c r="L42" s="6"/>
      <c r="M42" s="6"/>
      <c r="N42" s="6"/>
      <c r="O42" s="6"/>
      <c r="P42" s="6"/>
      <c r="Q42" s="6"/>
      <c r="R42" s="6"/>
      <c r="S42" s="6"/>
      <c r="T42" s="6"/>
      <c r="U42" s="6"/>
      <c r="V42" s="6"/>
      <c r="W42" s="6"/>
      <c r="X42" s="6"/>
      <c r="Y42" s="6"/>
      <c r="Z42" s="6"/>
    </row>
    <row r="43" spans="1:26" ht="15.75" customHeight="1" x14ac:dyDescent="0.2">
      <c r="A43" s="6"/>
      <c r="B43" s="6"/>
      <c r="C43" s="6"/>
      <c r="D43" s="47"/>
      <c r="E43" s="6"/>
      <c r="F43" s="6"/>
      <c r="G43" s="6"/>
      <c r="H43" s="6"/>
      <c r="I43" s="6"/>
      <c r="J43" s="6"/>
      <c r="K43" s="6"/>
      <c r="L43" s="6"/>
      <c r="M43" s="6"/>
      <c r="N43" s="6"/>
      <c r="O43" s="6"/>
      <c r="P43" s="6"/>
      <c r="Q43" s="6"/>
      <c r="R43" s="6"/>
      <c r="S43" s="6"/>
      <c r="T43" s="6"/>
      <c r="U43" s="6"/>
      <c r="V43" s="6"/>
      <c r="W43" s="6"/>
      <c r="X43" s="6"/>
      <c r="Y43" s="6"/>
      <c r="Z43" s="6"/>
    </row>
    <row r="44" spans="1:26" ht="15.75" customHeight="1" x14ac:dyDescent="0.2">
      <c r="A44" s="6"/>
      <c r="B44" s="6"/>
      <c r="C44" s="6"/>
      <c r="D44" s="47"/>
      <c r="E44" s="6"/>
      <c r="F44" s="6"/>
      <c r="G44" s="6"/>
      <c r="H44" s="6"/>
      <c r="I44" s="6"/>
      <c r="J44" s="6"/>
      <c r="K44" s="6"/>
      <c r="L44" s="6"/>
      <c r="M44" s="6"/>
      <c r="N44" s="6"/>
      <c r="O44" s="6"/>
      <c r="P44" s="6"/>
      <c r="Q44" s="6"/>
      <c r="R44" s="6"/>
      <c r="S44" s="6"/>
      <c r="T44" s="6"/>
      <c r="U44" s="6"/>
      <c r="V44" s="6"/>
      <c r="W44" s="6"/>
      <c r="X44" s="6"/>
      <c r="Y44" s="6"/>
      <c r="Z44" s="6"/>
    </row>
    <row r="45" spans="1:26" ht="15.75" customHeight="1" x14ac:dyDescent="0.2">
      <c r="A45" s="6"/>
      <c r="B45" s="6"/>
      <c r="C45" s="6"/>
      <c r="D45" s="47"/>
      <c r="E45" s="6"/>
      <c r="F45" s="6"/>
      <c r="G45" s="16"/>
      <c r="H45" s="6"/>
      <c r="I45" s="6"/>
      <c r="J45" s="6"/>
      <c r="K45" s="6"/>
      <c r="L45" s="6"/>
      <c r="M45" s="6"/>
      <c r="N45" s="6"/>
      <c r="O45" s="6"/>
      <c r="P45" s="6"/>
      <c r="Q45" s="6"/>
      <c r="R45" s="6"/>
      <c r="S45" s="6"/>
      <c r="T45" s="6"/>
      <c r="U45" s="6"/>
      <c r="V45" s="6"/>
      <c r="W45" s="6"/>
      <c r="X45" s="6"/>
      <c r="Y45" s="6"/>
      <c r="Z45" s="6"/>
    </row>
    <row r="46" spans="1:26" ht="15.75" customHeight="1" x14ac:dyDescent="0.2">
      <c r="A46" s="6"/>
      <c r="B46" s="6"/>
      <c r="C46" s="6"/>
      <c r="D46" s="47"/>
      <c r="E46" s="6"/>
      <c r="F46" s="6"/>
      <c r="G46" s="6"/>
      <c r="H46" s="6"/>
      <c r="I46" s="6"/>
      <c r="J46" s="6"/>
      <c r="K46" s="6"/>
      <c r="L46" s="6"/>
      <c r="M46" s="6"/>
      <c r="N46" s="6"/>
      <c r="O46" s="6"/>
      <c r="P46" s="6"/>
      <c r="Q46" s="6"/>
      <c r="R46" s="6"/>
      <c r="S46" s="6"/>
      <c r="T46" s="6"/>
      <c r="U46" s="6"/>
      <c r="V46" s="6"/>
      <c r="W46" s="6"/>
      <c r="X46" s="6"/>
      <c r="Y46" s="6"/>
      <c r="Z46" s="6"/>
    </row>
    <row r="47" spans="1:26" ht="15.75" customHeight="1" x14ac:dyDescent="0.2">
      <c r="A47" s="6"/>
      <c r="B47" s="6"/>
      <c r="C47" s="6"/>
      <c r="D47" s="47"/>
      <c r="E47" s="6"/>
      <c r="F47" s="6"/>
      <c r="G47" s="6"/>
      <c r="H47" s="6"/>
      <c r="I47" s="6"/>
      <c r="J47" s="6"/>
      <c r="K47" s="6"/>
      <c r="L47" s="6"/>
      <c r="M47" s="6"/>
      <c r="N47" s="6"/>
      <c r="O47" s="6"/>
      <c r="P47" s="6"/>
      <c r="Q47" s="6"/>
      <c r="R47" s="6"/>
      <c r="S47" s="6"/>
      <c r="T47" s="6"/>
      <c r="U47" s="6"/>
      <c r="V47" s="6"/>
      <c r="W47" s="6"/>
      <c r="X47" s="6"/>
      <c r="Y47" s="6"/>
      <c r="Z47" s="6"/>
    </row>
    <row r="48" spans="1:26" ht="15.75" customHeight="1" x14ac:dyDescent="0.2">
      <c r="A48" s="6"/>
      <c r="B48" s="6"/>
      <c r="C48" s="6"/>
      <c r="D48" s="47"/>
      <c r="E48" s="6"/>
      <c r="F48" s="6"/>
      <c r="G48" s="6"/>
      <c r="H48" s="6"/>
      <c r="I48" s="6"/>
      <c r="J48" s="6"/>
      <c r="K48" s="6"/>
      <c r="L48" s="6"/>
      <c r="M48" s="6"/>
      <c r="N48" s="6"/>
      <c r="O48" s="6"/>
      <c r="P48" s="6"/>
      <c r="Q48" s="6"/>
      <c r="R48" s="6"/>
      <c r="S48" s="6"/>
      <c r="T48" s="6"/>
      <c r="U48" s="6"/>
      <c r="V48" s="6"/>
      <c r="W48" s="6"/>
      <c r="X48" s="6"/>
      <c r="Y48" s="6"/>
      <c r="Z48" s="6"/>
    </row>
    <row r="49" spans="1:26" ht="15.75" customHeight="1" x14ac:dyDescent="0.2">
      <c r="A49" s="6"/>
      <c r="B49" s="6"/>
      <c r="C49" s="6"/>
      <c r="D49" s="47"/>
      <c r="E49" s="6"/>
      <c r="F49" s="6"/>
      <c r="G49" s="16"/>
      <c r="H49" s="6"/>
      <c r="I49" s="6"/>
      <c r="J49" s="6"/>
      <c r="K49" s="6"/>
      <c r="L49" s="6"/>
      <c r="M49" s="6"/>
      <c r="N49" s="6"/>
      <c r="O49" s="6"/>
      <c r="P49" s="6"/>
      <c r="Q49" s="6"/>
      <c r="R49" s="6"/>
      <c r="S49" s="6"/>
      <c r="T49" s="6"/>
      <c r="U49" s="6"/>
      <c r="V49" s="6"/>
      <c r="W49" s="6"/>
      <c r="X49" s="6"/>
      <c r="Y49" s="6"/>
      <c r="Z49" s="6"/>
    </row>
    <row r="50" spans="1:26" ht="15.75" customHeight="1" x14ac:dyDescent="0.2">
      <c r="A50" s="6"/>
      <c r="B50" s="6"/>
      <c r="C50" s="6"/>
      <c r="D50" s="47"/>
      <c r="E50" s="6"/>
      <c r="F50" s="6"/>
      <c r="G50" s="6"/>
      <c r="H50" s="6"/>
      <c r="I50" s="6"/>
      <c r="J50" s="6"/>
      <c r="K50" s="6"/>
      <c r="L50" s="6"/>
      <c r="M50" s="6"/>
      <c r="N50" s="6"/>
      <c r="O50" s="6"/>
      <c r="P50" s="6"/>
      <c r="Q50" s="6"/>
      <c r="R50" s="6"/>
      <c r="S50" s="6"/>
      <c r="T50" s="6"/>
      <c r="U50" s="6"/>
      <c r="V50" s="6"/>
      <c r="W50" s="6"/>
      <c r="X50" s="6"/>
      <c r="Y50" s="6"/>
      <c r="Z50" s="6"/>
    </row>
    <row r="51" spans="1:26" ht="15.75" customHeight="1" x14ac:dyDescent="0.2">
      <c r="A51" s="6"/>
      <c r="B51" s="6"/>
      <c r="C51" s="6"/>
      <c r="D51" s="47"/>
      <c r="E51" s="6"/>
      <c r="F51" s="6"/>
      <c r="G51" s="6"/>
      <c r="H51" s="6"/>
      <c r="I51" s="6"/>
      <c r="J51" s="6"/>
      <c r="K51" s="6"/>
      <c r="L51" s="6"/>
      <c r="M51" s="6"/>
      <c r="N51" s="6"/>
      <c r="O51" s="6"/>
      <c r="P51" s="6"/>
      <c r="Q51" s="6"/>
      <c r="R51" s="6"/>
      <c r="S51" s="6"/>
      <c r="T51" s="6"/>
      <c r="U51" s="6"/>
      <c r="V51" s="6"/>
      <c r="W51" s="6"/>
      <c r="X51" s="6"/>
      <c r="Y51" s="6"/>
      <c r="Z51" s="6"/>
    </row>
    <row r="52" spans="1:26" ht="15.75" customHeight="1" x14ac:dyDescent="0.2">
      <c r="A52" s="6"/>
      <c r="B52" s="6"/>
      <c r="C52" s="6"/>
      <c r="D52" s="47"/>
      <c r="E52" s="6"/>
      <c r="F52" s="6"/>
      <c r="G52" s="6"/>
      <c r="H52" s="6"/>
      <c r="I52" s="6"/>
      <c r="J52" s="6"/>
      <c r="K52" s="6"/>
      <c r="L52" s="6"/>
      <c r="M52" s="6"/>
      <c r="N52" s="6"/>
      <c r="O52" s="6"/>
      <c r="P52" s="6"/>
      <c r="Q52" s="6"/>
      <c r="R52" s="6"/>
      <c r="S52" s="6"/>
      <c r="T52" s="6"/>
      <c r="U52" s="6"/>
      <c r="V52" s="6"/>
      <c r="W52" s="6"/>
      <c r="X52" s="6"/>
      <c r="Y52" s="6"/>
      <c r="Z52" s="6"/>
    </row>
    <row r="53" spans="1:26" ht="15.75" customHeight="1" x14ac:dyDescent="0.2">
      <c r="A53" s="6"/>
      <c r="B53" s="6"/>
      <c r="C53" s="6"/>
      <c r="D53" s="47"/>
      <c r="E53" s="6"/>
      <c r="F53" s="6"/>
      <c r="G53" s="16"/>
      <c r="H53" s="6"/>
      <c r="I53" s="6"/>
      <c r="J53" s="6"/>
      <c r="K53" s="6"/>
      <c r="L53" s="6"/>
      <c r="M53" s="6"/>
      <c r="N53" s="6"/>
      <c r="O53" s="6"/>
      <c r="P53" s="6"/>
      <c r="Q53" s="6"/>
      <c r="R53" s="6"/>
      <c r="S53" s="6"/>
      <c r="T53" s="6"/>
      <c r="U53" s="6"/>
      <c r="V53" s="6"/>
      <c r="W53" s="6"/>
      <c r="X53" s="6"/>
      <c r="Y53" s="6"/>
      <c r="Z53" s="6"/>
    </row>
    <row r="54" spans="1:26" ht="15.75" customHeight="1" x14ac:dyDescent="0.2">
      <c r="A54" s="6"/>
      <c r="B54" s="6"/>
      <c r="C54" s="6"/>
      <c r="D54" s="47"/>
      <c r="E54" s="6"/>
      <c r="F54" s="6"/>
      <c r="G54" s="6"/>
      <c r="H54" s="6"/>
      <c r="I54" s="6"/>
      <c r="J54" s="6"/>
      <c r="K54" s="6"/>
      <c r="L54" s="6"/>
      <c r="M54" s="6"/>
      <c r="N54" s="6"/>
      <c r="O54" s="6"/>
      <c r="P54" s="6"/>
      <c r="Q54" s="6"/>
      <c r="R54" s="6"/>
      <c r="S54" s="6"/>
      <c r="T54" s="6"/>
      <c r="U54" s="6"/>
      <c r="V54" s="6"/>
      <c r="W54" s="6"/>
      <c r="X54" s="6"/>
      <c r="Y54" s="6"/>
      <c r="Z54" s="6"/>
    </row>
    <row r="55" spans="1:26" ht="15.75" customHeight="1" x14ac:dyDescent="0.2">
      <c r="A55" s="6"/>
      <c r="B55" s="6"/>
      <c r="C55" s="6"/>
      <c r="D55" s="47"/>
      <c r="E55" s="6"/>
      <c r="F55" s="6"/>
      <c r="G55" s="6"/>
      <c r="H55" s="6"/>
      <c r="I55" s="6"/>
      <c r="J55" s="6"/>
      <c r="K55" s="6"/>
      <c r="L55" s="6"/>
      <c r="M55" s="6"/>
      <c r="N55" s="6"/>
      <c r="O55" s="6"/>
      <c r="P55" s="6"/>
      <c r="Q55" s="6"/>
      <c r="R55" s="6"/>
      <c r="S55" s="6"/>
      <c r="T55" s="6"/>
      <c r="U55" s="6"/>
      <c r="V55" s="6"/>
      <c r="W55" s="6"/>
      <c r="X55" s="6"/>
      <c r="Y55" s="6"/>
      <c r="Z55" s="6"/>
    </row>
    <row r="56" spans="1:26" ht="15.75" customHeight="1" x14ac:dyDescent="0.2">
      <c r="A56" s="6"/>
      <c r="B56" s="6"/>
      <c r="C56" s="6"/>
      <c r="D56" s="47"/>
      <c r="E56" s="6"/>
      <c r="F56" s="6"/>
      <c r="G56" s="6"/>
      <c r="H56" s="6"/>
      <c r="I56" s="6"/>
      <c r="J56" s="6"/>
      <c r="K56" s="6"/>
      <c r="L56" s="6"/>
      <c r="M56" s="6"/>
      <c r="N56" s="6"/>
      <c r="O56" s="6"/>
      <c r="P56" s="6"/>
      <c r="Q56" s="6"/>
      <c r="R56" s="6"/>
      <c r="S56" s="6"/>
      <c r="T56" s="6"/>
      <c r="U56" s="6"/>
      <c r="V56" s="6"/>
      <c r="W56" s="6"/>
      <c r="X56" s="6"/>
      <c r="Y56" s="6"/>
      <c r="Z56" s="6"/>
    </row>
    <row r="57" spans="1:26" ht="15.75" customHeight="1" x14ac:dyDescent="0.2">
      <c r="A57" s="6"/>
      <c r="B57" s="6"/>
      <c r="C57" s="6"/>
      <c r="D57" s="47"/>
      <c r="E57" s="6"/>
      <c r="F57" s="6"/>
      <c r="G57" s="16"/>
      <c r="H57" s="6"/>
      <c r="I57" s="6"/>
      <c r="J57" s="6"/>
      <c r="K57" s="6"/>
      <c r="L57" s="6"/>
      <c r="M57" s="6"/>
      <c r="N57" s="6"/>
      <c r="O57" s="6"/>
      <c r="P57" s="6"/>
      <c r="Q57" s="6"/>
      <c r="R57" s="6"/>
      <c r="S57" s="6"/>
      <c r="T57" s="6"/>
      <c r="U57" s="6"/>
      <c r="V57" s="6"/>
      <c r="W57" s="6"/>
      <c r="X57" s="6"/>
      <c r="Y57" s="6"/>
      <c r="Z57" s="6"/>
    </row>
    <row r="58" spans="1:26" ht="15.75" customHeight="1" x14ac:dyDescent="0.2">
      <c r="A58" s="6"/>
      <c r="B58" s="6"/>
      <c r="C58" s="6"/>
      <c r="D58" s="47"/>
      <c r="E58" s="6"/>
      <c r="F58" s="6"/>
      <c r="G58" s="6"/>
      <c r="H58" s="6"/>
      <c r="I58" s="6"/>
      <c r="J58" s="6"/>
      <c r="K58" s="6"/>
      <c r="L58" s="6"/>
      <c r="M58" s="6"/>
      <c r="N58" s="6"/>
      <c r="O58" s="6"/>
      <c r="P58" s="6"/>
      <c r="Q58" s="6"/>
      <c r="R58" s="6"/>
      <c r="S58" s="6"/>
      <c r="T58" s="6"/>
      <c r="U58" s="6"/>
      <c r="V58" s="6"/>
      <c r="W58" s="6"/>
      <c r="X58" s="6"/>
      <c r="Y58" s="6"/>
      <c r="Z58" s="6"/>
    </row>
    <row r="59" spans="1:26" ht="15.75" customHeight="1" x14ac:dyDescent="0.2">
      <c r="A59" s="6"/>
      <c r="B59" s="6"/>
      <c r="C59" s="6"/>
      <c r="D59" s="47"/>
      <c r="E59" s="6"/>
      <c r="F59" s="6"/>
      <c r="G59" s="6"/>
      <c r="H59" s="6"/>
      <c r="I59" s="6"/>
      <c r="J59" s="6"/>
      <c r="K59" s="6"/>
      <c r="L59" s="6"/>
      <c r="M59" s="6"/>
      <c r="N59" s="6"/>
      <c r="O59" s="6"/>
      <c r="P59" s="6"/>
      <c r="Q59" s="6"/>
      <c r="R59" s="6"/>
      <c r="S59" s="6"/>
      <c r="T59" s="6"/>
      <c r="U59" s="6"/>
      <c r="V59" s="6"/>
      <c r="W59" s="6"/>
      <c r="X59" s="6"/>
      <c r="Y59" s="6"/>
      <c r="Z59" s="6"/>
    </row>
    <row r="60" spans="1:26" ht="15.75" customHeight="1" x14ac:dyDescent="0.2">
      <c r="A60" s="6"/>
      <c r="B60" s="6"/>
      <c r="C60" s="6"/>
      <c r="D60" s="47"/>
      <c r="E60" s="6"/>
      <c r="F60" s="6"/>
      <c r="G60" s="6"/>
      <c r="H60" s="6"/>
      <c r="I60" s="6"/>
      <c r="J60" s="6"/>
      <c r="K60" s="6"/>
      <c r="L60" s="6"/>
      <c r="M60" s="6"/>
      <c r="N60" s="6"/>
      <c r="O60" s="6"/>
      <c r="P60" s="6"/>
      <c r="Q60" s="6"/>
      <c r="R60" s="6"/>
      <c r="S60" s="6"/>
      <c r="T60" s="6"/>
      <c r="U60" s="6"/>
      <c r="V60" s="6"/>
      <c r="W60" s="6"/>
      <c r="X60" s="6"/>
      <c r="Y60" s="6"/>
      <c r="Z60" s="6"/>
    </row>
    <row r="61" spans="1:26" ht="15.75" customHeight="1" x14ac:dyDescent="0.2">
      <c r="A61" s="6"/>
      <c r="B61" s="6"/>
      <c r="C61" s="6"/>
      <c r="D61" s="47"/>
      <c r="E61" s="6"/>
      <c r="F61" s="6"/>
      <c r="G61" s="16"/>
      <c r="H61" s="6"/>
      <c r="I61" s="6"/>
      <c r="J61" s="6"/>
      <c r="K61" s="6"/>
      <c r="L61" s="6"/>
      <c r="M61" s="6"/>
      <c r="N61" s="6"/>
      <c r="O61" s="6"/>
      <c r="P61" s="6"/>
      <c r="Q61" s="6"/>
      <c r="R61" s="6"/>
      <c r="S61" s="6"/>
      <c r="T61" s="6"/>
      <c r="U61" s="6"/>
      <c r="V61" s="6"/>
      <c r="W61" s="6"/>
      <c r="X61" s="6"/>
      <c r="Y61" s="6"/>
      <c r="Z61" s="6"/>
    </row>
    <row r="62" spans="1:26" ht="15.75" customHeight="1" x14ac:dyDescent="0.2">
      <c r="A62" s="6"/>
      <c r="B62" s="6"/>
      <c r="C62" s="6"/>
      <c r="D62" s="47"/>
      <c r="E62" s="6"/>
      <c r="F62" s="6"/>
      <c r="G62" s="6"/>
      <c r="H62" s="6"/>
      <c r="I62" s="6"/>
      <c r="J62" s="6"/>
      <c r="K62" s="6"/>
      <c r="L62" s="6"/>
      <c r="M62" s="6"/>
      <c r="N62" s="6"/>
      <c r="O62" s="6"/>
      <c r="P62" s="6"/>
      <c r="Q62" s="6"/>
      <c r="R62" s="6"/>
      <c r="S62" s="6"/>
      <c r="T62" s="6"/>
      <c r="U62" s="6"/>
      <c r="V62" s="6"/>
      <c r="W62" s="6"/>
      <c r="X62" s="6"/>
      <c r="Y62" s="6"/>
      <c r="Z62" s="6"/>
    </row>
    <row r="63" spans="1:26" ht="15.75" customHeight="1" x14ac:dyDescent="0.2">
      <c r="A63" s="6"/>
      <c r="B63" s="6"/>
      <c r="C63" s="6"/>
      <c r="D63" s="47"/>
      <c r="E63" s="6"/>
      <c r="F63" s="6"/>
      <c r="G63" s="6"/>
      <c r="H63" s="6"/>
      <c r="I63" s="6"/>
      <c r="J63" s="6"/>
      <c r="K63" s="6"/>
      <c r="L63" s="6"/>
      <c r="M63" s="6"/>
      <c r="N63" s="6"/>
      <c r="O63" s="6"/>
      <c r="P63" s="6"/>
      <c r="Q63" s="6"/>
      <c r="R63" s="6"/>
      <c r="S63" s="6"/>
      <c r="T63" s="6"/>
      <c r="U63" s="6"/>
      <c r="V63" s="6"/>
      <c r="W63" s="6"/>
      <c r="X63" s="6"/>
      <c r="Y63" s="6"/>
      <c r="Z63" s="6"/>
    </row>
    <row r="64" spans="1:26" ht="15.75" customHeight="1" x14ac:dyDescent="0.2">
      <c r="A64" s="6"/>
      <c r="B64" s="6"/>
      <c r="C64" s="6"/>
      <c r="D64" s="47"/>
      <c r="E64" s="6"/>
      <c r="F64" s="6"/>
      <c r="G64" s="6"/>
      <c r="H64" s="6"/>
      <c r="I64" s="6"/>
      <c r="J64" s="6"/>
      <c r="K64" s="6"/>
      <c r="L64" s="6"/>
      <c r="M64" s="6"/>
      <c r="N64" s="6"/>
      <c r="O64" s="6"/>
      <c r="P64" s="6"/>
      <c r="Q64" s="6"/>
      <c r="R64" s="6"/>
      <c r="S64" s="6"/>
      <c r="T64" s="6"/>
      <c r="U64" s="6"/>
      <c r="V64" s="6"/>
      <c r="W64" s="6"/>
      <c r="X64" s="6"/>
      <c r="Y64" s="6"/>
      <c r="Z64" s="6"/>
    </row>
    <row r="65" spans="1:26" ht="15.75" customHeight="1" x14ac:dyDescent="0.2">
      <c r="A65" s="6"/>
      <c r="B65" s="6"/>
      <c r="C65" s="6"/>
      <c r="D65" s="47"/>
      <c r="E65" s="6"/>
      <c r="F65" s="6"/>
      <c r="G65" s="16"/>
      <c r="H65" s="6"/>
      <c r="I65" s="6"/>
      <c r="J65" s="6"/>
      <c r="K65" s="6"/>
      <c r="L65" s="6"/>
      <c r="M65" s="6"/>
      <c r="N65" s="6"/>
      <c r="O65" s="6"/>
      <c r="P65" s="6"/>
      <c r="Q65" s="6"/>
      <c r="R65" s="6"/>
      <c r="S65" s="6"/>
      <c r="T65" s="6"/>
      <c r="U65" s="6"/>
      <c r="V65" s="6"/>
      <c r="W65" s="6"/>
      <c r="X65" s="6"/>
      <c r="Y65" s="6"/>
      <c r="Z65" s="6"/>
    </row>
    <row r="66" spans="1:26" ht="15.75" customHeight="1" x14ac:dyDescent="0.2">
      <c r="A66" s="6"/>
      <c r="B66" s="6"/>
      <c r="C66" s="6"/>
      <c r="D66" s="47"/>
      <c r="E66" s="6"/>
      <c r="F66" s="6"/>
      <c r="G66" s="6"/>
      <c r="H66" s="6"/>
      <c r="I66" s="6"/>
      <c r="J66" s="6"/>
      <c r="K66" s="6"/>
      <c r="L66" s="6"/>
      <c r="M66" s="6"/>
      <c r="N66" s="6"/>
      <c r="O66" s="6"/>
      <c r="P66" s="6"/>
      <c r="Q66" s="6"/>
      <c r="R66" s="6"/>
      <c r="S66" s="6"/>
      <c r="T66" s="6"/>
      <c r="U66" s="6"/>
      <c r="V66" s="6"/>
      <c r="W66" s="6"/>
      <c r="X66" s="6"/>
      <c r="Y66" s="6"/>
      <c r="Z66" s="6"/>
    </row>
    <row r="67" spans="1:26" ht="15.75" customHeight="1" x14ac:dyDescent="0.2">
      <c r="A67" s="6"/>
      <c r="B67" s="6"/>
      <c r="C67" s="6"/>
      <c r="D67" s="47"/>
      <c r="E67" s="6"/>
      <c r="F67" s="6"/>
      <c r="G67" s="6"/>
      <c r="H67" s="6"/>
      <c r="I67" s="6"/>
      <c r="J67" s="6"/>
      <c r="K67" s="6"/>
      <c r="L67" s="6"/>
      <c r="M67" s="6"/>
      <c r="N67" s="6"/>
      <c r="O67" s="6"/>
      <c r="P67" s="6"/>
      <c r="Q67" s="6"/>
      <c r="R67" s="6"/>
      <c r="S67" s="6"/>
      <c r="T67" s="6"/>
      <c r="U67" s="6"/>
      <c r="V67" s="6"/>
      <c r="W67" s="6"/>
      <c r="X67" s="6"/>
      <c r="Y67" s="6"/>
      <c r="Z67" s="6"/>
    </row>
    <row r="68" spans="1:26" ht="15.75" customHeight="1" x14ac:dyDescent="0.2">
      <c r="A68" s="6"/>
      <c r="B68" s="6"/>
      <c r="C68" s="6"/>
      <c r="D68" s="47"/>
      <c r="E68" s="6"/>
      <c r="F68" s="6"/>
      <c r="G68" s="6"/>
      <c r="H68" s="6"/>
      <c r="I68" s="6"/>
      <c r="J68" s="6"/>
      <c r="K68" s="6"/>
      <c r="L68" s="6"/>
      <c r="M68" s="6"/>
      <c r="N68" s="6"/>
      <c r="O68" s="6"/>
      <c r="P68" s="6"/>
      <c r="Q68" s="6"/>
      <c r="R68" s="6"/>
      <c r="S68" s="6"/>
      <c r="T68" s="6"/>
      <c r="U68" s="6"/>
      <c r="V68" s="6"/>
      <c r="W68" s="6"/>
      <c r="X68" s="6"/>
      <c r="Y68" s="6"/>
      <c r="Z68" s="6"/>
    </row>
    <row r="69" spans="1:26" ht="15.75" customHeight="1" x14ac:dyDescent="0.2">
      <c r="A69" s="6"/>
      <c r="B69" s="6"/>
      <c r="C69" s="6"/>
      <c r="D69" s="47"/>
      <c r="E69" s="6"/>
      <c r="F69" s="6"/>
      <c r="G69" s="16"/>
      <c r="H69" s="6"/>
      <c r="I69" s="6"/>
      <c r="J69" s="6"/>
      <c r="K69" s="6"/>
      <c r="L69" s="6"/>
      <c r="M69" s="6"/>
      <c r="N69" s="6"/>
      <c r="O69" s="6"/>
      <c r="P69" s="6"/>
      <c r="Q69" s="6"/>
      <c r="R69" s="6"/>
      <c r="S69" s="6"/>
      <c r="T69" s="6"/>
      <c r="U69" s="6"/>
      <c r="V69" s="6"/>
      <c r="W69" s="6"/>
      <c r="X69" s="6"/>
      <c r="Y69" s="6"/>
      <c r="Z69" s="6"/>
    </row>
    <row r="70" spans="1:26" ht="15.75" customHeight="1" x14ac:dyDescent="0.2">
      <c r="A70" s="6"/>
      <c r="B70" s="6"/>
      <c r="C70" s="6"/>
      <c r="D70" s="47"/>
      <c r="E70" s="6"/>
      <c r="F70" s="6"/>
      <c r="G70" s="6"/>
      <c r="H70" s="6"/>
      <c r="I70" s="6"/>
      <c r="J70" s="6"/>
      <c r="K70" s="6"/>
      <c r="L70" s="6"/>
      <c r="M70" s="6"/>
      <c r="N70" s="6"/>
      <c r="O70" s="6"/>
      <c r="P70" s="6"/>
      <c r="Q70" s="6"/>
      <c r="R70" s="6"/>
      <c r="S70" s="6"/>
      <c r="T70" s="6"/>
      <c r="U70" s="6"/>
      <c r="V70" s="6"/>
      <c r="W70" s="6"/>
      <c r="X70" s="6"/>
      <c r="Y70" s="6"/>
      <c r="Z70" s="6"/>
    </row>
    <row r="71" spans="1:26" ht="15.75" customHeight="1" x14ac:dyDescent="0.2">
      <c r="A71" s="6"/>
      <c r="B71" s="6"/>
      <c r="C71" s="6"/>
      <c r="D71" s="47"/>
      <c r="E71" s="6"/>
      <c r="F71" s="6"/>
      <c r="G71" s="6"/>
      <c r="H71" s="6"/>
      <c r="I71" s="6"/>
      <c r="J71" s="6"/>
      <c r="K71" s="6"/>
      <c r="L71" s="6"/>
      <c r="M71" s="6"/>
      <c r="N71" s="6"/>
      <c r="O71" s="6"/>
      <c r="P71" s="6"/>
      <c r="Q71" s="6"/>
      <c r="R71" s="6"/>
      <c r="S71" s="6"/>
      <c r="T71" s="6"/>
      <c r="U71" s="6"/>
      <c r="V71" s="6"/>
      <c r="W71" s="6"/>
      <c r="X71" s="6"/>
      <c r="Y71" s="6"/>
      <c r="Z71" s="6"/>
    </row>
    <row r="72" spans="1:26" ht="15.75" customHeight="1" x14ac:dyDescent="0.2">
      <c r="A72" s="6"/>
      <c r="B72" s="6"/>
      <c r="C72" s="6"/>
      <c r="D72" s="47"/>
      <c r="E72" s="6"/>
      <c r="F72" s="6"/>
      <c r="G72" s="6"/>
      <c r="H72" s="6"/>
      <c r="I72" s="6"/>
      <c r="J72" s="6"/>
      <c r="K72" s="6"/>
      <c r="L72" s="6"/>
      <c r="M72" s="6"/>
      <c r="N72" s="6"/>
      <c r="O72" s="6"/>
      <c r="P72" s="6"/>
      <c r="Q72" s="6"/>
      <c r="R72" s="6"/>
      <c r="S72" s="6"/>
      <c r="T72" s="6"/>
      <c r="U72" s="6"/>
      <c r="V72" s="6"/>
      <c r="W72" s="6"/>
      <c r="X72" s="6"/>
      <c r="Y72" s="6"/>
      <c r="Z72" s="6"/>
    </row>
    <row r="73" spans="1:26" ht="15.75" customHeight="1" x14ac:dyDescent="0.2">
      <c r="A73" s="6"/>
      <c r="B73" s="6"/>
      <c r="C73" s="6"/>
      <c r="D73" s="47"/>
      <c r="E73" s="6"/>
      <c r="F73" s="6"/>
      <c r="G73" s="16"/>
      <c r="H73" s="6"/>
      <c r="I73" s="6"/>
      <c r="J73" s="6"/>
      <c r="K73" s="6"/>
      <c r="L73" s="6"/>
      <c r="M73" s="6"/>
      <c r="N73" s="6"/>
      <c r="O73" s="6"/>
      <c r="P73" s="6"/>
      <c r="Q73" s="6"/>
      <c r="R73" s="6"/>
      <c r="S73" s="6"/>
      <c r="T73" s="6"/>
      <c r="U73" s="6"/>
      <c r="V73" s="6"/>
      <c r="W73" s="6"/>
      <c r="X73" s="6"/>
      <c r="Y73" s="6"/>
      <c r="Z73" s="6"/>
    </row>
    <row r="74" spans="1:26" ht="15.75" customHeight="1" x14ac:dyDescent="0.2">
      <c r="A74" s="6"/>
      <c r="B74" s="6"/>
      <c r="C74" s="6"/>
      <c r="D74" s="47"/>
      <c r="E74" s="6"/>
      <c r="F74" s="6"/>
      <c r="G74" s="6"/>
      <c r="H74" s="6"/>
      <c r="I74" s="6"/>
      <c r="J74" s="6"/>
      <c r="K74" s="6"/>
      <c r="L74" s="6"/>
      <c r="M74" s="6"/>
      <c r="N74" s="6"/>
      <c r="O74" s="6"/>
      <c r="P74" s="6"/>
      <c r="Q74" s="6"/>
      <c r="R74" s="6"/>
      <c r="S74" s="6"/>
      <c r="T74" s="6"/>
      <c r="U74" s="6"/>
      <c r="V74" s="6"/>
      <c r="W74" s="6"/>
      <c r="X74" s="6"/>
      <c r="Y74" s="6"/>
      <c r="Z74" s="6"/>
    </row>
    <row r="75" spans="1:26" ht="15.75" customHeight="1" x14ac:dyDescent="0.2">
      <c r="A75" s="6"/>
      <c r="B75" s="6"/>
      <c r="C75" s="6"/>
      <c r="D75" s="47"/>
      <c r="E75" s="6"/>
      <c r="F75" s="6"/>
      <c r="G75" s="6"/>
      <c r="H75" s="6"/>
      <c r="I75" s="6"/>
      <c r="J75" s="6"/>
      <c r="K75" s="6"/>
      <c r="L75" s="6"/>
      <c r="M75" s="6"/>
      <c r="N75" s="6"/>
      <c r="O75" s="6"/>
      <c r="P75" s="6"/>
      <c r="Q75" s="6"/>
      <c r="R75" s="6"/>
      <c r="S75" s="6"/>
      <c r="T75" s="6"/>
      <c r="U75" s="6"/>
      <c r="V75" s="6"/>
      <c r="W75" s="6"/>
      <c r="X75" s="6"/>
      <c r="Y75" s="6"/>
      <c r="Z75" s="6"/>
    </row>
    <row r="76" spans="1:26" ht="15.75" customHeight="1" x14ac:dyDescent="0.2">
      <c r="A76" s="6"/>
      <c r="B76" s="6"/>
      <c r="C76" s="6"/>
      <c r="D76" s="47"/>
      <c r="E76" s="6"/>
      <c r="F76" s="6"/>
      <c r="G76" s="6"/>
      <c r="H76" s="6"/>
      <c r="I76" s="6"/>
      <c r="J76" s="6"/>
      <c r="K76" s="6"/>
      <c r="L76" s="6"/>
      <c r="M76" s="6"/>
      <c r="N76" s="6"/>
      <c r="O76" s="6"/>
      <c r="P76" s="6"/>
      <c r="Q76" s="6"/>
      <c r="R76" s="6"/>
      <c r="S76" s="6"/>
      <c r="T76" s="6"/>
      <c r="U76" s="6"/>
      <c r="V76" s="6"/>
      <c r="W76" s="6"/>
      <c r="X76" s="6"/>
      <c r="Y76" s="6"/>
      <c r="Z76" s="6"/>
    </row>
    <row r="77" spans="1:26" ht="15.75" customHeight="1" x14ac:dyDescent="0.2">
      <c r="A77" s="6"/>
      <c r="B77" s="6"/>
      <c r="C77" s="6"/>
      <c r="D77" s="47"/>
      <c r="E77" s="6"/>
      <c r="F77" s="6"/>
      <c r="G77" s="16"/>
      <c r="H77" s="6"/>
      <c r="I77" s="6"/>
      <c r="J77" s="6"/>
      <c r="K77" s="6"/>
      <c r="L77" s="6"/>
      <c r="M77" s="6"/>
      <c r="N77" s="6"/>
      <c r="O77" s="6"/>
      <c r="P77" s="6"/>
      <c r="Q77" s="6"/>
      <c r="R77" s="6"/>
      <c r="S77" s="6"/>
      <c r="T77" s="6"/>
      <c r="U77" s="6"/>
      <c r="V77" s="6"/>
      <c r="W77" s="6"/>
      <c r="X77" s="6"/>
      <c r="Y77" s="6"/>
      <c r="Z77" s="6"/>
    </row>
    <row r="78" spans="1:26" ht="15.75" customHeight="1" x14ac:dyDescent="0.2">
      <c r="A78" s="6"/>
      <c r="B78" s="6"/>
      <c r="C78" s="6"/>
      <c r="D78" s="47"/>
      <c r="E78" s="6"/>
      <c r="F78" s="6"/>
      <c r="G78" s="6"/>
      <c r="H78" s="6"/>
      <c r="I78" s="6"/>
      <c r="J78" s="6"/>
      <c r="K78" s="6"/>
      <c r="L78" s="6"/>
      <c r="M78" s="6"/>
      <c r="N78" s="6"/>
      <c r="O78" s="6"/>
      <c r="P78" s="6"/>
      <c r="Q78" s="6"/>
      <c r="R78" s="6"/>
      <c r="S78" s="6"/>
      <c r="T78" s="6"/>
      <c r="U78" s="6"/>
      <c r="V78" s="6"/>
      <c r="W78" s="6"/>
      <c r="X78" s="6"/>
      <c r="Y78" s="6"/>
      <c r="Z78" s="6"/>
    </row>
    <row r="79" spans="1:26" ht="15.75" customHeight="1" x14ac:dyDescent="0.2">
      <c r="A79" s="6"/>
      <c r="B79" s="6"/>
      <c r="C79" s="6"/>
      <c r="D79" s="47"/>
      <c r="E79" s="6"/>
      <c r="F79" s="6"/>
      <c r="G79" s="6"/>
      <c r="H79" s="6"/>
      <c r="I79" s="6"/>
      <c r="J79" s="6"/>
      <c r="K79" s="6"/>
      <c r="L79" s="6"/>
      <c r="M79" s="6"/>
      <c r="N79" s="6"/>
      <c r="O79" s="6"/>
      <c r="P79" s="6"/>
      <c r="Q79" s="6"/>
      <c r="R79" s="6"/>
      <c r="S79" s="6"/>
      <c r="T79" s="6"/>
      <c r="U79" s="6"/>
      <c r="V79" s="6"/>
      <c r="W79" s="6"/>
      <c r="X79" s="6"/>
      <c r="Y79" s="6"/>
      <c r="Z79" s="6"/>
    </row>
    <row r="80" spans="1:26" ht="15.75" customHeight="1" x14ac:dyDescent="0.2">
      <c r="A80" s="6"/>
      <c r="B80" s="6"/>
      <c r="C80" s="6"/>
      <c r="D80" s="47"/>
      <c r="E80" s="6"/>
      <c r="F80" s="6"/>
      <c r="G80" s="6"/>
      <c r="H80" s="6"/>
      <c r="I80" s="6"/>
      <c r="J80" s="6"/>
      <c r="K80" s="6"/>
      <c r="L80" s="6"/>
      <c r="M80" s="6"/>
      <c r="N80" s="6"/>
      <c r="O80" s="6"/>
      <c r="P80" s="6"/>
      <c r="Q80" s="6"/>
      <c r="R80" s="6"/>
      <c r="S80" s="6"/>
      <c r="T80" s="6"/>
      <c r="U80" s="6"/>
      <c r="V80" s="6"/>
      <c r="W80" s="6"/>
      <c r="X80" s="6"/>
      <c r="Y80" s="6"/>
      <c r="Z80" s="6"/>
    </row>
    <row r="81" spans="1:26" ht="15.75" customHeight="1" x14ac:dyDescent="0.2">
      <c r="A81" s="6"/>
      <c r="B81" s="6"/>
      <c r="C81" s="6"/>
      <c r="D81" s="47"/>
      <c r="E81" s="6"/>
      <c r="F81" s="6"/>
      <c r="G81" s="16"/>
      <c r="H81" s="6"/>
      <c r="I81" s="6"/>
      <c r="J81" s="6"/>
      <c r="K81" s="6"/>
      <c r="L81" s="6"/>
      <c r="M81" s="6"/>
      <c r="N81" s="6"/>
      <c r="O81" s="6"/>
      <c r="P81" s="6"/>
      <c r="Q81" s="6"/>
      <c r="R81" s="6"/>
      <c r="S81" s="6"/>
      <c r="T81" s="6"/>
      <c r="U81" s="6"/>
      <c r="V81" s="6"/>
      <c r="W81" s="6"/>
      <c r="X81" s="6"/>
      <c r="Y81" s="6"/>
      <c r="Z81" s="6"/>
    </row>
    <row r="82" spans="1:26" ht="15.75" customHeight="1" x14ac:dyDescent="0.2">
      <c r="A82" s="6"/>
      <c r="B82" s="6"/>
      <c r="C82" s="6"/>
      <c r="D82" s="47"/>
      <c r="E82" s="6"/>
      <c r="F82" s="6"/>
      <c r="G82" s="6"/>
      <c r="H82" s="6"/>
      <c r="I82" s="6"/>
      <c r="J82" s="6"/>
      <c r="K82" s="6"/>
      <c r="L82" s="6"/>
      <c r="M82" s="6"/>
      <c r="N82" s="6"/>
      <c r="O82" s="6"/>
      <c r="P82" s="6"/>
      <c r="Q82" s="6"/>
      <c r="R82" s="6"/>
      <c r="S82" s="6"/>
      <c r="T82" s="6"/>
      <c r="U82" s="6"/>
      <c r="V82" s="6"/>
      <c r="W82" s="6"/>
      <c r="X82" s="6"/>
      <c r="Y82" s="6"/>
      <c r="Z82" s="6"/>
    </row>
    <row r="83" spans="1:26" ht="15.75" customHeight="1" x14ac:dyDescent="0.2">
      <c r="A83" s="6"/>
      <c r="B83" s="6"/>
      <c r="C83" s="6"/>
      <c r="D83" s="47"/>
      <c r="E83" s="6"/>
      <c r="F83" s="6"/>
      <c r="G83" s="6"/>
      <c r="H83" s="6"/>
      <c r="I83" s="6"/>
      <c r="J83" s="6"/>
      <c r="K83" s="6"/>
      <c r="L83" s="6"/>
      <c r="M83" s="6"/>
      <c r="N83" s="6"/>
      <c r="O83" s="6"/>
      <c r="P83" s="6"/>
      <c r="Q83" s="6"/>
      <c r="R83" s="6"/>
      <c r="S83" s="6"/>
      <c r="T83" s="6"/>
      <c r="U83" s="6"/>
      <c r="V83" s="6"/>
      <c r="W83" s="6"/>
      <c r="X83" s="6"/>
      <c r="Y83" s="6"/>
      <c r="Z83" s="6"/>
    </row>
    <row r="84" spans="1:26" ht="15.75" customHeight="1" x14ac:dyDescent="0.2">
      <c r="A84" s="6"/>
      <c r="B84" s="6"/>
      <c r="C84" s="6"/>
      <c r="D84" s="47"/>
      <c r="E84" s="6"/>
      <c r="F84" s="6"/>
      <c r="G84" s="6"/>
      <c r="H84" s="6"/>
      <c r="I84" s="6"/>
      <c r="J84" s="6"/>
      <c r="K84" s="6"/>
      <c r="L84" s="6"/>
      <c r="M84" s="6"/>
      <c r="N84" s="6"/>
      <c r="O84" s="6"/>
      <c r="P84" s="6"/>
      <c r="Q84" s="6"/>
      <c r="R84" s="6"/>
      <c r="S84" s="6"/>
      <c r="T84" s="6"/>
      <c r="U84" s="6"/>
      <c r="V84" s="6"/>
      <c r="W84" s="6"/>
      <c r="X84" s="6"/>
      <c r="Y84" s="6"/>
      <c r="Z84" s="6"/>
    </row>
    <row r="85" spans="1:26" ht="15.75" customHeight="1" x14ac:dyDescent="0.2">
      <c r="A85" s="6"/>
      <c r="B85" s="6"/>
      <c r="C85" s="6"/>
      <c r="D85" s="47"/>
      <c r="E85" s="6"/>
      <c r="F85" s="6"/>
      <c r="G85" s="16"/>
      <c r="H85" s="6"/>
      <c r="I85" s="6"/>
      <c r="J85" s="6"/>
      <c r="K85" s="6"/>
      <c r="L85" s="6"/>
      <c r="M85" s="6"/>
      <c r="N85" s="6"/>
      <c r="O85" s="6"/>
      <c r="P85" s="6"/>
      <c r="Q85" s="6"/>
      <c r="R85" s="6"/>
      <c r="S85" s="6"/>
      <c r="T85" s="6"/>
      <c r="U85" s="6"/>
      <c r="V85" s="6"/>
      <c r="W85" s="6"/>
      <c r="X85" s="6"/>
      <c r="Y85" s="6"/>
      <c r="Z85" s="6"/>
    </row>
    <row r="86" spans="1:26" ht="15.75" customHeight="1" x14ac:dyDescent="0.2">
      <c r="A86" s="6"/>
      <c r="B86" s="6"/>
      <c r="C86" s="6"/>
      <c r="D86" s="47"/>
      <c r="E86" s="6"/>
      <c r="F86" s="6"/>
      <c r="G86" s="6"/>
      <c r="H86" s="6"/>
      <c r="I86" s="6"/>
      <c r="J86" s="6"/>
      <c r="K86" s="6"/>
      <c r="L86" s="6"/>
      <c r="M86" s="6"/>
      <c r="N86" s="6"/>
      <c r="O86" s="6"/>
      <c r="P86" s="6"/>
      <c r="Q86" s="6"/>
      <c r="R86" s="6"/>
      <c r="S86" s="6"/>
      <c r="T86" s="6"/>
      <c r="U86" s="6"/>
      <c r="V86" s="6"/>
      <c r="W86" s="6"/>
      <c r="X86" s="6"/>
      <c r="Y86" s="6"/>
      <c r="Z86" s="6"/>
    </row>
    <row r="87" spans="1:26" ht="15.75" customHeight="1" x14ac:dyDescent="0.2">
      <c r="A87" s="6"/>
      <c r="B87" s="6"/>
      <c r="C87" s="6"/>
      <c r="D87" s="47"/>
      <c r="E87" s="6"/>
      <c r="F87" s="6"/>
      <c r="G87" s="6"/>
      <c r="H87" s="6"/>
      <c r="I87" s="6"/>
      <c r="J87" s="6"/>
      <c r="K87" s="6"/>
      <c r="L87" s="6"/>
      <c r="M87" s="6"/>
      <c r="N87" s="6"/>
      <c r="O87" s="6"/>
      <c r="P87" s="6"/>
      <c r="Q87" s="6"/>
      <c r="R87" s="6"/>
      <c r="S87" s="6"/>
      <c r="T87" s="6"/>
      <c r="U87" s="6"/>
      <c r="V87" s="6"/>
      <c r="W87" s="6"/>
      <c r="X87" s="6"/>
      <c r="Y87" s="6"/>
      <c r="Z87" s="6"/>
    </row>
    <row r="88" spans="1:26" ht="15.75" customHeight="1" x14ac:dyDescent="0.2">
      <c r="A88" s="6"/>
      <c r="B88" s="6"/>
      <c r="C88" s="6"/>
      <c r="D88" s="47"/>
      <c r="E88" s="6"/>
      <c r="F88" s="6"/>
      <c r="G88" s="6"/>
      <c r="H88" s="6"/>
      <c r="I88" s="6"/>
      <c r="J88" s="6"/>
      <c r="K88" s="6"/>
      <c r="L88" s="6"/>
      <c r="M88" s="6"/>
      <c r="N88" s="6"/>
      <c r="O88" s="6"/>
      <c r="P88" s="6"/>
      <c r="Q88" s="6"/>
      <c r="R88" s="6"/>
      <c r="S88" s="6"/>
      <c r="T88" s="6"/>
      <c r="U88" s="6"/>
      <c r="V88" s="6"/>
      <c r="W88" s="6"/>
      <c r="X88" s="6"/>
      <c r="Y88" s="6"/>
      <c r="Z88" s="6"/>
    </row>
    <row r="89" spans="1:26" ht="15.75" customHeight="1" x14ac:dyDescent="0.2">
      <c r="A89" s="6"/>
      <c r="B89" s="6"/>
      <c r="C89" s="6"/>
      <c r="D89" s="47"/>
      <c r="E89" s="6"/>
      <c r="F89" s="6"/>
      <c r="G89" s="16"/>
      <c r="H89" s="6"/>
      <c r="I89" s="6"/>
      <c r="J89" s="6"/>
      <c r="K89" s="6"/>
      <c r="L89" s="6"/>
      <c r="M89" s="6"/>
      <c r="N89" s="6"/>
      <c r="O89" s="6"/>
      <c r="P89" s="6"/>
      <c r="Q89" s="6"/>
      <c r="R89" s="6"/>
      <c r="S89" s="6"/>
      <c r="T89" s="6"/>
      <c r="U89" s="6"/>
      <c r="V89" s="6"/>
      <c r="W89" s="6"/>
      <c r="X89" s="6"/>
      <c r="Y89" s="6"/>
      <c r="Z89" s="6"/>
    </row>
    <row r="90" spans="1:26" ht="15.75" customHeight="1" x14ac:dyDescent="0.2">
      <c r="A90" s="6"/>
      <c r="B90" s="6"/>
      <c r="C90" s="6"/>
      <c r="D90" s="47"/>
      <c r="E90" s="6"/>
      <c r="F90" s="6"/>
      <c r="G90" s="6"/>
      <c r="H90" s="6"/>
      <c r="I90" s="6"/>
      <c r="J90" s="6"/>
      <c r="K90" s="6"/>
      <c r="L90" s="6"/>
      <c r="M90" s="6"/>
      <c r="N90" s="6"/>
      <c r="O90" s="6"/>
      <c r="P90" s="6"/>
      <c r="Q90" s="6"/>
      <c r="R90" s="6"/>
      <c r="S90" s="6"/>
      <c r="T90" s="6"/>
      <c r="U90" s="6"/>
      <c r="V90" s="6"/>
      <c r="W90" s="6"/>
      <c r="X90" s="6"/>
      <c r="Y90" s="6"/>
      <c r="Z90" s="6"/>
    </row>
    <row r="91" spans="1:26" ht="15.75" customHeight="1" x14ac:dyDescent="0.2">
      <c r="A91" s="6"/>
      <c r="B91" s="6"/>
      <c r="C91" s="6"/>
      <c r="D91" s="47"/>
      <c r="E91" s="6"/>
      <c r="F91" s="6"/>
      <c r="G91" s="6"/>
      <c r="H91" s="6"/>
      <c r="I91" s="6"/>
      <c r="J91" s="6"/>
      <c r="K91" s="6"/>
      <c r="L91" s="6"/>
      <c r="M91" s="6"/>
      <c r="N91" s="6"/>
      <c r="O91" s="6"/>
      <c r="P91" s="6"/>
      <c r="Q91" s="6"/>
      <c r="R91" s="6"/>
      <c r="S91" s="6"/>
      <c r="T91" s="6"/>
      <c r="U91" s="6"/>
      <c r="V91" s="6"/>
      <c r="W91" s="6"/>
      <c r="X91" s="6"/>
      <c r="Y91" s="6"/>
      <c r="Z91" s="6"/>
    </row>
    <row r="92" spans="1:26" ht="15.75" customHeight="1" x14ac:dyDescent="0.2">
      <c r="A92" s="6"/>
      <c r="B92" s="6"/>
      <c r="C92" s="6"/>
      <c r="D92" s="47"/>
      <c r="E92" s="6"/>
      <c r="F92" s="6"/>
      <c r="G92" s="6"/>
      <c r="H92" s="6"/>
      <c r="I92" s="6"/>
      <c r="J92" s="6"/>
      <c r="K92" s="6"/>
      <c r="L92" s="6"/>
      <c r="M92" s="6"/>
      <c r="N92" s="6"/>
      <c r="O92" s="6"/>
      <c r="P92" s="6"/>
      <c r="Q92" s="6"/>
      <c r="R92" s="6"/>
      <c r="S92" s="6"/>
      <c r="T92" s="6"/>
      <c r="U92" s="6"/>
      <c r="V92" s="6"/>
      <c r="W92" s="6"/>
      <c r="X92" s="6"/>
      <c r="Y92" s="6"/>
      <c r="Z92" s="6"/>
    </row>
    <row r="93" spans="1:26" ht="15.75" customHeight="1" x14ac:dyDescent="0.2">
      <c r="A93" s="6"/>
      <c r="B93" s="6"/>
      <c r="C93" s="6"/>
      <c r="D93" s="47"/>
      <c r="E93" s="6"/>
      <c r="F93" s="6"/>
      <c r="G93" s="16"/>
      <c r="H93" s="6"/>
      <c r="I93" s="6"/>
      <c r="J93" s="6"/>
      <c r="K93" s="6"/>
      <c r="L93" s="6"/>
      <c r="M93" s="6"/>
      <c r="N93" s="6"/>
      <c r="O93" s="6"/>
      <c r="P93" s="6"/>
      <c r="Q93" s="6"/>
      <c r="R93" s="6"/>
      <c r="S93" s="6"/>
      <c r="T93" s="6"/>
      <c r="U93" s="6"/>
      <c r="V93" s="6"/>
      <c r="W93" s="6"/>
      <c r="X93" s="6"/>
      <c r="Y93" s="6"/>
      <c r="Z93" s="6"/>
    </row>
    <row r="94" spans="1:26" ht="15.75" customHeight="1" x14ac:dyDescent="0.2">
      <c r="A94" s="6"/>
      <c r="B94" s="6"/>
      <c r="C94" s="6"/>
      <c r="D94" s="47"/>
      <c r="E94" s="6"/>
      <c r="F94" s="6"/>
      <c r="G94" s="6"/>
      <c r="H94" s="6"/>
      <c r="I94" s="6"/>
      <c r="J94" s="6"/>
      <c r="K94" s="6"/>
      <c r="L94" s="6"/>
      <c r="M94" s="6"/>
      <c r="N94" s="6"/>
      <c r="O94" s="6"/>
      <c r="P94" s="6"/>
      <c r="Q94" s="6"/>
      <c r="R94" s="6"/>
      <c r="S94" s="6"/>
      <c r="T94" s="6"/>
      <c r="U94" s="6"/>
      <c r="V94" s="6"/>
      <c r="W94" s="6"/>
      <c r="X94" s="6"/>
      <c r="Y94" s="6"/>
      <c r="Z94" s="6"/>
    </row>
    <row r="95" spans="1:26" ht="15.75" customHeight="1" x14ac:dyDescent="0.2">
      <c r="A95" s="6"/>
      <c r="B95" s="6"/>
      <c r="C95" s="6"/>
      <c r="D95" s="47"/>
      <c r="E95" s="6"/>
      <c r="F95" s="6"/>
      <c r="G95" s="6"/>
      <c r="H95" s="6"/>
      <c r="I95" s="6"/>
      <c r="J95" s="6"/>
      <c r="K95" s="6"/>
      <c r="L95" s="6"/>
      <c r="M95" s="6"/>
      <c r="N95" s="6"/>
      <c r="O95" s="6"/>
      <c r="P95" s="6"/>
      <c r="Q95" s="6"/>
      <c r="R95" s="6"/>
      <c r="S95" s="6"/>
      <c r="T95" s="6"/>
      <c r="U95" s="6"/>
      <c r="V95" s="6"/>
      <c r="W95" s="6"/>
      <c r="X95" s="6"/>
      <c r="Y95" s="6"/>
      <c r="Z95" s="6"/>
    </row>
    <row r="96" spans="1:26" ht="15.75" customHeight="1" x14ac:dyDescent="0.2">
      <c r="A96" s="6"/>
      <c r="B96" s="6"/>
      <c r="C96" s="6"/>
      <c r="D96" s="47"/>
      <c r="E96" s="6"/>
      <c r="F96" s="6"/>
      <c r="G96" s="6"/>
      <c r="H96" s="6"/>
      <c r="I96" s="6"/>
      <c r="J96" s="6"/>
      <c r="K96" s="6"/>
      <c r="L96" s="6"/>
      <c r="M96" s="6"/>
      <c r="N96" s="6"/>
      <c r="O96" s="6"/>
      <c r="P96" s="6"/>
      <c r="Q96" s="6"/>
      <c r="R96" s="6"/>
      <c r="S96" s="6"/>
      <c r="T96" s="6"/>
      <c r="U96" s="6"/>
      <c r="V96" s="6"/>
      <c r="W96" s="6"/>
      <c r="X96" s="6"/>
      <c r="Y96" s="6"/>
      <c r="Z96" s="6"/>
    </row>
    <row r="97" spans="1:26" ht="15.75" customHeight="1" x14ac:dyDescent="0.2">
      <c r="A97" s="6"/>
      <c r="B97" s="6"/>
      <c r="C97" s="6"/>
      <c r="D97" s="47"/>
      <c r="E97" s="6"/>
      <c r="F97" s="6"/>
      <c r="G97" s="16"/>
      <c r="H97" s="6"/>
      <c r="I97" s="6"/>
      <c r="J97" s="6"/>
      <c r="K97" s="6"/>
      <c r="L97" s="6"/>
      <c r="M97" s="6"/>
      <c r="N97" s="6"/>
      <c r="O97" s="6"/>
      <c r="P97" s="6"/>
      <c r="Q97" s="6"/>
      <c r="R97" s="6"/>
      <c r="S97" s="6"/>
      <c r="T97" s="6"/>
      <c r="U97" s="6"/>
      <c r="V97" s="6"/>
      <c r="W97" s="6"/>
      <c r="X97" s="6"/>
      <c r="Y97" s="6"/>
      <c r="Z97" s="6"/>
    </row>
    <row r="98" spans="1:26" ht="15.75" customHeight="1" x14ac:dyDescent="0.2">
      <c r="A98" s="6"/>
      <c r="B98" s="6"/>
      <c r="C98" s="6"/>
      <c r="D98" s="47"/>
      <c r="E98" s="6"/>
      <c r="F98" s="6"/>
      <c r="G98" s="6"/>
      <c r="H98" s="6"/>
      <c r="I98" s="6"/>
      <c r="J98" s="6"/>
      <c r="K98" s="6"/>
      <c r="L98" s="6"/>
      <c r="M98" s="6"/>
      <c r="N98" s="6"/>
      <c r="O98" s="6"/>
      <c r="P98" s="6"/>
      <c r="Q98" s="6"/>
      <c r="R98" s="6"/>
      <c r="S98" s="6"/>
      <c r="T98" s="6"/>
      <c r="U98" s="6"/>
      <c r="V98" s="6"/>
      <c r="W98" s="6"/>
      <c r="X98" s="6"/>
      <c r="Y98" s="6"/>
      <c r="Z98" s="6"/>
    </row>
    <row r="99" spans="1:26" ht="15.75" customHeight="1" x14ac:dyDescent="0.2">
      <c r="A99" s="6"/>
      <c r="B99" s="6"/>
      <c r="C99" s="6"/>
      <c r="D99" s="47"/>
      <c r="E99" s="6"/>
      <c r="F99" s="6"/>
      <c r="G99" s="6"/>
      <c r="H99" s="6"/>
      <c r="I99" s="6"/>
      <c r="J99" s="6"/>
      <c r="K99" s="6"/>
      <c r="L99" s="6"/>
      <c r="M99" s="6"/>
      <c r="N99" s="6"/>
      <c r="O99" s="6"/>
      <c r="P99" s="6"/>
      <c r="Q99" s="6"/>
      <c r="R99" s="6"/>
      <c r="S99" s="6"/>
      <c r="T99" s="6"/>
      <c r="U99" s="6"/>
      <c r="V99" s="6"/>
      <c r="W99" s="6"/>
      <c r="X99" s="6"/>
      <c r="Y99" s="6"/>
      <c r="Z99" s="6"/>
    </row>
    <row r="100" spans="1:26" ht="15.75" customHeight="1" x14ac:dyDescent="0.2">
      <c r="A100" s="6"/>
      <c r="B100" s="6"/>
      <c r="C100" s="6"/>
      <c r="D100" s="47"/>
      <c r="E100" s="6"/>
      <c r="F100" s="6"/>
      <c r="G100" s="6"/>
      <c r="H100" s="6"/>
      <c r="I100" s="6"/>
      <c r="J100" s="6"/>
      <c r="K100" s="6"/>
      <c r="L100" s="6"/>
      <c r="M100" s="6"/>
      <c r="N100" s="6"/>
      <c r="O100" s="6"/>
      <c r="P100" s="6"/>
      <c r="Q100" s="6"/>
      <c r="R100" s="6"/>
      <c r="S100" s="6"/>
      <c r="T100" s="6"/>
      <c r="U100" s="6"/>
      <c r="V100" s="6"/>
      <c r="W100" s="6"/>
      <c r="X100" s="6"/>
      <c r="Y100" s="6"/>
      <c r="Z100" s="6"/>
    </row>
    <row r="101" spans="1:26" ht="15.75" customHeight="1" x14ac:dyDescent="0.2">
      <c r="A101" s="6"/>
      <c r="B101" s="6"/>
      <c r="C101" s="6"/>
      <c r="D101" s="47"/>
      <c r="E101" s="6"/>
      <c r="F101" s="6"/>
      <c r="G101" s="16"/>
      <c r="H101" s="6"/>
      <c r="I101" s="6"/>
      <c r="J101" s="6"/>
      <c r="K101" s="6"/>
      <c r="L101" s="6"/>
      <c r="M101" s="6"/>
      <c r="N101" s="6"/>
      <c r="O101" s="6"/>
      <c r="P101" s="6"/>
      <c r="Q101" s="6"/>
      <c r="R101" s="6"/>
      <c r="S101" s="6"/>
      <c r="T101" s="6"/>
      <c r="U101" s="6"/>
      <c r="V101" s="6"/>
      <c r="W101" s="6"/>
      <c r="X101" s="6"/>
      <c r="Y101" s="6"/>
      <c r="Z101" s="6"/>
    </row>
    <row r="102" spans="1:26" ht="15.75" customHeight="1" x14ac:dyDescent="0.2">
      <c r="A102" s="6"/>
      <c r="B102" s="6"/>
      <c r="C102" s="6"/>
      <c r="D102" s="47"/>
      <c r="E102" s="6"/>
      <c r="F102" s="6"/>
      <c r="G102" s="6"/>
      <c r="H102" s="6"/>
      <c r="I102" s="6"/>
      <c r="J102" s="6"/>
      <c r="K102" s="6"/>
      <c r="L102" s="6"/>
      <c r="M102" s="6"/>
      <c r="N102" s="6"/>
      <c r="O102" s="6"/>
      <c r="P102" s="6"/>
      <c r="Q102" s="6"/>
      <c r="R102" s="6"/>
      <c r="S102" s="6"/>
      <c r="T102" s="6"/>
      <c r="U102" s="6"/>
      <c r="V102" s="6"/>
      <c r="W102" s="6"/>
      <c r="X102" s="6"/>
      <c r="Y102" s="6"/>
      <c r="Z102" s="6"/>
    </row>
    <row r="103" spans="1:26" ht="15.75" customHeight="1" x14ac:dyDescent="0.2">
      <c r="A103" s="6"/>
      <c r="B103" s="6"/>
      <c r="C103" s="6"/>
      <c r="D103" s="47"/>
      <c r="E103" s="6"/>
      <c r="F103" s="6"/>
      <c r="G103" s="6"/>
      <c r="H103" s="6"/>
      <c r="I103" s="6"/>
      <c r="J103" s="6"/>
      <c r="K103" s="6"/>
      <c r="L103" s="6"/>
      <c r="M103" s="6"/>
      <c r="N103" s="6"/>
      <c r="O103" s="6"/>
      <c r="P103" s="6"/>
      <c r="Q103" s="6"/>
      <c r="R103" s="6"/>
      <c r="S103" s="6"/>
      <c r="T103" s="6"/>
      <c r="U103" s="6"/>
      <c r="V103" s="6"/>
      <c r="W103" s="6"/>
      <c r="X103" s="6"/>
      <c r="Y103" s="6"/>
      <c r="Z103" s="6"/>
    </row>
    <row r="104" spans="1:26" ht="15.75" customHeight="1" x14ac:dyDescent="0.2">
      <c r="A104" s="6"/>
      <c r="B104" s="6"/>
      <c r="C104" s="6"/>
      <c r="D104" s="47"/>
      <c r="E104" s="6"/>
      <c r="F104" s="6"/>
      <c r="G104" s="6"/>
      <c r="H104" s="6"/>
      <c r="I104" s="6"/>
      <c r="J104" s="6"/>
      <c r="K104" s="6"/>
      <c r="L104" s="6"/>
      <c r="M104" s="6"/>
      <c r="N104" s="6"/>
      <c r="O104" s="6"/>
      <c r="P104" s="6"/>
      <c r="Q104" s="6"/>
      <c r="R104" s="6"/>
      <c r="S104" s="6"/>
      <c r="T104" s="6"/>
      <c r="U104" s="6"/>
      <c r="V104" s="6"/>
      <c r="W104" s="6"/>
      <c r="X104" s="6"/>
      <c r="Y104" s="6"/>
      <c r="Z104" s="6"/>
    </row>
    <row r="105" spans="1:26" ht="15.75" customHeight="1" x14ac:dyDescent="0.2">
      <c r="A105" s="6"/>
      <c r="B105" s="6"/>
      <c r="C105" s="6"/>
      <c r="D105" s="47"/>
      <c r="E105" s="6"/>
      <c r="F105" s="6"/>
      <c r="G105" s="16"/>
      <c r="H105" s="6"/>
      <c r="I105" s="6"/>
      <c r="J105" s="6"/>
      <c r="K105" s="6"/>
      <c r="L105" s="6"/>
      <c r="M105" s="6"/>
      <c r="N105" s="6"/>
      <c r="O105" s="6"/>
      <c r="P105" s="6"/>
      <c r="Q105" s="6"/>
      <c r="R105" s="6"/>
      <c r="S105" s="6"/>
      <c r="T105" s="6"/>
      <c r="U105" s="6"/>
      <c r="V105" s="6"/>
      <c r="W105" s="6"/>
      <c r="X105" s="6"/>
      <c r="Y105" s="6"/>
      <c r="Z105" s="6"/>
    </row>
    <row r="106" spans="1:26" ht="15.75" customHeight="1" x14ac:dyDescent="0.2">
      <c r="A106" s="6"/>
      <c r="B106" s="6"/>
      <c r="C106" s="6"/>
      <c r="D106" s="47"/>
      <c r="E106" s="6"/>
      <c r="F106" s="6"/>
      <c r="G106" s="6"/>
      <c r="H106" s="6"/>
      <c r="I106" s="6"/>
      <c r="J106" s="6"/>
      <c r="K106" s="6"/>
      <c r="L106" s="6"/>
      <c r="M106" s="6"/>
      <c r="N106" s="6"/>
      <c r="O106" s="6"/>
      <c r="P106" s="6"/>
      <c r="Q106" s="6"/>
      <c r="R106" s="6"/>
      <c r="S106" s="6"/>
      <c r="T106" s="6"/>
      <c r="U106" s="6"/>
      <c r="V106" s="6"/>
      <c r="W106" s="6"/>
      <c r="X106" s="6"/>
      <c r="Y106" s="6"/>
      <c r="Z106" s="6"/>
    </row>
    <row r="107" spans="1:26" ht="15.75" customHeight="1" x14ac:dyDescent="0.2">
      <c r="A107" s="6"/>
      <c r="B107" s="6"/>
      <c r="C107" s="6"/>
      <c r="D107" s="47"/>
      <c r="E107" s="6"/>
      <c r="F107" s="6"/>
      <c r="G107" s="6"/>
      <c r="H107" s="6"/>
      <c r="I107" s="6"/>
      <c r="J107" s="6"/>
      <c r="K107" s="6"/>
      <c r="L107" s="6"/>
      <c r="M107" s="6"/>
      <c r="N107" s="6"/>
      <c r="O107" s="6"/>
      <c r="P107" s="6"/>
      <c r="Q107" s="6"/>
      <c r="R107" s="6"/>
      <c r="S107" s="6"/>
      <c r="T107" s="6"/>
      <c r="U107" s="6"/>
      <c r="V107" s="6"/>
      <c r="W107" s="6"/>
      <c r="X107" s="6"/>
      <c r="Y107" s="6"/>
      <c r="Z107" s="6"/>
    </row>
    <row r="108" spans="1:26" ht="15.75" customHeight="1" x14ac:dyDescent="0.2">
      <c r="A108" s="6"/>
      <c r="B108" s="6"/>
      <c r="C108" s="6"/>
      <c r="D108" s="47"/>
      <c r="E108" s="6"/>
      <c r="F108" s="6"/>
      <c r="G108" s="6"/>
      <c r="H108" s="6"/>
      <c r="I108" s="6"/>
      <c r="J108" s="6"/>
      <c r="K108" s="6"/>
      <c r="L108" s="6"/>
      <c r="M108" s="6"/>
      <c r="N108" s="6"/>
      <c r="O108" s="6"/>
      <c r="P108" s="6"/>
      <c r="Q108" s="6"/>
      <c r="R108" s="6"/>
      <c r="S108" s="6"/>
      <c r="T108" s="6"/>
      <c r="U108" s="6"/>
      <c r="V108" s="6"/>
      <c r="W108" s="6"/>
      <c r="X108" s="6"/>
      <c r="Y108" s="6"/>
      <c r="Z108" s="6"/>
    </row>
    <row r="109" spans="1:26" ht="15.75" customHeight="1" x14ac:dyDescent="0.2">
      <c r="A109" s="6"/>
      <c r="B109" s="6"/>
      <c r="C109" s="6"/>
      <c r="D109" s="47"/>
      <c r="E109" s="6"/>
      <c r="F109" s="6"/>
      <c r="G109" s="16"/>
      <c r="H109" s="6"/>
      <c r="I109" s="6"/>
      <c r="J109" s="6"/>
      <c r="K109" s="6"/>
      <c r="L109" s="6"/>
      <c r="M109" s="6"/>
      <c r="N109" s="6"/>
      <c r="O109" s="6"/>
      <c r="P109" s="6"/>
      <c r="Q109" s="6"/>
      <c r="R109" s="6"/>
      <c r="S109" s="6"/>
      <c r="T109" s="6"/>
      <c r="U109" s="6"/>
      <c r="V109" s="6"/>
      <c r="W109" s="6"/>
      <c r="X109" s="6"/>
      <c r="Y109" s="6"/>
      <c r="Z109" s="6"/>
    </row>
    <row r="110" spans="1:26" ht="15.75" customHeight="1" x14ac:dyDescent="0.2">
      <c r="A110" s="6"/>
      <c r="B110" s="6"/>
      <c r="C110" s="6"/>
      <c r="D110" s="47"/>
      <c r="E110" s="6"/>
      <c r="F110" s="6"/>
      <c r="G110" s="6"/>
      <c r="H110" s="6"/>
      <c r="I110" s="6"/>
      <c r="J110" s="6"/>
      <c r="K110" s="6"/>
      <c r="L110" s="6"/>
      <c r="M110" s="6"/>
      <c r="N110" s="6"/>
      <c r="O110" s="6"/>
      <c r="P110" s="6"/>
      <c r="Q110" s="6"/>
      <c r="R110" s="6"/>
      <c r="S110" s="6"/>
      <c r="T110" s="6"/>
      <c r="U110" s="6"/>
      <c r="V110" s="6"/>
      <c r="W110" s="6"/>
      <c r="X110" s="6"/>
      <c r="Y110" s="6"/>
      <c r="Z110" s="6"/>
    </row>
    <row r="111" spans="1:26" ht="15.75" customHeight="1" x14ac:dyDescent="0.2">
      <c r="A111" s="6"/>
      <c r="B111" s="6"/>
      <c r="C111" s="6"/>
      <c r="D111" s="47"/>
      <c r="E111" s="6"/>
      <c r="F111" s="6"/>
      <c r="G111" s="6"/>
      <c r="H111" s="6"/>
      <c r="I111" s="6"/>
      <c r="J111" s="6"/>
      <c r="K111" s="6"/>
      <c r="L111" s="6"/>
      <c r="M111" s="6"/>
      <c r="N111" s="6"/>
      <c r="O111" s="6"/>
      <c r="P111" s="6"/>
      <c r="Q111" s="6"/>
      <c r="R111" s="6"/>
      <c r="S111" s="6"/>
      <c r="T111" s="6"/>
      <c r="U111" s="6"/>
      <c r="V111" s="6"/>
      <c r="W111" s="6"/>
      <c r="X111" s="6"/>
      <c r="Y111" s="6"/>
      <c r="Z111" s="6"/>
    </row>
    <row r="112" spans="1:26" ht="15.75" customHeight="1" x14ac:dyDescent="0.2">
      <c r="A112" s="6"/>
      <c r="B112" s="6"/>
      <c r="C112" s="6"/>
      <c r="D112" s="47"/>
      <c r="E112" s="6"/>
      <c r="F112" s="6"/>
      <c r="G112" s="6"/>
      <c r="H112" s="6"/>
      <c r="I112" s="6"/>
      <c r="J112" s="6"/>
      <c r="K112" s="6"/>
      <c r="L112" s="6"/>
      <c r="M112" s="6"/>
      <c r="N112" s="6"/>
      <c r="O112" s="6"/>
      <c r="P112" s="6"/>
      <c r="Q112" s="6"/>
      <c r="R112" s="6"/>
      <c r="S112" s="6"/>
      <c r="T112" s="6"/>
      <c r="U112" s="6"/>
      <c r="V112" s="6"/>
      <c r="W112" s="6"/>
      <c r="X112" s="6"/>
      <c r="Y112" s="6"/>
      <c r="Z112" s="6"/>
    </row>
    <row r="113" spans="1:26" ht="15.75" customHeight="1" x14ac:dyDescent="0.2">
      <c r="A113" s="6"/>
      <c r="B113" s="6"/>
      <c r="C113" s="6"/>
      <c r="D113" s="47"/>
      <c r="E113" s="6"/>
      <c r="F113" s="6"/>
      <c r="G113" s="16"/>
      <c r="H113" s="6"/>
      <c r="I113" s="6"/>
      <c r="J113" s="6"/>
      <c r="K113" s="6"/>
      <c r="L113" s="6"/>
      <c r="M113" s="6"/>
      <c r="N113" s="6"/>
      <c r="O113" s="6"/>
      <c r="P113" s="6"/>
      <c r="Q113" s="6"/>
      <c r="R113" s="6"/>
      <c r="S113" s="6"/>
      <c r="T113" s="6"/>
      <c r="U113" s="6"/>
      <c r="V113" s="6"/>
      <c r="W113" s="6"/>
      <c r="X113" s="6"/>
      <c r="Y113" s="6"/>
      <c r="Z113" s="6"/>
    </row>
    <row r="114" spans="1:26" ht="15.75" customHeight="1" x14ac:dyDescent="0.2">
      <c r="A114" s="6"/>
      <c r="B114" s="6"/>
      <c r="C114" s="6"/>
      <c r="D114" s="47"/>
      <c r="E114" s="6"/>
      <c r="F114" s="6"/>
      <c r="G114" s="6"/>
      <c r="H114" s="6"/>
      <c r="I114" s="6"/>
      <c r="J114" s="6"/>
      <c r="K114" s="6"/>
      <c r="L114" s="6"/>
      <c r="M114" s="6"/>
      <c r="N114" s="6"/>
      <c r="O114" s="6"/>
      <c r="P114" s="6"/>
      <c r="Q114" s="6"/>
      <c r="R114" s="6"/>
      <c r="S114" s="6"/>
      <c r="T114" s="6"/>
      <c r="U114" s="6"/>
      <c r="V114" s="6"/>
      <c r="W114" s="6"/>
      <c r="X114" s="6"/>
      <c r="Y114" s="6"/>
      <c r="Z114" s="6"/>
    </row>
    <row r="115" spans="1:26" ht="15.75" customHeight="1" x14ac:dyDescent="0.2">
      <c r="A115" s="6"/>
      <c r="B115" s="6"/>
      <c r="C115" s="6"/>
      <c r="D115" s="47"/>
      <c r="E115" s="6"/>
      <c r="F115" s="6"/>
      <c r="G115" s="6"/>
      <c r="H115" s="6"/>
      <c r="I115" s="6"/>
      <c r="J115" s="6"/>
      <c r="K115" s="6"/>
      <c r="L115" s="6"/>
      <c r="M115" s="6"/>
      <c r="N115" s="6"/>
      <c r="O115" s="6"/>
      <c r="P115" s="6"/>
      <c r="Q115" s="6"/>
      <c r="R115" s="6"/>
      <c r="S115" s="6"/>
      <c r="T115" s="6"/>
      <c r="U115" s="6"/>
      <c r="V115" s="6"/>
      <c r="W115" s="6"/>
      <c r="X115" s="6"/>
      <c r="Y115" s="6"/>
      <c r="Z115" s="6"/>
    </row>
    <row r="116" spans="1:26" ht="15.75" customHeight="1" x14ac:dyDescent="0.2">
      <c r="A116" s="6"/>
      <c r="B116" s="6"/>
      <c r="C116" s="6"/>
      <c r="D116" s="47"/>
      <c r="E116" s="6"/>
      <c r="F116" s="6"/>
      <c r="G116" s="6"/>
      <c r="H116" s="6"/>
      <c r="I116" s="6"/>
      <c r="J116" s="6"/>
      <c r="K116" s="6"/>
      <c r="L116" s="6"/>
      <c r="M116" s="6"/>
      <c r="N116" s="6"/>
      <c r="O116" s="6"/>
      <c r="P116" s="6"/>
      <c r="Q116" s="6"/>
      <c r="R116" s="6"/>
      <c r="S116" s="6"/>
      <c r="T116" s="6"/>
      <c r="U116" s="6"/>
      <c r="V116" s="6"/>
      <c r="W116" s="6"/>
      <c r="X116" s="6"/>
      <c r="Y116" s="6"/>
      <c r="Z116" s="6"/>
    </row>
    <row r="117" spans="1:26" ht="15.75" customHeight="1" x14ac:dyDescent="0.2">
      <c r="A117" s="6"/>
      <c r="B117" s="6"/>
      <c r="C117" s="6"/>
      <c r="D117" s="47"/>
      <c r="E117" s="6"/>
      <c r="F117" s="6"/>
      <c r="G117" s="16"/>
      <c r="H117" s="6"/>
      <c r="I117" s="6"/>
      <c r="J117" s="6"/>
      <c r="K117" s="6"/>
      <c r="L117" s="6"/>
      <c r="M117" s="6"/>
      <c r="N117" s="6"/>
      <c r="O117" s="6"/>
      <c r="P117" s="6"/>
      <c r="Q117" s="6"/>
      <c r="R117" s="6"/>
      <c r="S117" s="6"/>
      <c r="T117" s="6"/>
      <c r="U117" s="6"/>
      <c r="V117" s="6"/>
      <c r="W117" s="6"/>
      <c r="X117" s="6"/>
      <c r="Y117" s="6"/>
      <c r="Z117" s="6"/>
    </row>
    <row r="118" spans="1:26" ht="15.75" customHeight="1" x14ac:dyDescent="0.2">
      <c r="A118" s="6"/>
      <c r="B118" s="6"/>
      <c r="C118" s="6"/>
      <c r="D118" s="47"/>
      <c r="E118" s="6"/>
      <c r="F118" s="6"/>
      <c r="G118" s="6"/>
      <c r="H118" s="6"/>
      <c r="I118" s="6"/>
      <c r="J118" s="6"/>
      <c r="K118" s="6"/>
      <c r="L118" s="6"/>
      <c r="M118" s="6"/>
      <c r="N118" s="6"/>
      <c r="O118" s="6"/>
      <c r="P118" s="6"/>
      <c r="Q118" s="6"/>
      <c r="R118" s="6"/>
      <c r="S118" s="6"/>
      <c r="T118" s="6"/>
      <c r="U118" s="6"/>
      <c r="V118" s="6"/>
      <c r="W118" s="6"/>
      <c r="X118" s="6"/>
      <c r="Y118" s="6"/>
      <c r="Z118" s="6"/>
    </row>
    <row r="119" spans="1:26" ht="15.75" customHeight="1" x14ac:dyDescent="0.2">
      <c r="A119" s="6"/>
      <c r="B119" s="6"/>
      <c r="C119" s="6"/>
      <c r="D119" s="47"/>
      <c r="E119" s="6"/>
      <c r="F119" s="6"/>
      <c r="G119" s="6"/>
      <c r="H119" s="6"/>
      <c r="I119" s="6"/>
      <c r="J119" s="6"/>
      <c r="K119" s="6"/>
      <c r="L119" s="6"/>
      <c r="M119" s="6"/>
      <c r="N119" s="6"/>
      <c r="O119" s="6"/>
      <c r="P119" s="6"/>
      <c r="Q119" s="6"/>
      <c r="R119" s="6"/>
      <c r="S119" s="6"/>
      <c r="T119" s="6"/>
      <c r="U119" s="6"/>
      <c r="V119" s="6"/>
      <c r="W119" s="6"/>
      <c r="X119" s="6"/>
      <c r="Y119" s="6"/>
      <c r="Z119" s="6"/>
    </row>
    <row r="120" spans="1:26" ht="15.75" customHeight="1" x14ac:dyDescent="0.2">
      <c r="A120" s="6"/>
      <c r="B120" s="6"/>
      <c r="C120" s="6"/>
      <c r="D120" s="47"/>
      <c r="E120" s="6"/>
      <c r="F120" s="6"/>
      <c r="G120" s="6"/>
      <c r="H120" s="6"/>
      <c r="I120" s="6"/>
      <c r="J120" s="6"/>
      <c r="K120" s="6"/>
      <c r="L120" s="6"/>
      <c r="M120" s="6"/>
      <c r="N120" s="6"/>
      <c r="O120" s="6"/>
      <c r="P120" s="6"/>
      <c r="Q120" s="6"/>
      <c r="R120" s="6"/>
      <c r="S120" s="6"/>
      <c r="T120" s="6"/>
      <c r="U120" s="6"/>
      <c r="V120" s="6"/>
      <c r="W120" s="6"/>
      <c r="X120" s="6"/>
      <c r="Y120" s="6"/>
      <c r="Z120" s="6"/>
    </row>
    <row r="121" spans="1:26" ht="15.75" customHeight="1" x14ac:dyDescent="0.2">
      <c r="A121" s="6"/>
      <c r="B121" s="6"/>
      <c r="C121" s="6"/>
      <c r="D121" s="47"/>
      <c r="E121" s="6"/>
      <c r="F121" s="6"/>
      <c r="G121" s="16"/>
      <c r="H121" s="6"/>
      <c r="I121" s="6"/>
      <c r="J121" s="6"/>
      <c r="K121" s="6"/>
      <c r="L121" s="6"/>
      <c r="M121" s="6"/>
      <c r="N121" s="6"/>
      <c r="O121" s="6"/>
      <c r="P121" s="6"/>
      <c r="Q121" s="6"/>
      <c r="R121" s="6"/>
      <c r="S121" s="6"/>
      <c r="T121" s="6"/>
      <c r="U121" s="6"/>
      <c r="V121" s="6"/>
      <c r="W121" s="6"/>
      <c r="X121" s="6"/>
      <c r="Y121" s="6"/>
      <c r="Z121" s="6"/>
    </row>
    <row r="122" spans="1:26" ht="15.75" customHeight="1" x14ac:dyDescent="0.2">
      <c r="A122" s="6"/>
      <c r="B122" s="6"/>
      <c r="C122" s="6"/>
      <c r="D122" s="47"/>
      <c r="E122" s="6"/>
      <c r="F122" s="6"/>
      <c r="G122" s="6"/>
      <c r="H122" s="6"/>
      <c r="I122" s="6"/>
      <c r="J122" s="6"/>
      <c r="K122" s="6"/>
      <c r="L122" s="6"/>
      <c r="M122" s="6"/>
      <c r="N122" s="6"/>
      <c r="O122" s="6"/>
      <c r="P122" s="6"/>
      <c r="Q122" s="6"/>
      <c r="R122" s="6"/>
      <c r="S122" s="6"/>
      <c r="T122" s="6"/>
      <c r="U122" s="6"/>
      <c r="V122" s="6"/>
      <c r="W122" s="6"/>
      <c r="X122" s="6"/>
      <c r="Y122" s="6"/>
      <c r="Z122" s="6"/>
    </row>
    <row r="123" spans="1:26" ht="15.75" customHeight="1" x14ac:dyDescent="0.2">
      <c r="A123" s="6"/>
      <c r="B123" s="6"/>
      <c r="C123" s="6"/>
      <c r="D123" s="47"/>
      <c r="E123" s="6"/>
      <c r="F123" s="6"/>
      <c r="G123" s="6"/>
      <c r="H123" s="6"/>
      <c r="I123" s="6"/>
      <c r="J123" s="6"/>
      <c r="K123" s="6"/>
      <c r="L123" s="6"/>
      <c r="M123" s="6"/>
      <c r="N123" s="6"/>
      <c r="O123" s="6"/>
      <c r="P123" s="6"/>
      <c r="Q123" s="6"/>
      <c r="R123" s="6"/>
      <c r="S123" s="6"/>
      <c r="T123" s="6"/>
      <c r="U123" s="6"/>
      <c r="V123" s="6"/>
      <c r="W123" s="6"/>
      <c r="X123" s="6"/>
      <c r="Y123" s="6"/>
      <c r="Z123" s="6"/>
    </row>
    <row r="124" spans="1:26" ht="15.75" customHeight="1" x14ac:dyDescent="0.2">
      <c r="A124" s="6"/>
      <c r="B124" s="6"/>
      <c r="C124" s="6"/>
      <c r="D124" s="47"/>
      <c r="E124" s="6"/>
      <c r="F124" s="6"/>
      <c r="G124" s="6"/>
      <c r="H124" s="6"/>
      <c r="I124" s="6"/>
      <c r="J124" s="6"/>
      <c r="K124" s="6"/>
      <c r="L124" s="6"/>
      <c r="M124" s="6"/>
      <c r="N124" s="6"/>
      <c r="O124" s="6"/>
      <c r="P124" s="6"/>
      <c r="Q124" s="6"/>
      <c r="R124" s="6"/>
      <c r="S124" s="6"/>
      <c r="T124" s="6"/>
      <c r="U124" s="6"/>
      <c r="V124" s="6"/>
      <c r="W124" s="6"/>
      <c r="X124" s="6"/>
      <c r="Y124" s="6"/>
      <c r="Z124" s="6"/>
    </row>
    <row r="125" spans="1:26" ht="15.75" customHeight="1" x14ac:dyDescent="0.2">
      <c r="A125" s="6"/>
      <c r="B125" s="6"/>
      <c r="C125" s="6"/>
      <c r="D125" s="47"/>
      <c r="E125" s="6"/>
      <c r="F125" s="6"/>
      <c r="G125" s="16"/>
      <c r="H125" s="6"/>
      <c r="I125" s="6"/>
      <c r="J125" s="6"/>
      <c r="K125" s="6"/>
      <c r="L125" s="6"/>
      <c r="M125" s="6"/>
      <c r="N125" s="6"/>
      <c r="O125" s="6"/>
      <c r="P125" s="6"/>
      <c r="Q125" s="6"/>
      <c r="R125" s="6"/>
      <c r="S125" s="6"/>
      <c r="T125" s="6"/>
      <c r="U125" s="6"/>
      <c r="V125" s="6"/>
      <c r="W125" s="6"/>
      <c r="X125" s="6"/>
      <c r="Y125" s="6"/>
      <c r="Z125" s="6"/>
    </row>
    <row r="126" spans="1:26" ht="15.75" customHeight="1" x14ac:dyDescent="0.2">
      <c r="A126" s="6"/>
      <c r="B126" s="6"/>
      <c r="C126" s="6"/>
      <c r="D126" s="47"/>
      <c r="E126" s="6"/>
      <c r="F126" s="6"/>
      <c r="G126" s="6"/>
      <c r="H126" s="6"/>
      <c r="I126" s="6"/>
      <c r="J126" s="6"/>
      <c r="K126" s="6"/>
      <c r="L126" s="6"/>
      <c r="M126" s="6"/>
      <c r="N126" s="6"/>
      <c r="O126" s="6"/>
      <c r="P126" s="6"/>
      <c r="Q126" s="6"/>
      <c r="R126" s="6"/>
      <c r="S126" s="6"/>
      <c r="T126" s="6"/>
      <c r="U126" s="6"/>
      <c r="V126" s="6"/>
      <c r="W126" s="6"/>
      <c r="X126" s="6"/>
      <c r="Y126" s="6"/>
      <c r="Z126" s="6"/>
    </row>
    <row r="127" spans="1:26" ht="15.75" customHeight="1" x14ac:dyDescent="0.2">
      <c r="A127" s="6"/>
      <c r="B127" s="6"/>
      <c r="C127" s="6"/>
      <c r="D127" s="47"/>
      <c r="E127" s="6"/>
      <c r="F127" s="6"/>
      <c r="G127" s="6"/>
      <c r="H127" s="6"/>
      <c r="I127" s="6"/>
      <c r="J127" s="6"/>
      <c r="K127" s="6"/>
      <c r="L127" s="6"/>
      <c r="M127" s="6"/>
      <c r="N127" s="6"/>
      <c r="O127" s="6"/>
      <c r="P127" s="6"/>
      <c r="Q127" s="6"/>
      <c r="R127" s="6"/>
      <c r="S127" s="6"/>
      <c r="T127" s="6"/>
      <c r="U127" s="6"/>
      <c r="V127" s="6"/>
      <c r="W127" s="6"/>
      <c r="X127" s="6"/>
      <c r="Y127" s="6"/>
      <c r="Z127" s="6"/>
    </row>
    <row r="128" spans="1:26" ht="15.75" customHeight="1" x14ac:dyDescent="0.2">
      <c r="A128" s="6"/>
      <c r="B128" s="6"/>
      <c r="C128" s="6"/>
      <c r="D128" s="47"/>
      <c r="E128" s="6"/>
      <c r="F128" s="6"/>
      <c r="G128" s="6"/>
      <c r="H128" s="6"/>
      <c r="I128" s="6"/>
      <c r="J128" s="6"/>
      <c r="K128" s="6"/>
      <c r="L128" s="6"/>
      <c r="M128" s="6"/>
      <c r="N128" s="6"/>
      <c r="O128" s="6"/>
      <c r="P128" s="6"/>
      <c r="Q128" s="6"/>
      <c r="R128" s="6"/>
      <c r="S128" s="6"/>
      <c r="T128" s="6"/>
      <c r="U128" s="6"/>
      <c r="V128" s="6"/>
      <c r="W128" s="6"/>
      <c r="X128" s="6"/>
      <c r="Y128" s="6"/>
      <c r="Z128" s="6"/>
    </row>
    <row r="129" spans="1:26" ht="15.75" customHeight="1" x14ac:dyDescent="0.2">
      <c r="A129" s="6"/>
      <c r="B129" s="6"/>
      <c r="C129" s="6"/>
      <c r="D129" s="47"/>
      <c r="E129" s="6"/>
      <c r="F129" s="6"/>
      <c r="G129" s="16"/>
      <c r="H129" s="6"/>
      <c r="I129" s="6"/>
      <c r="J129" s="6"/>
      <c r="K129" s="6"/>
      <c r="L129" s="6"/>
      <c r="M129" s="6"/>
      <c r="N129" s="6"/>
      <c r="O129" s="6"/>
      <c r="P129" s="6"/>
      <c r="Q129" s="6"/>
      <c r="R129" s="6"/>
      <c r="S129" s="6"/>
      <c r="T129" s="6"/>
      <c r="U129" s="6"/>
      <c r="V129" s="6"/>
      <c r="W129" s="6"/>
      <c r="X129" s="6"/>
      <c r="Y129" s="6"/>
      <c r="Z129" s="6"/>
    </row>
    <row r="130" spans="1:26" ht="15.75" customHeight="1" x14ac:dyDescent="0.2">
      <c r="A130" s="6"/>
      <c r="B130" s="6"/>
      <c r="C130" s="6"/>
      <c r="D130" s="47"/>
      <c r="E130" s="6"/>
      <c r="F130" s="6"/>
      <c r="G130" s="6"/>
      <c r="H130" s="6"/>
      <c r="I130" s="6"/>
      <c r="J130" s="6"/>
      <c r="K130" s="6"/>
      <c r="L130" s="6"/>
      <c r="M130" s="6"/>
      <c r="N130" s="6"/>
      <c r="O130" s="6"/>
      <c r="P130" s="6"/>
      <c r="Q130" s="6"/>
      <c r="R130" s="6"/>
      <c r="S130" s="6"/>
      <c r="T130" s="6"/>
      <c r="U130" s="6"/>
      <c r="V130" s="6"/>
      <c r="W130" s="6"/>
      <c r="X130" s="6"/>
      <c r="Y130" s="6"/>
      <c r="Z130" s="6"/>
    </row>
    <row r="131" spans="1:26" ht="15.75" customHeight="1" x14ac:dyDescent="0.2">
      <c r="A131" s="6"/>
      <c r="B131" s="6"/>
      <c r="C131" s="6"/>
      <c r="D131" s="47"/>
      <c r="E131" s="6"/>
      <c r="F131" s="6"/>
      <c r="G131" s="6"/>
      <c r="H131" s="6"/>
      <c r="I131" s="6"/>
      <c r="J131" s="6"/>
      <c r="K131" s="6"/>
      <c r="L131" s="6"/>
      <c r="M131" s="6"/>
      <c r="N131" s="6"/>
      <c r="O131" s="6"/>
      <c r="P131" s="6"/>
      <c r="Q131" s="6"/>
      <c r="R131" s="6"/>
      <c r="S131" s="6"/>
      <c r="T131" s="6"/>
      <c r="U131" s="6"/>
      <c r="V131" s="6"/>
      <c r="W131" s="6"/>
      <c r="X131" s="6"/>
      <c r="Y131" s="6"/>
      <c r="Z131" s="6"/>
    </row>
    <row r="132" spans="1:26" ht="15.75" customHeight="1" x14ac:dyDescent="0.2">
      <c r="A132" s="6"/>
      <c r="B132" s="6"/>
      <c r="C132" s="6"/>
      <c r="D132" s="47"/>
      <c r="E132" s="6"/>
      <c r="F132" s="6"/>
      <c r="G132" s="6"/>
      <c r="H132" s="6"/>
      <c r="I132" s="6"/>
      <c r="J132" s="6"/>
      <c r="K132" s="6"/>
      <c r="L132" s="6"/>
      <c r="M132" s="6"/>
      <c r="N132" s="6"/>
      <c r="O132" s="6"/>
      <c r="P132" s="6"/>
      <c r="Q132" s="6"/>
      <c r="R132" s="6"/>
      <c r="S132" s="6"/>
      <c r="T132" s="6"/>
      <c r="U132" s="6"/>
      <c r="V132" s="6"/>
      <c r="W132" s="6"/>
      <c r="X132" s="6"/>
      <c r="Y132" s="6"/>
      <c r="Z132" s="6"/>
    </row>
    <row r="133" spans="1:26" ht="15.75" customHeight="1" x14ac:dyDescent="0.2">
      <c r="A133" s="6"/>
      <c r="B133" s="6"/>
      <c r="C133" s="6"/>
      <c r="D133" s="47"/>
      <c r="E133" s="6"/>
      <c r="F133" s="6"/>
      <c r="G133" s="16"/>
      <c r="H133" s="6"/>
      <c r="I133" s="6"/>
      <c r="J133" s="6"/>
      <c r="K133" s="6"/>
      <c r="L133" s="6"/>
      <c r="M133" s="6"/>
      <c r="N133" s="6"/>
      <c r="O133" s="6"/>
      <c r="P133" s="6"/>
      <c r="Q133" s="6"/>
      <c r="R133" s="6"/>
      <c r="S133" s="6"/>
      <c r="T133" s="6"/>
      <c r="U133" s="6"/>
      <c r="V133" s="6"/>
      <c r="W133" s="6"/>
      <c r="X133" s="6"/>
      <c r="Y133" s="6"/>
      <c r="Z133" s="6"/>
    </row>
    <row r="134" spans="1:26" ht="15.75" customHeight="1" x14ac:dyDescent="0.2">
      <c r="A134" s="6"/>
      <c r="B134" s="6"/>
      <c r="C134" s="6"/>
      <c r="D134" s="47"/>
      <c r="E134" s="6"/>
      <c r="F134" s="6"/>
      <c r="G134" s="6"/>
      <c r="H134" s="6"/>
      <c r="I134" s="6"/>
      <c r="J134" s="6"/>
      <c r="K134" s="6"/>
      <c r="L134" s="6"/>
      <c r="M134" s="6"/>
      <c r="N134" s="6"/>
      <c r="O134" s="6"/>
      <c r="P134" s="6"/>
      <c r="Q134" s="6"/>
      <c r="R134" s="6"/>
      <c r="S134" s="6"/>
      <c r="T134" s="6"/>
      <c r="U134" s="6"/>
      <c r="V134" s="6"/>
      <c r="W134" s="6"/>
      <c r="X134" s="6"/>
      <c r="Y134" s="6"/>
      <c r="Z134" s="6"/>
    </row>
    <row r="135" spans="1:26" ht="15.75" customHeight="1" x14ac:dyDescent="0.2">
      <c r="A135" s="6"/>
      <c r="B135" s="6"/>
      <c r="C135" s="6"/>
      <c r="D135" s="47"/>
      <c r="E135" s="6"/>
      <c r="F135" s="6"/>
      <c r="G135" s="6"/>
      <c r="H135" s="6"/>
      <c r="I135" s="6"/>
      <c r="J135" s="6"/>
      <c r="K135" s="6"/>
      <c r="L135" s="6"/>
      <c r="M135" s="6"/>
      <c r="N135" s="6"/>
      <c r="O135" s="6"/>
      <c r="P135" s="6"/>
      <c r="Q135" s="6"/>
      <c r="R135" s="6"/>
      <c r="S135" s="6"/>
      <c r="T135" s="6"/>
      <c r="U135" s="6"/>
      <c r="V135" s="6"/>
      <c r="W135" s="6"/>
      <c r="X135" s="6"/>
      <c r="Y135" s="6"/>
      <c r="Z135" s="6"/>
    </row>
    <row r="136" spans="1:26" ht="15.75" customHeight="1" x14ac:dyDescent="0.2">
      <c r="A136" s="6"/>
      <c r="B136" s="6"/>
      <c r="C136" s="6"/>
      <c r="D136" s="47"/>
      <c r="E136" s="6"/>
      <c r="F136" s="6"/>
      <c r="G136" s="6"/>
      <c r="H136" s="6"/>
      <c r="I136" s="6"/>
      <c r="J136" s="6"/>
      <c r="K136" s="6"/>
      <c r="L136" s="6"/>
      <c r="M136" s="6"/>
      <c r="N136" s="6"/>
      <c r="O136" s="6"/>
      <c r="P136" s="6"/>
      <c r="Q136" s="6"/>
      <c r="R136" s="6"/>
      <c r="S136" s="6"/>
      <c r="T136" s="6"/>
      <c r="U136" s="6"/>
      <c r="V136" s="6"/>
      <c r="W136" s="6"/>
      <c r="X136" s="6"/>
      <c r="Y136" s="6"/>
      <c r="Z136" s="6"/>
    </row>
    <row r="137" spans="1:26" ht="15.75" customHeight="1" x14ac:dyDescent="0.2">
      <c r="A137" s="6"/>
      <c r="B137" s="6"/>
      <c r="C137" s="6"/>
      <c r="D137" s="47"/>
      <c r="E137" s="6"/>
      <c r="F137" s="6"/>
      <c r="G137" s="16"/>
      <c r="H137" s="6"/>
      <c r="I137" s="6"/>
      <c r="J137" s="6"/>
      <c r="K137" s="6"/>
      <c r="L137" s="6"/>
      <c r="M137" s="6"/>
      <c r="N137" s="6"/>
      <c r="O137" s="6"/>
      <c r="P137" s="6"/>
      <c r="Q137" s="6"/>
      <c r="R137" s="6"/>
      <c r="S137" s="6"/>
      <c r="T137" s="6"/>
      <c r="U137" s="6"/>
      <c r="V137" s="6"/>
      <c r="W137" s="6"/>
      <c r="X137" s="6"/>
      <c r="Y137" s="6"/>
      <c r="Z137" s="6"/>
    </row>
    <row r="138" spans="1:26" ht="15.75" customHeight="1" x14ac:dyDescent="0.2">
      <c r="A138" s="6"/>
      <c r="B138" s="6"/>
      <c r="C138" s="6"/>
      <c r="D138" s="47"/>
      <c r="E138" s="6"/>
      <c r="F138" s="6"/>
      <c r="G138" s="6"/>
      <c r="H138" s="6"/>
      <c r="I138" s="6"/>
      <c r="J138" s="6"/>
      <c r="K138" s="6"/>
      <c r="L138" s="6"/>
      <c r="M138" s="6"/>
      <c r="N138" s="6"/>
      <c r="O138" s="6"/>
      <c r="P138" s="6"/>
      <c r="Q138" s="6"/>
      <c r="R138" s="6"/>
      <c r="S138" s="6"/>
      <c r="T138" s="6"/>
      <c r="U138" s="6"/>
      <c r="V138" s="6"/>
      <c r="W138" s="6"/>
      <c r="X138" s="6"/>
      <c r="Y138" s="6"/>
      <c r="Z138" s="6"/>
    </row>
    <row r="139" spans="1:26" ht="15.75" customHeight="1" x14ac:dyDescent="0.2">
      <c r="A139" s="6"/>
      <c r="B139" s="6"/>
      <c r="C139" s="6"/>
      <c r="D139" s="47"/>
      <c r="E139" s="6"/>
      <c r="F139" s="6"/>
      <c r="G139" s="6"/>
      <c r="H139" s="6"/>
      <c r="I139" s="6"/>
      <c r="J139" s="6"/>
      <c r="K139" s="6"/>
      <c r="L139" s="6"/>
      <c r="M139" s="6"/>
      <c r="N139" s="6"/>
      <c r="O139" s="6"/>
      <c r="P139" s="6"/>
      <c r="Q139" s="6"/>
      <c r="R139" s="6"/>
      <c r="S139" s="6"/>
      <c r="T139" s="6"/>
      <c r="U139" s="6"/>
      <c r="V139" s="6"/>
      <c r="W139" s="6"/>
      <c r="X139" s="6"/>
      <c r="Y139" s="6"/>
      <c r="Z139" s="6"/>
    </row>
    <row r="140" spans="1:26" ht="15.75" customHeight="1" x14ac:dyDescent="0.2">
      <c r="A140" s="6"/>
      <c r="B140" s="6"/>
      <c r="C140" s="6"/>
      <c r="D140" s="47"/>
      <c r="E140" s="6"/>
      <c r="F140" s="6"/>
      <c r="G140" s="6"/>
      <c r="H140" s="6"/>
      <c r="I140" s="6"/>
      <c r="J140" s="6"/>
      <c r="K140" s="6"/>
      <c r="L140" s="6"/>
      <c r="M140" s="6"/>
      <c r="N140" s="6"/>
      <c r="O140" s="6"/>
      <c r="P140" s="6"/>
      <c r="Q140" s="6"/>
      <c r="R140" s="6"/>
      <c r="S140" s="6"/>
      <c r="T140" s="6"/>
      <c r="U140" s="6"/>
      <c r="V140" s="6"/>
      <c r="W140" s="6"/>
      <c r="X140" s="6"/>
      <c r="Y140" s="6"/>
      <c r="Z140" s="6"/>
    </row>
    <row r="141" spans="1:26" ht="15.75" customHeight="1" x14ac:dyDescent="0.2">
      <c r="A141" s="6"/>
      <c r="B141" s="6"/>
      <c r="C141" s="6"/>
      <c r="D141" s="47"/>
      <c r="E141" s="6"/>
      <c r="F141" s="6"/>
      <c r="G141" s="16"/>
      <c r="H141" s="6"/>
      <c r="I141" s="6"/>
      <c r="J141" s="6"/>
      <c r="K141" s="6"/>
      <c r="L141" s="6"/>
      <c r="M141" s="6"/>
      <c r="N141" s="6"/>
      <c r="O141" s="6"/>
      <c r="P141" s="6"/>
      <c r="Q141" s="6"/>
      <c r="R141" s="6"/>
      <c r="S141" s="6"/>
      <c r="T141" s="6"/>
      <c r="U141" s="6"/>
      <c r="V141" s="6"/>
      <c r="W141" s="6"/>
      <c r="X141" s="6"/>
      <c r="Y141" s="6"/>
      <c r="Z141" s="6"/>
    </row>
    <row r="142" spans="1:26" ht="15.75" customHeight="1" x14ac:dyDescent="0.2">
      <c r="A142" s="6"/>
      <c r="B142" s="6"/>
      <c r="C142" s="6"/>
      <c r="D142" s="47"/>
      <c r="E142" s="6"/>
      <c r="F142" s="6"/>
      <c r="G142" s="6"/>
      <c r="H142" s="6"/>
      <c r="I142" s="6"/>
      <c r="J142" s="6"/>
      <c r="K142" s="6"/>
      <c r="L142" s="6"/>
      <c r="M142" s="6"/>
      <c r="N142" s="6"/>
      <c r="O142" s="6"/>
      <c r="P142" s="6"/>
      <c r="Q142" s="6"/>
      <c r="R142" s="6"/>
      <c r="S142" s="6"/>
      <c r="T142" s="6"/>
      <c r="U142" s="6"/>
      <c r="V142" s="6"/>
      <c r="W142" s="6"/>
      <c r="X142" s="6"/>
      <c r="Y142" s="6"/>
      <c r="Z142" s="6"/>
    </row>
    <row r="143" spans="1:26" ht="15.75" customHeight="1" x14ac:dyDescent="0.2">
      <c r="A143" s="6"/>
      <c r="B143" s="6"/>
      <c r="C143" s="6"/>
      <c r="D143" s="47"/>
      <c r="E143" s="6"/>
      <c r="F143" s="6"/>
      <c r="G143" s="6"/>
      <c r="H143" s="6"/>
      <c r="I143" s="6"/>
      <c r="J143" s="6"/>
      <c r="K143" s="6"/>
      <c r="L143" s="6"/>
      <c r="M143" s="6"/>
      <c r="N143" s="6"/>
      <c r="O143" s="6"/>
      <c r="P143" s="6"/>
      <c r="Q143" s="6"/>
      <c r="R143" s="6"/>
      <c r="S143" s="6"/>
      <c r="T143" s="6"/>
      <c r="U143" s="6"/>
      <c r="V143" s="6"/>
      <c r="W143" s="6"/>
      <c r="X143" s="6"/>
      <c r="Y143" s="6"/>
      <c r="Z143" s="6"/>
    </row>
    <row r="144" spans="1:26" ht="15.75" customHeight="1" x14ac:dyDescent="0.2">
      <c r="A144" s="6"/>
      <c r="B144" s="6"/>
      <c r="C144" s="6"/>
      <c r="D144" s="47"/>
      <c r="E144" s="6"/>
      <c r="F144" s="6"/>
      <c r="G144" s="6"/>
      <c r="H144" s="6"/>
      <c r="I144" s="6"/>
      <c r="J144" s="6"/>
      <c r="K144" s="6"/>
      <c r="L144" s="6"/>
      <c r="M144" s="6"/>
      <c r="N144" s="6"/>
      <c r="O144" s="6"/>
      <c r="P144" s="6"/>
      <c r="Q144" s="6"/>
      <c r="R144" s="6"/>
      <c r="S144" s="6"/>
      <c r="T144" s="6"/>
      <c r="U144" s="6"/>
      <c r="V144" s="6"/>
      <c r="W144" s="6"/>
      <c r="X144" s="6"/>
      <c r="Y144" s="6"/>
      <c r="Z144" s="6"/>
    </row>
    <row r="145" spans="1:26" ht="15.75" customHeight="1" x14ac:dyDescent="0.2">
      <c r="A145" s="6"/>
      <c r="B145" s="6"/>
      <c r="C145" s="6"/>
      <c r="D145" s="47"/>
      <c r="E145" s="6"/>
      <c r="F145" s="6"/>
      <c r="G145" s="16"/>
      <c r="H145" s="6"/>
      <c r="I145" s="6"/>
      <c r="J145" s="6"/>
      <c r="K145" s="6"/>
      <c r="L145" s="6"/>
      <c r="M145" s="6"/>
      <c r="N145" s="6"/>
      <c r="O145" s="6"/>
      <c r="P145" s="6"/>
      <c r="Q145" s="6"/>
      <c r="R145" s="6"/>
      <c r="S145" s="6"/>
      <c r="T145" s="6"/>
      <c r="U145" s="6"/>
      <c r="V145" s="6"/>
      <c r="W145" s="6"/>
      <c r="X145" s="6"/>
      <c r="Y145" s="6"/>
      <c r="Z145" s="6"/>
    </row>
    <row r="146" spans="1:26" ht="15.75" customHeight="1" x14ac:dyDescent="0.2">
      <c r="A146" s="6"/>
      <c r="B146" s="6"/>
      <c r="C146" s="6"/>
      <c r="D146" s="47"/>
      <c r="E146" s="6"/>
      <c r="F146" s="6"/>
      <c r="G146" s="6"/>
      <c r="H146" s="6"/>
      <c r="I146" s="6"/>
      <c r="J146" s="6"/>
      <c r="K146" s="6"/>
      <c r="L146" s="6"/>
      <c r="M146" s="6"/>
      <c r="N146" s="6"/>
      <c r="O146" s="6"/>
      <c r="P146" s="6"/>
      <c r="Q146" s="6"/>
      <c r="R146" s="6"/>
      <c r="S146" s="6"/>
      <c r="T146" s="6"/>
      <c r="U146" s="6"/>
      <c r="V146" s="6"/>
      <c r="W146" s="6"/>
      <c r="X146" s="6"/>
      <c r="Y146" s="6"/>
      <c r="Z146" s="6"/>
    </row>
    <row r="147" spans="1:26" ht="15.75" customHeight="1" x14ac:dyDescent="0.2">
      <c r="A147" s="6"/>
      <c r="B147" s="6"/>
      <c r="C147" s="6"/>
      <c r="D147" s="47"/>
      <c r="E147" s="6"/>
      <c r="F147" s="6"/>
      <c r="G147" s="6"/>
      <c r="H147" s="6"/>
      <c r="I147" s="6"/>
      <c r="J147" s="6"/>
      <c r="K147" s="6"/>
      <c r="L147" s="6"/>
      <c r="M147" s="6"/>
      <c r="N147" s="6"/>
      <c r="O147" s="6"/>
      <c r="P147" s="6"/>
      <c r="Q147" s="6"/>
      <c r="R147" s="6"/>
      <c r="S147" s="6"/>
      <c r="T147" s="6"/>
      <c r="U147" s="6"/>
      <c r="V147" s="6"/>
      <c r="W147" s="6"/>
      <c r="X147" s="6"/>
      <c r="Y147" s="6"/>
      <c r="Z147" s="6"/>
    </row>
    <row r="148" spans="1:26" ht="15.75" customHeight="1" x14ac:dyDescent="0.2">
      <c r="A148" s="6"/>
      <c r="B148" s="6"/>
      <c r="C148" s="6"/>
      <c r="D148" s="47"/>
      <c r="E148" s="6"/>
      <c r="F148" s="6"/>
      <c r="G148" s="6"/>
      <c r="H148" s="6"/>
      <c r="I148" s="6"/>
      <c r="J148" s="6"/>
      <c r="K148" s="6"/>
      <c r="L148" s="6"/>
      <c r="M148" s="6"/>
      <c r="N148" s="6"/>
      <c r="O148" s="6"/>
      <c r="P148" s="6"/>
      <c r="Q148" s="6"/>
      <c r="R148" s="6"/>
      <c r="S148" s="6"/>
      <c r="T148" s="6"/>
      <c r="U148" s="6"/>
      <c r="V148" s="6"/>
      <c r="W148" s="6"/>
      <c r="X148" s="6"/>
      <c r="Y148" s="6"/>
      <c r="Z148" s="6"/>
    </row>
    <row r="149" spans="1:26" ht="15.75" customHeight="1" x14ac:dyDescent="0.2">
      <c r="A149" s="6"/>
      <c r="B149" s="6"/>
      <c r="C149" s="6"/>
      <c r="D149" s="47"/>
      <c r="E149" s="6"/>
      <c r="F149" s="6"/>
      <c r="G149" s="16"/>
      <c r="H149" s="6"/>
      <c r="I149" s="6"/>
      <c r="J149" s="6"/>
      <c r="K149" s="6"/>
      <c r="L149" s="6"/>
      <c r="M149" s="6"/>
      <c r="N149" s="6"/>
      <c r="O149" s="6"/>
      <c r="P149" s="6"/>
      <c r="Q149" s="6"/>
      <c r="R149" s="6"/>
      <c r="S149" s="6"/>
      <c r="T149" s="6"/>
      <c r="U149" s="6"/>
      <c r="V149" s="6"/>
      <c r="W149" s="6"/>
      <c r="X149" s="6"/>
      <c r="Y149" s="6"/>
      <c r="Z149" s="6"/>
    </row>
    <row r="150" spans="1:26" ht="15.75" customHeight="1" x14ac:dyDescent="0.2">
      <c r="A150" s="6"/>
      <c r="B150" s="6"/>
      <c r="C150" s="6"/>
      <c r="D150" s="47"/>
      <c r="E150" s="6"/>
      <c r="F150" s="6"/>
      <c r="G150" s="6"/>
      <c r="H150" s="6"/>
      <c r="I150" s="6"/>
      <c r="J150" s="6"/>
      <c r="K150" s="6"/>
      <c r="L150" s="6"/>
      <c r="M150" s="6"/>
      <c r="N150" s="6"/>
      <c r="O150" s="6"/>
      <c r="P150" s="6"/>
      <c r="Q150" s="6"/>
      <c r="R150" s="6"/>
      <c r="S150" s="6"/>
      <c r="T150" s="6"/>
      <c r="U150" s="6"/>
      <c r="V150" s="6"/>
      <c r="W150" s="6"/>
      <c r="X150" s="6"/>
      <c r="Y150" s="6"/>
      <c r="Z150" s="6"/>
    </row>
    <row r="151" spans="1:26" ht="15.75" customHeight="1" x14ac:dyDescent="0.2">
      <c r="A151" s="6"/>
      <c r="B151" s="6"/>
      <c r="C151" s="6"/>
      <c r="D151" s="47"/>
      <c r="E151" s="6"/>
      <c r="F151" s="6"/>
      <c r="G151" s="6"/>
      <c r="H151" s="6"/>
      <c r="I151" s="6"/>
      <c r="J151" s="6"/>
      <c r="K151" s="6"/>
      <c r="L151" s="6"/>
      <c r="M151" s="6"/>
      <c r="N151" s="6"/>
      <c r="O151" s="6"/>
      <c r="P151" s="6"/>
      <c r="Q151" s="6"/>
      <c r="R151" s="6"/>
      <c r="S151" s="6"/>
      <c r="T151" s="6"/>
      <c r="U151" s="6"/>
      <c r="V151" s="6"/>
      <c r="W151" s="6"/>
      <c r="X151" s="6"/>
      <c r="Y151" s="6"/>
      <c r="Z151" s="6"/>
    </row>
    <row r="152" spans="1:26" ht="15.75" customHeight="1" x14ac:dyDescent="0.2">
      <c r="A152" s="6"/>
      <c r="B152" s="6"/>
      <c r="C152" s="6"/>
      <c r="D152" s="47"/>
      <c r="E152" s="6"/>
      <c r="F152" s="6"/>
      <c r="G152" s="6"/>
      <c r="H152" s="6"/>
      <c r="I152" s="6"/>
      <c r="J152" s="6"/>
      <c r="K152" s="6"/>
      <c r="L152" s="6"/>
      <c r="M152" s="6"/>
      <c r="N152" s="6"/>
      <c r="O152" s="6"/>
      <c r="P152" s="6"/>
      <c r="Q152" s="6"/>
      <c r="R152" s="6"/>
      <c r="S152" s="6"/>
      <c r="T152" s="6"/>
      <c r="U152" s="6"/>
      <c r="V152" s="6"/>
      <c r="W152" s="6"/>
      <c r="X152" s="6"/>
      <c r="Y152" s="6"/>
      <c r="Z152" s="6"/>
    </row>
    <row r="153" spans="1:26" ht="15.75" customHeight="1" x14ac:dyDescent="0.2">
      <c r="A153" s="6"/>
      <c r="B153" s="6"/>
      <c r="C153" s="6"/>
      <c r="D153" s="47"/>
      <c r="E153" s="6"/>
      <c r="F153" s="6"/>
      <c r="G153" s="16"/>
      <c r="H153" s="6"/>
      <c r="I153" s="6"/>
      <c r="J153" s="6"/>
      <c r="K153" s="6"/>
      <c r="L153" s="6"/>
      <c r="M153" s="6"/>
      <c r="N153" s="6"/>
      <c r="O153" s="6"/>
      <c r="P153" s="6"/>
      <c r="Q153" s="6"/>
      <c r="R153" s="6"/>
      <c r="S153" s="6"/>
      <c r="T153" s="6"/>
      <c r="U153" s="6"/>
      <c r="V153" s="6"/>
      <c r="W153" s="6"/>
      <c r="X153" s="6"/>
      <c r="Y153" s="6"/>
      <c r="Z153" s="6"/>
    </row>
    <row r="154" spans="1:26" ht="15.75" customHeight="1" x14ac:dyDescent="0.2">
      <c r="A154" s="6"/>
      <c r="B154" s="6"/>
      <c r="C154" s="6"/>
      <c r="D154" s="47"/>
      <c r="E154" s="6"/>
      <c r="F154" s="6"/>
      <c r="G154" s="6"/>
      <c r="H154" s="6"/>
      <c r="I154" s="6"/>
      <c r="J154" s="6"/>
      <c r="K154" s="6"/>
      <c r="L154" s="6"/>
      <c r="M154" s="6"/>
      <c r="N154" s="6"/>
      <c r="O154" s="6"/>
      <c r="P154" s="6"/>
      <c r="Q154" s="6"/>
      <c r="R154" s="6"/>
      <c r="S154" s="6"/>
      <c r="T154" s="6"/>
      <c r="U154" s="6"/>
      <c r="V154" s="6"/>
      <c r="W154" s="6"/>
      <c r="X154" s="6"/>
      <c r="Y154" s="6"/>
      <c r="Z154" s="6"/>
    </row>
    <row r="155" spans="1:26" ht="15.75" customHeight="1" x14ac:dyDescent="0.2">
      <c r="A155" s="6"/>
      <c r="B155" s="6"/>
      <c r="C155" s="6"/>
      <c r="D155" s="47"/>
      <c r="E155" s="6"/>
      <c r="F155" s="6"/>
      <c r="G155" s="6"/>
      <c r="H155" s="6"/>
      <c r="I155" s="6"/>
      <c r="J155" s="6"/>
      <c r="K155" s="6"/>
      <c r="L155" s="6"/>
      <c r="M155" s="6"/>
      <c r="N155" s="6"/>
      <c r="O155" s="6"/>
      <c r="P155" s="6"/>
      <c r="Q155" s="6"/>
      <c r="R155" s="6"/>
      <c r="S155" s="6"/>
      <c r="T155" s="6"/>
      <c r="U155" s="6"/>
      <c r="V155" s="6"/>
      <c r="W155" s="6"/>
      <c r="X155" s="6"/>
      <c r="Y155" s="6"/>
      <c r="Z155" s="6"/>
    </row>
    <row r="156" spans="1:26" ht="15.75" customHeight="1" x14ac:dyDescent="0.2">
      <c r="A156" s="6"/>
      <c r="B156" s="6"/>
      <c r="C156" s="6"/>
      <c r="D156" s="47"/>
      <c r="E156" s="6"/>
      <c r="F156" s="6"/>
      <c r="G156" s="6"/>
      <c r="H156" s="6"/>
      <c r="I156" s="6"/>
      <c r="J156" s="6"/>
      <c r="K156" s="6"/>
      <c r="L156" s="6"/>
      <c r="M156" s="6"/>
      <c r="N156" s="6"/>
      <c r="O156" s="6"/>
      <c r="P156" s="6"/>
      <c r="Q156" s="6"/>
      <c r="R156" s="6"/>
      <c r="S156" s="6"/>
      <c r="T156" s="6"/>
      <c r="U156" s="6"/>
      <c r="V156" s="6"/>
      <c r="W156" s="6"/>
      <c r="X156" s="6"/>
      <c r="Y156" s="6"/>
      <c r="Z156" s="6"/>
    </row>
    <row r="157" spans="1:26" ht="15.75" customHeight="1" x14ac:dyDescent="0.2">
      <c r="A157" s="6"/>
      <c r="B157" s="6"/>
      <c r="C157" s="6"/>
      <c r="D157" s="47"/>
      <c r="E157" s="6"/>
      <c r="F157" s="6"/>
      <c r="G157" s="16"/>
      <c r="H157" s="6"/>
      <c r="I157" s="6"/>
      <c r="J157" s="6"/>
      <c r="K157" s="6"/>
      <c r="L157" s="6"/>
      <c r="M157" s="6"/>
      <c r="N157" s="6"/>
      <c r="O157" s="6"/>
      <c r="P157" s="6"/>
      <c r="Q157" s="6"/>
      <c r="R157" s="6"/>
      <c r="S157" s="6"/>
      <c r="T157" s="6"/>
      <c r="U157" s="6"/>
      <c r="V157" s="6"/>
      <c r="W157" s="6"/>
      <c r="X157" s="6"/>
      <c r="Y157" s="6"/>
      <c r="Z157" s="6"/>
    </row>
    <row r="158" spans="1:26" ht="15.75" customHeight="1" x14ac:dyDescent="0.2">
      <c r="A158" s="6"/>
      <c r="B158" s="6"/>
      <c r="C158" s="6"/>
      <c r="D158" s="47"/>
      <c r="E158" s="6"/>
      <c r="F158" s="6"/>
      <c r="G158" s="6"/>
      <c r="H158" s="6"/>
      <c r="I158" s="6"/>
      <c r="J158" s="6"/>
      <c r="K158" s="6"/>
      <c r="L158" s="6"/>
      <c r="M158" s="6"/>
      <c r="N158" s="6"/>
      <c r="O158" s="6"/>
      <c r="P158" s="6"/>
      <c r="Q158" s="6"/>
      <c r="R158" s="6"/>
      <c r="S158" s="6"/>
      <c r="T158" s="6"/>
      <c r="U158" s="6"/>
      <c r="V158" s="6"/>
      <c r="W158" s="6"/>
      <c r="X158" s="6"/>
      <c r="Y158" s="6"/>
      <c r="Z158" s="6"/>
    </row>
    <row r="159" spans="1:26" ht="15.75" customHeight="1" x14ac:dyDescent="0.2">
      <c r="A159" s="6"/>
      <c r="B159" s="6"/>
      <c r="C159" s="6"/>
      <c r="D159" s="47"/>
      <c r="E159" s="6"/>
      <c r="F159" s="6"/>
      <c r="G159" s="6"/>
      <c r="H159" s="6"/>
      <c r="I159" s="6"/>
      <c r="J159" s="6"/>
      <c r="K159" s="6"/>
      <c r="L159" s="6"/>
      <c r="M159" s="6"/>
      <c r="N159" s="6"/>
      <c r="O159" s="6"/>
      <c r="P159" s="6"/>
      <c r="Q159" s="6"/>
      <c r="R159" s="6"/>
      <c r="S159" s="6"/>
      <c r="T159" s="6"/>
      <c r="U159" s="6"/>
      <c r="V159" s="6"/>
      <c r="W159" s="6"/>
      <c r="X159" s="6"/>
      <c r="Y159" s="6"/>
      <c r="Z159" s="6"/>
    </row>
    <row r="160" spans="1:26" ht="15.75" customHeight="1" x14ac:dyDescent="0.2">
      <c r="A160" s="6"/>
      <c r="B160" s="6"/>
      <c r="C160" s="6"/>
      <c r="D160" s="47"/>
      <c r="E160" s="6"/>
      <c r="F160" s="6"/>
      <c r="G160" s="6"/>
      <c r="H160" s="6"/>
      <c r="I160" s="6"/>
      <c r="J160" s="6"/>
      <c r="K160" s="6"/>
      <c r="L160" s="6"/>
      <c r="M160" s="6"/>
      <c r="N160" s="6"/>
      <c r="O160" s="6"/>
      <c r="P160" s="6"/>
      <c r="Q160" s="6"/>
      <c r="R160" s="6"/>
      <c r="S160" s="6"/>
      <c r="T160" s="6"/>
      <c r="U160" s="6"/>
      <c r="V160" s="6"/>
      <c r="W160" s="6"/>
      <c r="X160" s="6"/>
      <c r="Y160" s="6"/>
      <c r="Z160" s="6"/>
    </row>
    <row r="161" spans="1:26" ht="15.75" customHeight="1" x14ac:dyDescent="0.2">
      <c r="A161" s="6"/>
      <c r="B161" s="6"/>
      <c r="C161" s="6"/>
      <c r="D161" s="47"/>
      <c r="E161" s="6"/>
      <c r="F161" s="6"/>
      <c r="G161" s="16"/>
      <c r="H161" s="6"/>
      <c r="I161" s="6"/>
      <c r="J161" s="6"/>
      <c r="K161" s="6"/>
      <c r="L161" s="6"/>
      <c r="M161" s="6"/>
      <c r="N161" s="6"/>
      <c r="O161" s="6"/>
      <c r="P161" s="6"/>
      <c r="Q161" s="6"/>
      <c r="R161" s="6"/>
      <c r="S161" s="6"/>
      <c r="T161" s="6"/>
      <c r="U161" s="6"/>
      <c r="V161" s="6"/>
      <c r="W161" s="6"/>
      <c r="X161" s="6"/>
      <c r="Y161" s="6"/>
      <c r="Z161" s="6"/>
    </row>
    <row r="162" spans="1:26" ht="15.75" customHeight="1" x14ac:dyDescent="0.2">
      <c r="A162" s="6"/>
      <c r="B162" s="6"/>
      <c r="C162" s="6"/>
      <c r="D162" s="47"/>
      <c r="E162" s="6"/>
      <c r="F162" s="6"/>
      <c r="G162" s="6"/>
      <c r="H162" s="6"/>
      <c r="I162" s="6"/>
      <c r="J162" s="6"/>
      <c r="K162" s="6"/>
      <c r="L162" s="6"/>
      <c r="M162" s="6"/>
      <c r="N162" s="6"/>
      <c r="O162" s="6"/>
      <c r="P162" s="6"/>
      <c r="Q162" s="6"/>
      <c r="R162" s="6"/>
      <c r="S162" s="6"/>
      <c r="T162" s="6"/>
      <c r="U162" s="6"/>
      <c r="V162" s="6"/>
      <c r="W162" s="6"/>
      <c r="X162" s="6"/>
      <c r="Y162" s="6"/>
      <c r="Z162" s="6"/>
    </row>
    <row r="163" spans="1:26" ht="15.75" customHeight="1" x14ac:dyDescent="0.2">
      <c r="A163" s="6"/>
      <c r="B163" s="6"/>
      <c r="C163" s="6"/>
      <c r="D163" s="47"/>
      <c r="E163" s="6"/>
      <c r="F163" s="6"/>
      <c r="G163" s="6"/>
      <c r="H163" s="6"/>
      <c r="I163" s="6"/>
      <c r="J163" s="6"/>
      <c r="K163" s="6"/>
      <c r="L163" s="6"/>
      <c r="M163" s="6"/>
      <c r="N163" s="6"/>
      <c r="O163" s="6"/>
      <c r="P163" s="6"/>
      <c r="Q163" s="6"/>
      <c r="R163" s="6"/>
      <c r="S163" s="6"/>
      <c r="T163" s="6"/>
      <c r="U163" s="6"/>
      <c r="V163" s="6"/>
      <c r="W163" s="6"/>
      <c r="X163" s="6"/>
      <c r="Y163" s="6"/>
      <c r="Z163" s="6"/>
    </row>
    <row r="164" spans="1:26" ht="15.75" customHeight="1" x14ac:dyDescent="0.2">
      <c r="A164" s="6"/>
      <c r="B164" s="6"/>
      <c r="C164" s="6"/>
      <c r="D164" s="47"/>
      <c r="E164" s="6"/>
      <c r="F164" s="6"/>
      <c r="G164" s="6"/>
      <c r="H164" s="6"/>
      <c r="I164" s="6"/>
      <c r="J164" s="6"/>
      <c r="K164" s="6"/>
      <c r="L164" s="6"/>
      <c r="M164" s="6"/>
      <c r="N164" s="6"/>
      <c r="O164" s="6"/>
      <c r="P164" s="6"/>
      <c r="Q164" s="6"/>
      <c r="R164" s="6"/>
      <c r="S164" s="6"/>
      <c r="T164" s="6"/>
      <c r="U164" s="6"/>
      <c r="V164" s="6"/>
      <c r="W164" s="6"/>
      <c r="X164" s="6"/>
      <c r="Y164" s="6"/>
      <c r="Z164" s="6"/>
    </row>
    <row r="165" spans="1:26" ht="15.75" customHeight="1" x14ac:dyDescent="0.2">
      <c r="A165" s="6"/>
      <c r="B165" s="6"/>
      <c r="C165" s="6"/>
      <c r="D165" s="47"/>
      <c r="E165" s="6"/>
      <c r="F165" s="6"/>
      <c r="G165" s="16"/>
      <c r="H165" s="6"/>
      <c r="I165" s="6"/>
      <c r="J165" s="6"/>
      <c r="K165" s="6"/>
      <c r="L165" s="6"/>
      <c r="M165" s="6"/>
      <c r="N165" s="6"/>
      <c r="O165" s="6"/>
      <c r="P165" s="6"/>
      <c r="Q165" s="6"/>
      <c r="R165" s="6"/>
      <c r="S165" s="6"/>
      <c r="T165" s="6"/>
      <c r="U165" s="6"/>
      <c r="V165" s="6"/>
      <c r="W165" s="6"/>
      <c r="X165" s="6"/>
      <c r="Y165" s="6"/>
      <c r="Z165" s="6"/>
    </row>
    <row r="166" spans="1:26" ht="15.75" customHeight="1" x14ac:dyDescent="0.2">
      <c r="A166" s="6"/>
      <c r="B166" s="6"/>
      <c r="C166" s="6"/>
      <c r="D166" s="47"/>
      <c r="E166" s="6"/>
      <c r="F166" s="6"/>
      <c r="G166" s="6"/>
      <c r="H166" s="6"/>
      <c r="I166" s="6"/>
      <c r="J166" s="6"/>
      <c r="K166" s="6"/>
      <c r="L166" s="6"/>
      <c r="M166" s="6"/>
      <c r="N166" s="6"/>
      <c r="O166" s="6"/>
      <c r="P166" s="6"/>
      <c r="Q166" s="6"/>
      <c r="R166" s="6"/>
      <c r="S166" s="6"/>
      <c r="T166" s="6"/>
      <c r="U166" s="6"/>
      <c r="V166" s="6"/>
      <c r="W166" s="6"/>
      <c r="X166" s="6"/>
      <c r="Y166" s="6"/>
      <c r="Z166" s="6"/>
    </row>
    <row r="167" spans="1:26" ht="15.75" customHeight="1" x14ac:dyDescent="0.2">
      <c r="A167" s="6"/>
      <c r="B167" s="6"/>
      <c r="C167" s="6"/>
      <c r="D167" s="47"/>
      <c r="E167" s="6"/>
      <c r="F167" s="6"/>
      <c r="G167" s="6"/>
      <c r="H167" s="6"/>
      <c r="I167" s="6"/>
      <c r="J167" s="6"/>
      <c r="K167" s="6"/>
      <c r="L167" s="6"/>
      <c r="M167" s="6"/>
      <c r="N167" s="6"/>
      <c r="O167" s="6"/>
      <c r="P167" s="6"/>
      <c r="Q167" s="6"/>
      <c r="R167" s="6"/>
      <c r="S167" s="6"/>
      <c r="T167" s="6"/>
      <c r="U167" s="6"/>
      <c r="V167" s="6"/>
      <c r="W167" s="6"/>
      <c r="X167" s="6"/>
      <c r="Y167" s="6"/>
      <c r="Z167" s="6"/>
    </row>
    <row r="168" spans="1:26" ht="15.75" customHeight="1" x14ac:dyDescent="0.2">
      <c r="A168" s="6"/>
      <c r="B168" s="6"/>
      <c r="C168" s="6"/>
      <c r="D168" s="47"/>
      <c r="E168" s="6"/>
      <c r="F168" s="6"/>
      <c r="G168" s="6"/>
      <c r="H168" s="6"/>
      <c r="I168" s="6"/>
      <c r="J168" s="6"/>
      <c r="K168" s="6"/>
      <c r="L168" s="6"/>
      <c r="M168" s="6"/>
      <c r="N168" s="6"/>
      <c r="O168" s="6"/>
      <c r="P168" s="6"/>
      <c r="Q168" s="6"/>
      <c r="R168" s="6"/>
      <c r="S168" s="6"/>
      <c r="T168" s="6"/>
      <c r="U168" s="6"/>
      <c r="V168" s="6"/>
      <c r="W168" s="6"/>
      <c r="X168" s="6"/>
      <c r="Y168" s="6"/>
      <c r="Z168" s="6"/>
    </row>
    <row r="169" spans="1:26" ht="15.75" customHeight="1" x14ac:dyDescent="0.2">
      <c r="A169" s="6"/>
      <c r="B169" s="6"/>
      <c r="C169" s="6"/>
      <c r="D169" s="47"/>
      <c r="E169" s="6"/>
      <c r="F169" s="6"/>
      <c r="G169" s="16"/>
      <c r="H169" s="6"/>
      <c r="I169" s="6"/>
      <c r="J169" s="6"/>
      <c r="K169" s="6"/>
      <c r="L169" s="6"/>
      <c r="M169" s="6"/>
      <c r="N169" s="6"/>
      <c r="O169" s="6"/>
      <c r="P169" s="6"/>
      <c r="Q169" s="6"/>
      <c r="R169" s="6"/>
      <c r="S169" s="6"/>
      <c r="T169" s="6"/>
      <c r="U169" s="6"/>
      <c r="V169" s="6"/>
      <c r="W169" s="6"/>
      <c r="X169" s="6"/>
      <c r="Y169" s="6"/>
      <c r="Z169" s="6"/>
    </row>
    <row r="170" spans="1:26" ht="15.75" customHeight="1" x14ac:dyDescent="0.2">
      <c r="A170" s="6"/>
      <c r="B170" s="6"/>
      <c r="C170" s="6"/>
      <c r="D170" s="47"/>
      <c r="E170" s="6"/>
      <c r="F170" s="6"/>
      <c r="G170" s="6"/>
      <c r="H170" s="6"/>
      <c r="I170" s="6"/>
      <c r="J170" s="6"/>
      <c r="K170" s="6"/>
      <c r="L170" s="6"/>
      <c r="M170" s="6"/>
      <c r="N170" s="6"/>
      <c r="O170" s="6"/>
      <c r="P170" s="6"/>
      <c r="Q170" s="6"/>
      <c r="R170" s="6"/>
      <c r="S170" s="6"/>
      <c r="T170" s="6"/>
      <c r="U170" s="6"/>
      <c r="V170" s="6"/>
      <c r="W170" s="6"/>
      <c r="X170" s="6"/>
      <c r="Y170" s="6"/>
      <c r="Z170" s="6"/>
    </row>
    <row r="171" spans="1:26" ht="15.75" customHeight="1" x14ac:dyDescent="0.2">
      <c r="A171" s="6"/>
      <c r="B171" s="6"/>
      <c r="C171" s="6"/>
      <c r="D171" s="47"/>
      <c r="E171" s="6"/>
      <c r="F171" s="6"/>
      <c r="G171" s="6"/>
      <c r="H171" s="6"/>
      <c r="I171" s="6"/>
      <c r="J171" s="6"/>
      <c r="K171" s="6"/>
      <c r="L171" s="6"/>
      <c r="M171" s="6"/>
      <c r="N171" s="6"/>
      <c r="O171" s="6"/>
      <c r="P171" s="6"/>
      <c r="Q171" s="6"/>
      <c r="R171" s="6"/>
      <c r="S171" s="6"/>
      <c r="T171" s="6"/>
      <c r="U171" s="6"/>
      <c r="V171" s="6"/>
      <c r="W171" s="6"/>
      <c r="X171" s="6"/>
      <c r="Y171" s="6"/>
      <c r="Z171" s="6"/>
    </row>
    <row r="172" spans="1:26" ht="15.75" customHeight="1" x14ac:dyDescent="0.2">
      <c r="A172" s="6"/>
      <c r="B172" s="6"/>
      <c r="C172" s="6"/>
      <c r="D172" s="47"/>
      <c r="E172" s="6"/>
      <c r="F172" s="6"/>
      <c r="G172" s="6"/>
      <c r="H172" s="6"/>
      <c r="I172" s="6"/>
      <c r="J172" s="6"/>
      <c r="K172" s="6"/>
      <c r="L172" s="6"/>
      <c r="M172" s="6"/>
      <c r="N172" s="6"/>
      <c r="O172" s="6"/>
      <c r="P172" s="6"/>
      <c r="Q172" s="6"/>
      <c r="R172" s="6"/>
      <c r="S172" s="6"/>
      <c r="T172" s="6"/>
      <c r="U172" s="6"/>
      <c r="V172" s="6"/>
      <c r="W172" s="6"/>
      <c r="X172" s="6"/>
      <c r="Y172" s="6"/>
      <c r="Z172" s="6"/>
    </row>
    <row r="173" spans="1:26" ht="15.75" customHeight="1" x14ac:dyDescent="0.2">
      <c r="A173" s="6"/>
      <c r="B173" s="6"/>
      <c r="C173" s="6"/>
      <c r="D173" s="47"/>
      <c r="E173" s="6"/>
      <c r="F173" s="6"/>
      <c r="G173" s="16"/>
      <c r="H173" s="6"/>
      <c r="I173" s="6"/>
      <c r="J173" s="6"/>
      <c r="K173" s="6"/>
      <c r="L173" s="6"/>
      <c r="M173" s="6"/>
      <c r="N173" s="6"/>
      <c r="O173" s="6"/>
      <c r="P173" s="6"/>
      <c r="Q173" s="6"/>
      <c r="R173" s="6"/>
      <c r="S173" s="6"/>
      <c r="T173" s="6"/>
      <c r="U173" s="6"/>
      <c r="V173" s="6"/>
      <c r="W173" s="6"/>
      <c r="X173" s="6"/>
      <c r="Y173" s="6"/>
      <c r="Z173" s="6"/>
    </row>
    <row r="174" spans="1:26" ht="15.75" customHeight="1" x14ac:dyDescent="0.2">
      <c r="A174" s="6"/>
      <c r="B174" s="6"/>
      <c r="C174" s="6"/>
      <c r="D174" s="47"/>
      <c r="E174" s="6"/>
      <c r="F174" s="6"/>
      <c r="G174" s="6"/>
      <c r="H174" s="6"/>
      <c r="I174" s="6"/>
      <c r="J174" s="6"/>
      <c r="K174" s="6"/>
      <c r="L174" s="6"/>
      <c r="M174" s="6"/>
      <c r="N174" s="6"/>
      <c r="O174" s="6"/>
      <c r="P174" s="6"/>
      <c r="Q174" s="6"/>
      <c r="R174" s="6"/>
      <c r="S174" s="6"/>
      <c r="T174" s="6"/>
      <c r="U174" s="6"/>
      <c r="V174" s="6"/>
      <c r="W174" s="6"/>
      <c r="X174" s="6"/>
      <c r="Y174" s="6"/>
      <c r="Z174" s="6"/>
    </row>
    <row r="175" spans="1:26" ht="15.75" customHeight="1" x14ac:dyDescent="0.2">
      <c r="A175" s="6"/>
      <c r="B175" s="6"/>
      <c r="C175" s="6"/>
      <c r="D175" s="47"/>
      <c r="E175" s="6"/>
      <c r="F175" s="6"/>
      <c r="G175" s="6"/>
      <c r="H175" s="6"/>
      <c r="I175" s="6"/>
      <c r="J175" s="6"/>
      <c r="K175" s="6"/>
      <c r="L175" s="6"/>
      <c r="M175" s="6"/>
      <c r="N175" s="6"/>
      <c r="O175" s="6"/>
      <c r="P175" s="6"/>
      <c r="Q175" s="6"/>
      <c r="R175" s="6"/>
      <c r="S175" s="6"/>
      <c r="T175" s="6"/>
      <c r="U175" s="6"/>
      <c r="V175" s="6"/>
      <c r="W175" s="6"/>
      <c r="X175" s="6"/>
      <c r="Y175" s="6"/>
      <c r="Z175" s="6"/>
    </row>
    <row r="176" spans="1:26" ht="15.75" customHeight="1" x14ac:dyDescent="0.2">
      <c r="A176" s="6"/>
      <c r="B176" s="6"/>
      <c r="C176" s="6"/>
      <c r="D176" s="47"/>
      <c r="E176" s="6"/>
      <c r="F176" s="6"/>
      <c r="G176" s="6"/>
      <c r="H176" s="6"/>
      <c r="I176" s="6"/>
      <c r="J176" s="6"/>
      <c r="K176" s="6"/>
      <c r="L176" s="6"/>
      <c r="M176" s="6"/>
      <c r="N176" s="6"/>
      <c r="O176" s="6"/>
      <c r="P176" s="6"/>
      <c r="Q176" s="6"/>
      <c r="R176" s="6"/>
      <c r="S176" s="6"/>
      <c r="T176" s="6"/>
      <c r="U176" s="6"/>
      <c r="V176" s="6"/>
      <c r="W176" s="6"/>
      <c r="X176" s="6"/>
      <c r="Y176" s="6"/>
      <c r="Z176" s="6"/>
    </row>
    <row r="177" spans="1:26" ht="15.75" customHeight="1" x14ac:dyDescent="0.2">
      <c r="A177" s="6"/>
      <c r="B177" s="6"/>
      <c r="C177" s="6"/>
      <c r="D177" s="47"/>
      <c r="E177" s="6"/>
      <c r="F177" s="6"/>
      <c r="G177" s="16"/>
      <c r="H177" s="6"/>
      <c r="I177" s="6"/>
      <c r="J177" s="6"/>
      <c r="K177" s="6"/>
      <c r="L177" s="6"/>
      <c r="M177" s="6"/>
      <c r="N177" s="6"/>
      <c r="O177" s="6"/>
      <c r="P177" s="6"/>
      <c r="Q177" s="6"/>
      <c r="R177" s="6"/>
      <c r="S177" s="6"/>
      <c r="T177" s="6"/>
      <c r="U177" s="6"/>
      <c r="V177" s="6"/>
      <c r="W177" s="6"/>
      <c r="X177" s="6"/>
      <c r="Y177" s="6"/>
      <c r="Z177" s="6"/>
    </row>
    <row r="178" spans="1:26" ht="15.75" customHeight="1" x14ac:dyDescent="0.2">
      <c r="A178" s="6"/>
      <c r="B178" s="6"/>
      <c r="C178" s="6"/>
      <c r="D178" s="47"/>
      <c r="E178" s="6"/>
      <c r="F178" s="6"/>
      <c r="G178" s="6"/>
      <c r="H178" s="6"/>
      <c r="I178" s="6"/>
      <c r="J178" s="6"/>
      <c r="K178" s="6"/>
      <c r="L178" s="6"/>
      <c r="M178" s="6"/>
      <c r="N178" s="6"/>
      <c r="O178" s="6"/>
      <c r="P178" s="6"/>
      <c r="Q178" s="6"/>
      <c r="R178" s="6"/>
      <c r="S178" s="6"/>
      <c r="T178" s="6"/>
      <c r="U178" s="6"/>
      <c r="V178" s="6"/>
      <c r="W178" s="6"/>
      <c r="X178" s="6"/>
      <c r="Y178" s="6"/>
      <c r="Z178" s="6"/>
    </row>
    <row r="179" spans="1:26" ht="15.75" customHeight="1" x14ac:dyDescent="0.2">
      <c r="A179" s="6"/>
      <c r="B179" s="6"/>
      <c r="C179" s="6"/>
      <c r="D179" s="47"/>
      <c r="E179" s="6"/>
      <c r="F179" s="6"/>
      <c r="G179" s="6"/>
      <c r="H179" s="6"/>
      <c r="I179" s="6"/>
      <c r="J179" s="6"/>
      <c r="K179" s="6"/>
      <c r="L179" s="6"/>
      <c r="M179" s="6"/>
      <c r="N179" s="6"/>
      <c r="O179" s="6"/>
      <c r="P179" s="6"/>
      <c r="Q179" s="6"/>
      <c r="R179" s="6"/>
      <c r="S179" s="6"/>
      <c r="T179" s="6"/>
      <c r="U179" s="6"/>
      <c r="V179" s="6"/>
      <c r="W179" s="6"/>
      <c r="X179" s="6"/>
      <c r="Y179" s="6"/>
      <c r="Z179" s="6"/>
    </row>
    <row r="180" spans="1:26" ht="15.75" customHeight="1" x14ac:dyDescent="0.2">
      <c r="A180" s="6"/>
      <c r="B180" s="6"/>
      <c r="C180" s="6"/>
      <c r="D180" s="47"/>
      <c r="E180" s="6"/>
      <c r="F180" s="6"/>
      <c r="G180" s="6"/>
      <c r="H180" s="6"/>
      <c r="I180" s="6"/>
      <c r="J180" s="6"/>
      <c r="K180" s="6"/>
      <c r="L180" s="6"/>
      <c r="M180" s="6"/>
      <c r="N180" s="6"/>
      <c r="O180" s="6"/>
      <c r="P180" s="6"/>
      <c r="Q180" s="6"/>
      <c r="R180" s="6"/>
      <c r="S180" s="6"/>
      <c r="T180" s="6"/>
      <c r="U180" s="6"/>
      <c r="V180" s="6"/>
      <c r="W180" s="6"/>
      <c r="X180" s="6"/>
      <c r="Y180" s="6"/>
      <c r="Z180" s="6"/>
    </row>
    <row r="181" spans="1:26" ht="15.75" customHeight="1" x14ac:dyDescent="0.2">
      <c r="A181" s="6"/>
      <c r="B181" s="6"/>
      <c r="C181" s="6"/>
      <c r="D181" s="47"/>
      <c r="E181" s="6"/>
      <c r="F181" s="6"/>
      <c r="G181" s="16"/>
      <c r="H181" s="6"/>
      <c r="I181" s="6"/>
      <c r="J181" s="6"/>
      <c r="K181" s="6"/>
      <c r="L181" s="6"/>
      <c r="M181" s="6"/>
      <c r="N181" s="6"/>
      <c r="O181" s="6"/>
      <c r="P181" s="6"/>
      <c r="Q181" s="6"/>
      <c r="R181" s="6"/>
      <c r="S181" s="6"/>
      <c r="T181" s="6"/>
      <c r="U181" s="6"/>
      <c r="V181" s="6"/>
      <c r="W181" s="6"/>
      <c r="X181" s="6"/>
      <c r="Y181" s="6"/>
      <c r="Z181" s="6"/>
    </row>
    <row r="182" spans="1:26" ht="15.75" customHeight="1" x14ac:dyDescent="0.2">
      <c r="A182" s="6"/>
      <c r="B182" s="6"/>
      <c r="C182" s="6"/>
      <c r="D182" s="47"/>
      <c r="E182" s="6"/>
      <c r="F182" s="6"/>
      <c r="G182" s="6"/>
      <c r="H182" s="6"/>
      <c r="I182" s="6"/>
      <c r="J182" s="6"/>
      <c r="K182" s="6"/>
      <c r="L182" s="6"/>
      <c r="M182" s="6"/>
      <c r="N182" s="6"/>
      <c r="O182" s="6"/>
      <c r="P182" s="6"/>
      <c r="Q182" s="6"/>
      <c r="R182" s="6"/>
      <c r="S182" s="6"/>
      <c r="T182" s="6"/>
      <c r="U182" s="6"/>
      <c r="V182" s="6"/>
      <c r="W182" s="6"/>
      <c r="X182" s="6"/>
      <c r="Y182" s="6"/>
      <c r="Z182" s="6"/>
    </row>
    <row r="183" spans="1:26" ht="15.75" customHeight="1" x14ac:dyDescent="0.2">
      <c r="A183" s="6"/>
      <c r="B183" s="6"/>
      <c r="C183" s="6"/>
      <c r="D183" s="47"/>
      <c r="E183" s="6"/>
      <c r="F183" s="6"/>
      <c r="G183" s="6"/>
      <c r="H183" s="6"/>
      <c r="I183" s="6"/>
      <c r="J183" s="6"/>
      <c r="K183" s="6"/>
      <c r="L183" s="6"/>
      <c r="M183" s="6"/>
      <c r="N183" s="6"/>
      <c r="O183" s="6"/>
      <c r="P183" s="6"/>
      <c r="Q183" s="6"/>
      <c r="R183" s="6"/>
      <c r="S183" s="6"/>
      <c r="T183" s="6"/>
      <c r="U183" s="6"/>
      <c r="V183" s="6"/>
      <c r="W183" s="6"/>
      <c r="X183" s="6"/>
      <c r="Y183" s="6"/>
      <c r="Z183" s="6"/>
    </row>
    <row r="184" spans="1:26" ht="15.75" customHeight="1" x14ac:dyDescent="0.2">
      <c r="A184" s="6"/>
      <c r="B184" s="6"/>
      <c r="C184" s="6"/>
      <c r="D184" s="47"/>
      <c r="E184" s="6"/>
      <c r="F184" s="6"/>
      <c r="G184" s="6"/>
      <c r="H184" s="6"/>
      <c r="I184" s="6"/>
      <c r="J184" s="6"/>
      <c r="K184" s="6"/>
      <c r="L184" s="6"/>
      <c r="M184" s="6"/>
      <c r="N184" s="6"/>
      <c r="O184" s="6"/>
      <c r="P184" s="6"/>
      <c r="Q184" s="6"/>
      <c r="R184" s="6"/>
      <c r="S184" s="6"/>
      <c r="T184" s="6"/>
      <c r="U184" s="6"/>
      <c r="V184" s="6"/>
      <c r="W184" s="6"/>
      <c r="X184" s="6"/>
      <c r="Y184" s="6"/>
      <c r="Z184" s="6"/>
    </row>
    <row r="185" spans="1:26" ht="15.75" customHeight="1" x14ac:dyDescent="0.2">
      <c r="A185" s="6"/>
      <c r="B185" s="6"/>
      <c r="C185" s="6"/>
      <c r="D185" s="47"/>
      <c r="E185" s="6"/>
      <c r="F185" s="6"/>
      <c r="G185" s="16"/>
      <c r="H185" s="6"/>
      <c r="I185" s="6"/>
      <c r="J185" s="6"/>
      <c r="K185" s="6"/>
      <c r="L185" s="6"/>
      <c r="M185" s="6"/>
      <c r="N185" s="6"/>
      <c r="O185" s="6"/>
      <c r="P185" s="6"/>
      <c r="Q185" s="6"/>
      <c r="R185" s="6"/>
      <c r="S185" s="6"/>
      <c r="T185" s="6"/>
      <c r="U185" s="6"/>
      <c r="V185" s="6"/>
      <c r="W185" s="6"/>
      <c r="X185" s="6"/>
      <c r="Y185" s="6"/>
      <c r="Z185" s="6"/>
    </row>
    <row r="186" spans="1:26" ht="15.75" customHeight="1" x14ac:dyDescent="0.2">
      <c r="A186" s="6"/>
      <c r="B186" s="6"/>
      <c r="C186" s="6"/>
      <c r="D186" s="47"/>
      <c r="E186" s="6"/>
      <c r="F186" s="6"/>
      <c r="G186" s="6"/>
      <c r="H186" s="6"/>
      <c r="I186" s="6"/>
      <c r="J186" s="6"/>
      <c r="K186" s="6"/>
      <c r="L186" s="6"/>
      <c r="M186" s="6"/>
      <c r="N186" s="6"/>
      <c r="O186" s="6"/>
      <c r="P186" s="6"/>
      <c r="Q186" s="6"/>
      <c r="R186" s="6"/>
      <c r="S186" s="6"/>
      <c r="T186" s="6"/>
      <c r="U186" s="6"/>
      <c r="V186" s="6"/>
      <c r="W186" s="6"/>
      <c r="X186" s="6"/>
      <c r="Y186" s="6"/>
      <c r="Z186" s="6"/>
    </row>
    <row r="187" spans="1:26" ht="15.75" customHeight="1" x14ac:dyDescent="0.2">
      <c r="A187" s="6"/>
      <c r="B187" s="6"/>
      <c r="C187" s="6"/>
      <c r="D187" s="47"/>
      <c r="E187" s="6"/>
      <c r="F187" s="6"/>
      <c r="G187" s="6"/>
      <c r="H187" s="6"/>
      <c r="I187" s="6"/>
      <c r="J187" s="6"/>
      <c r="K187" s="6"/>
      <c r="L187" s="6"/>
      <c r="M187" s="6"/>
      <c r="N187" s="6"/>
      <c r="O187" s="6"/>
      <c r="P187" s="6"/>
      <c r="Q187" s="6"/>
      <c r="R187" s="6"/>
      <c r="S187" s="6"/>
      <c r="T187" s="6"/>
      <c r="U187" s="6"/>
      <c r="V187" s="6"/>
      <c r="W187" s="6"/>
      <c r="X187" s="6"/>
      <c r="Y187" s="6"/>
      <c r="Z187" s="6"/>
    </row>
    <row r="188" spans="1:26" ht="15.75" customHeight="1" x14ac:dyDescent="0.2">
      <c r="A188" s="6"/>
      <c r="B188" s="6"/>
      <c r="C188" s="6"/>
      <c r="D188" s="47"/>
      <c r="E188" s="6"/>
      <c r="F188" s="6"/>
      <c r="G188" s="6"/>
      <c r="H188" s="6"/>
      <c r="I188" s="6"/>
      <c r="J188" s="6"/>
      <c r="K188" s="6"/>
      <c r="L188" s="6"/>
      <c r="M188" s="6"/>
      <c r="N188" s="6"/>
      <c r="O188" s="6"/>
      <c r="P188" s="6"/>
      <c r="Q188" s="6"/>
      <c r="R188" s="6"/>
      <c r="S188" s="6"/>
      <c r="T188" s="6"/>
      <c r="U188" s="6"/>
      <c r="V188" s="6"/>
      <c r="W188" s="6"/>
      <c r="X188" s="6"/>
      <c r="Y188" s="6"/>
      <c r="Z188" s="6"/>
    </row>
    <row r="189" spans="1:26" ht="15.75" customHeight="1" x14ac:dyDescent="0.2">
      <c r="A189" s="6"/>
      <c r="B189" s="6"/>
      <c r="C189" s="6"/>
      <c r="D189" s="47"/>
      <c r="E189" s="6"/>
      <c r="F189" s="6"/>
      <c r="G189" s="16"/>
      <c r="H189" s="6"/>
      <c r="I189" s="6"/>
      <c r="J189" s="6"/>
      <c r="K189" s="6"/>
      <c r="L189" s="6"/>
      <c r="M189" s="6"/>
      <c r="N189" s="6"/>
      <c r="O189" s="6"/>
      <c r="P189" s="6"/>
      <c r="Q189" s="6"/>
      <c r="R189" s="6"/>
      <c r="S189" s="6"/>
      <c r="T189" s="6"/>
      <c r="U189" s="6"/>
      <c r="V189" s="6"/>
      <c r="W189" s="6"/>
      <c r="X189" s="6"/>
      <c r="Y189" s="6"/>
      <c r="Z189" s="6"/>
    </row>
    <row r="190" spans="1:26" ht="15.75" customHeight="1" x14ac:dyDescent="0.2">
      <c r="A190" s="6"/>
      <c r="B190" s="6"/>
      <c r="C190" s="6"/>
      <c r="D190" s="47"/>
      <c r="E190" s="6"/>
      <c r="F190" s="6"/>
      <c r="G190" s="6"/>
      <c r="H190" s="6"/>
      <c r="I190" s="6"/>
      <c r="J190" s="6"/>
      <c r="K190" s="6"/>
      <c r="L190" s="6"/>
      <c r="M190" s="6"/>
      <c r="N190" s="6"/>
      <c r="O190" s="6"/>
      <c r="P190" s="6"/>
      <c r="Q190" s="6"/>
      <c r="R190" s="6"/>
      <c r="S190" s="6"/>
      <c r="T190" s="6"/>
      <c r="U190" s="6"/>
      <c r="V190" s="6"/>
      <c r="W190" s="6"/>
      <c r="X190" s="6"/>
      <c r="Y190" s="6"/>
      <c r="Z190" s="6"/>
    </row>
    <row r="191" spans="1:26" ht="15.75" customHeight="1" x14ac:dyDescent="0.2">
      <c r="A191" s="6"/>
      <c r="B191" s="6"/>
      <c r="C191" s="6"/>
      <c r="D191" s="47"/>
      <c r="E191" s="6"/>
      <c r="F191" s="6"/>
      <c r="G191" s="6"/>
      <c r="H191" s="6"/>
      <c r="I191" s="6"/>
      <c r="J191" s="6"/>
      <c r="K191" s="6"/>
      <c r="L191" s="6"/>
      <c r="M191" s="6"/>
      <c r="N191" s="6"/>
      <c r="O191" s="6"/>
      <c r="P191" s="6"/>
      <c r="Q191" s="6"/>
      <c r="R191" s="6"/>
      <c r="S191" s="6"/>
      <c r="T191" s="6"/>
      <c r="U191" s="6"/>
      <c r="V191" s="6"/>
      <c r="W191" s="6"/>
      <c r="X191" s="6"/>
      <c r="Y191" s="6"/>
      <c r="Z191" s="6"/>
    </row>
    <row r="192" spans="1:26" ht="15.75" customHeight="1" x14ac:dyDescent="0.2">
      <c r="A192" s="6"/>
      <c r="B192" s="6"/>
      <c r="C192" s="6"/>
      <c r="D192" s="47"/>
      <c r="E192" s="6"/>
      <c r="F192" s="6"/>
      <c r="G192" s="6"/>
      <c r="H192" s="6"/>
      <c r="I192" s="6"/>
      <c r="J192" s="6"/>
      <c r="K192" s="6"/>
      <c r="L192" s="6"/>
      <c r="M192" s="6"/>
      <c r="N192" s="6"/>
      <c r="O192" s="6"/>
      <c r="P192" s="6"/>
      <c r="Q192" s="6"/>
      <c r="R192" s="6"/>
      <c r="S192" s="6"/>
      <c r="T192" s="6"/>
      <c r="U192" s="6"/>
      <c r="V192" s="6"/>
      <c r="W192" s="6"/>
      <c r="X192" s="6"/>
      <c r="Y192" s="6"/>
      <c r="Z192" s="6"/>
    </row>
    <row r="193" spans="1:26" ht="15.75" customHeight="1" x14ac:dyDescent="0.2">
      <c r="A193" s="6"/>
      <c r="B193" s="6"/>
      <c r="C193" s="6"/>
      <c r="D193" s="47"/>
      <c r="E193" s="6"/>
      <c r="F193" s="6"/>
      <c r="G193" s="16"/>
      <c r="H193" s="6"/>
      <c r="I193" s="6"/>
      <c r="J193" s="6"/>
      <c r="K193" s="6"/>
      <c r="L193" s="6"/>
      <c r="M193" s="6"/>
      <c r="N193" s="6"/>
      <c r="O193" s="6"/>
      <c r="P193" s="6"/>
      <c r="Q193" s="6"/>
      <c r="R193" s="6"/>
      <c r="S193" s="6"/>
      <c r="T193" s="6"/>
      <c r="U193" s="6"/>
      <c r="V193" s="6"/>
      <c r="W193" s="6"/>
      <c r="X193" s="6"/>
      <c r="Y193" s="6"/>
      <c r="Z193" s="6"/>
    </row>
    <row r="194" spans="1:26" ht="15.75" customHeight="1" x14ac:dyDescent="0.2">
      <c r="A194" s="6"/>
      <c r="B194" s="6"/>
      <c r="C194" s="6"/>
      <c r="D194" s="47"/>
      <c r="E194" s="6"/>
      <c r="F194" s="6"/>
      <c r="G194" s="6"/>
      <c r="H194" s="6"/>
      <c r="I194" s="6"/>
      <c r="J194" s="6"/>
      <c r="K194" s="6"/>
      <c r="L194" s="6"/>
      <c r="M194" s="6"/>
      <c r="N194" s="6"/>
      <c r="O194" s="6"/>
      <c r="P194" s="6"/>
      <c r="Q194" s="6"/>
      <c r="R194" s="6"/>
      <c r="S194" s="6"/>
      <c r="T194" s="6"/>
      <c r="U194" s="6"/>
      <c r="V194" s="6"/>
      <c r="W194" s="6"/>
      <c r="X194" s="6"/>
      <c r="Y194" s="6"/>
      <c r="Z194" s="6"/>
    </row>
    <row r="195" spans="1:26" ht="15.75" customHeight="1" x14ac:dyDescent="0.2">
      <c r="A195" s="6"/>
      <c r="B195" s="6"/>
      <c r="C195" s="6"/>
      <c r="D195" s="47"/>
      <c r="E195" s="6"/>
      <c r="F195" s="6"/>
      <c r="G195" s="6"/>
      <c r="H195" s="6"/>
      <c r="I195" s="6"/>
      <c r="J195" s="6"/>
      <c r="K195" s="6"/>
      <c r="L195" s="6"/>
      <c r="M195" s="6"/>
      <c r="N195" s="6"/>
      <c r="O195" s="6"/>
      <c r="P195" s="6"/>
      <c r="Q195" s="6"/>
      <c r="R195" s="6"/>
      <c r="S195" s="6"/>
      <c r="T195" s="6"/>
      <c r="U195" s="6"/>
      <c r="V195" s="6"/>
      <c r="W195" s="6"/>
      <c r="X195" s="6"/>
      <c r="Y195" s="6"/>
      <c r="Z195" s="6"/>
    </row>
    <row r="196" spans="1:26" ht="15.75" customHeight="1" x14ac:dyDescent="0.2">
      <c r="A196" s="6"/>
      <c r="B196" s="6"/>
      <c r="C196" s="6"/>
      <c r="D196" s="47"/>
      <c r="E196" s="6"/>
      <c r="F196" s="6"/>
      <c r="G196" s="6"/>
      <c r="H196" s="6"/>
      <c r="I196" s="6"/>
      <c r="J196" s="6"/>
      <c r="K196" s="6"/>
      <c r="L196" s="6"/>
      <c r="M196" s="6"/>
      <c r="N196" s="6"/>
      <c r="O196" s="6"/>
      <c r="P196" s="6"/>
      <c r="Q196" s="6"/>
      <c r="R196" s="6"/>
      <c r="S196" s="6"/>
      <c r="T196" s="6"/>
      <c r="U196" s="6"/>
      <c r="V196" s="6"/>
      <c r="W196" s="6"/>
      <c r="X196" s="6"/>
      <c r="Y196" s="6"/>
      <c r="Z196" s="6"/>
    </row>
    <row r="197" spans="1:26" ht="15.75" customHeight="1" x14ac:dyDescent="0.2">
      <c r="A197" s="6"/>
      <c r="B197" s="6"/>
      <c r="C197" s="6"/>
      <c r="D197" s="47"/>
      <c r="E197" s="6"/>
      <c r="F197" s="6"/>
      <c r="G197" s="16"/>
      <c r="H197" s="6"/>
      <c r="I197" s="6"/>
      <c r="J197" s="6"/>
      <c r="K197" s="6"/>
      <c r="L197" s="6"/>
      <c r="M197" s="6"/>
      <c r="N197" s="6"/>
      <c r="O197" s="6"/>
      <c r="P197" s="6"/>
      <c r="Q197" s="6"/>
      <c r="R197" s="6"/>
      <c r="S197" s="6"/>
      <c r="T197" s="6"/>
      <c r="U197" s="6"/>
      <c r="V197" s="6"/>
      <c r="W197" s="6"/>
      <c r="X197" s="6"/>
      <c r="Y197" s="6"/>
      <c r="Z197" s="6"/>
    </row>
    <row r="198" spans="1:26" ht="15.75" customHeight="1" x14ac:dyDescent="0.2">
      <c r="A198" s="6"/>
      <c r="B198" s="6"/>
      <c r="C198" s="6"/>
      <c r="D198" s="47"/>
      <c r="E198" s="6"/>
      <c r="F198" s="6"/>
      <c r="G198" s="6"/>
      <c r="H198" s="6"/>
      <c r="I198" s="6"/>
      <c r="J198" s="6"/>
      <c r="K198" s="6"/>
      <c r="L198" s="6"/>
      <c r="M198" s="6"/>
      <c r="N198" s="6"/>
      <c r="O198" s="6"/>
      <c r="P198" s="6"/>
      <c r="Q198" s="6"/>
      <c r="R198" s="6"/>
      <c r="S198" s="6"/>
      <c r="T198" s="6"/>
      <c r="U198" s="6"/>
      <c r="V198" s="6"/>
      <c r="W198" s="6"/>
      <c r="X198" s="6"/>
      <c r="Y198" s="6"/>
      <c r="Z198" s="6"/>
    </row>
    <row r="199" spans="1:26" ht="15.75" customHeight="1" x14ac:dyDescent="0.2">
      <c r="A199" s="6"/>
      <c r="B199" s="6"/>
      <c r="C199" s="6"/>
      <c r="D199" s="47"/>
      <c r="E199" s="6"/>
      <c r="F199" s="6"/>
      <c r="G199" s="6"/>
      <c r="H199" s="6"/>
      <c r="I199" s="6"/>
      <c r="J199" s="6"/>
      <c r="K199" s="6"/>
      <c r="L199" s="6"/>
      <c r="M199" s="6"/>
      <c r="N199" s="6"/>
      <c r="O199" s="6"/>
      <c r="P199" s="6"/>
      <c r="Q199" s="6"/>
      <c r="R199" s="6"/>
      <c r="S199" s="6"/>
      <c r="T199" s="6"/>
      <c r="U199" s="6"/>
      <c r="V199" s="6"/>
      <c r="W199" s="6"/>
      <c r="X199" s="6"/>
      <c r="Y199" s="6"/>
      <c r="Z199" s="6"/>
    </row>
    <row r="200" spans="1:26" ht="15.75" customHeight="1" x14ac:dyDescent="0.2">
      <c r="A200" s="6"/>
      <c r="B200" s="6"/>
      <c r="C200" s="6"/>
      <c r="D200" s="47"/>
      <c r="E200" s="6"/>
      <c r="F200" s="6"/>
      <c r="G200" s="6"/>
      <c r="H200" s="6"/>
      <c r="I200" s="6"/>
      <c r="J200" s="6"/>
      <c r="K200" s="6"/>
      <c r="L200" s="6"/>
      <c r="M200" s="6"/>
      <c r="N200" s="6"/>
      <c r="O200" s="6"/>
      <c r="P200" s="6"/>
      <c r="Q200" s="6"/>
      <c r="R200" s="6"/>
      <c r="S200" s="6"/>
      <c r="T200" s="6"/>
      <c r="U200" s="6"/>
      <c r="V200" s="6"/>
      <c r="W200" s="6"/>
      <c r="X200" s="6"/>
      <c r="Y200" s="6"/>
      <c r="Z200" s="6"/>
    </row>
    <row r="201" spans="1:26" ht="15.75" customHeight="1" x14ac:dyDescent="0.2">
      <c r="A201" s="6"/>
      <c r="B201" s="6"/>
      <c r="C201" s="6"/>
      <c r="D201" s="47"/>
      <c r="E201" s="6"/>
      <c r="F201" s="6"/>
      <c r="G201" s="16"/>
      <c r="H201" s="6"/>
      <c r="I201" s="6"/>
      <c r="J201" s="6"/>
      <c r="K201" s="6"/>
      <c r="L201" s="6"/>
      <c r="M201" s="6"/>
      <c r="N201" s="6"/>
      <c r="O201" s="6"/>
      <c r="P201" s="6"/>
      <c r="Q201" s="6"/>
      <c r="R201" s="6"/>
      <c r="S201" s="6"/>
      <c r="T201" s="6"/>
      <c r="U201" s="6"/>
      <c r="V201" s="6"/>
      <c r="W201" s="6"/>
      <c r="X201" s="6"/>
      <c r="Y201" s="6"/>
      <c r="Z201" s="6"/>
    </row>
    <row r="202" spans="1:26" ht="15.75" customHeight="1" x14ac:dyDescent="0.2">
      <c r="A202" s="6"/>
      <c r="B202" s="6"/>
      <c r="C202" s="6"/>
      <c r="D202" s="47"/>
      <c r="E202" s="6"/>
      <c r="F202" s="6"/>
      <c r="G202" s="6"/>
      <c r="H202" s="6"/>
      <c r="I202" s="6"/>
      <c r="J202" s="6"/>
      <c r="K202" s="6"/>
      <c r="L202" s="6"/>
      <c r="M202" s="6"/>
      <c r="N202" s="6"/>
      <c r="O202" s="6"/>
      <c r="P202" s="6"/>
      <c r="Q202" s="6"/>
      <c r="R202" s="6"/>
      <c r="S202" s="6"/>
      <c r="T202" s="6"/>
      <c r="U202" s="6"/>
      <c r="V202" s="6"/>
      <c r="W202" s="6"/>
      <c r="X202" s="6"/>
      <c r="Y202" s="6"/>
      <c r="Z202" s="6"/>
    </row>
    <row r="203" spans="1:26" ht="15.75" customHeight="1" x14ac:dyDescent="0.2">
      <c r="A203" s="6"/>
      <c r="B203" s="6"/>
      <c r="C203" s="6"/>
      <c r="D203" s="47"/>
      <c r="E203" s="6"/>
      <c r="F203" s="6"/>
      <c r="G203" s="6"/>
      <c r="H203" s="6"/>
      <c r="I203" s="6"/>
      <c r="J203" s="6"/>
      <c r="K203" s="6"/>
      <c r="L203" s="6"/>
      <c r="M203" s="6"/>
      <c r="N203" s="6"/>
      <c r="O203" s="6"/>
      <c r="P203" s="6"/>
      <c r="Q203" s="6"/>
      <c r="R203" s="6"/>
      <c r="S203" s="6"/>
      <c r="T203" s="6"/>
      <c r="U203" s="6"/>
      <c r="V203" s="6"/>
      <c r="W203" s="6"/>
      <c r="X203" s="6"/>
      <c r="Y203" s="6"/>
      <c r="Z203" s="6"/>
    </row>
    <row r="204" spans="1:26" ht="15.75" customHeight="1" x14ac:dyDescent="0.2">
      <c r="A204" s="6"/>
      <c r="B204" s="6"/>
      <c r="C204" s="6"/>
      <c r="D204" s="47"/>
      <c r="E204" s="6"/>
      <c r="F204" s="6"/>
      <c r="G204" s="6"/>
      <c r="H204" s="6"/>
      <c r="I204" s="6"/>
      <c r="J204" s="6"/>
      <c r="K204" s="6"/>
      <c r="L204" s="6"/>
      <c r="M204" s="6"/>
      <c r="N204" s="6"/>
      <c r="O204" s="6"/>
      <c r="P204" s="6"/>
      <c r="Q204" s="6"/>
      <c r="R204" s="6"/>
      <c r="S204" s="6"/>
      <c r="T204" s="6"/>
      <c r="U204" s="6"/>
      <c r="V204" s="6"/>
      <c r="W204" s="6"/>
      <c r="X204" s="6"/>
      <c r="Y204" s="6"/>
      <c r="Z204" s="6"/>
    </row>
    <row r="205" spans="1:26" ht="15.75" customHeight="1" x14ac:dyDescent="0.2">
      <c r="A205" s="6"/>
      <c r="B205" s="6"/>
      <c r="C205" s="6"/>
      <c r="D205" s="47"/>
      <c r="E205" s="6"/>
      <c r="F205" s="6"/>
      <c r="G205" s="16"/>
      <c r="H205" s="6"/>
      <c r="I205" s="6"/>
      <c r="J205" s="6"/>
      <c r="K205" s="6"/>
      <c r="L205" s="6"/>
      <c r="M205" s="6"/>
      <c r="N205" s="6"/>
      <c r="O205" s="6"/>
      <c r="P205" s="6"/>
      <c r="Q205" s="6"/>
      <c r="R205" s="6"/>
      <c r="S205" s="6"/>
      <c r="T205" s="6"/>
      <c r="U205" s="6"/>
      <c r="V205" s="6"/>
      <c r="W205" s="6"/>
      <c r="X205" s="6"/>
      <c r="Y205" s="6"/>
      <c r="Z205" s="6"/>
    </row>
    <row r="206" spans="1:26" ht="15.75" customHeight="1" x14ac:dyDescent="0.2">
      <c r="A206" s="6"/>
      <c r="B206" s="6"/>
      <c r="C206" s="6"/>
      <c r="D206" s="47"/>
      <c r="E206" s="6"/>
      <c r="F206" s="6"/>
      <c r="G206" s="6"/>
      <c r="H206" s="6"/>
      <c r="I206" s="6"/>
      <c r="J206" s="6"/>
      <c r="K206" s="6"/>
      <c r="L206" s="6"/>
      <c r="M206" s="6"/>
      <c r="N206" s="6"/>
      <c r="O206" s="6"/>
      <c r="P206" s="6"/>
      <c r="Q206" s="6"/>
      <c r="R206" s="6"/>
      <c r="S206" s="6"/>
      <c r="T206" s="6"/>
      <c r="U206" s="6"/>
      <c r="V206" s="6"/>
      <c r="W206" s="6"/>
      <c r="X206" s="6"/>
      <c r="Y206" s="6"/>
      <c r="Z206" s="6"/>
    </row>
    <row r="207" spans="1:26" ht="15.75" customHeight="1" x14ac:dyDescent="0.2">
      <c r="A207" s="6"/>
      <c r="B207" s="6"/>
      <c r="C207" s="6"/>
      <c r="D207" s="47"/>
      <c r="E207" s="6"/>
      <c r="F207" s="6"/>
      <c r="G207" s="6"/>
      <c r="H207" s="6"/>
      <c r="I207" s="6"/>
      <c r="J207" s="6"/>
      <c r="K207" s="6"/>
      <c r="L207" s="6"/>
      <c r="M207" s="6"/>
      <c r="N207" s="6"/>
      <c r="O207" s="6"/>
      <c r="P207" s="6"/>
      <c r="Q207" s="6"/>
      <c r="R207" s="6"/>
      <c r="S207" s="6"/>
      <c r="T207" s="6"/>
      <c r="U207" s="6"/>
      <c r="V207" s="6"/>
      <c r="W207" s="6"/>
      <c r="X207" s="6"/>
      <c r="Y207" s="6"/>
      <c r="Z207" s="6"/>
    </row>
    <row r="208" spans="1:26" ht="15.75" customHeight="1" x14ac:dyDescent="0.2">
      <c r="A208" s="6"/>
      <c r="B208" s="6"/>
      <c r="C208" s="6"/>
      <c r="D208" s="47"/>
      <c r="E208" s="6"/>
      <c r="F208" s="6"/>
      <c r="G208" s="6"/>
      <c r="H208" s="6"/>
      <c r="I208" s="6"/>
      <c r="J208" s="6"/>
      <c r="K208" s="6"/>
      <c r="L208" s="6"/>
      <c r="M208" s="6"/>
      <c r="N208" s="6"/>
      <c r="O208" s="6"/>
      <c r="P208" s="6"/>
      <c r="Q208" s="6"/>
      <c r="R208" s="6"/>
      <c r="S208" s="6"/>
      <c r="T208" s="6"/>
      <c r="U208" s="6"/>
      <c r="V208" s="6"/>
      <c r="W208" s="6"/>
      <c r="X208" s="6"/>
      <c r="Y208" s="6"/>
      <c r="Z208" s="6"/>
    </row>
    <row r="209" spans="1:26" ht="15.75" customHeight="1" x14ac:dyDescent="0.2">
      <c r="A209" s="6"/>
      <c r="B209" s="6"/>
      <c r="C209" s="6"/>
      <c r="D209" s="47"/>
      <c r="E209" s="6"/>
      <c r="F209" s="6"/>
      <c r="G209" s="16"/>
      <c r="H209" s="6"/>
      <c r="I209" s="6"/>
      <c r="J209" s="6"/>
      <c r="K209" s="6"/>
      <c r="L209" s="6"/>
      <c r="M209" s="6"/>
      <c r="N209" s="6"/>
      <c r="O209" s="6"/>
      <c r="P209" s="6"/>
      <c r="Q209" s="6"/>
      <c r="R209" s="6"/>
      <c r="S209" s="6"/>
      <c r="T209" s="6"/>
      <c r="U209" s="6"/>
      <c r="V209" s="6"/>
      <c r="W209" s="6"/>
      <c r="X209" s="6"/>
      <c r="Y209" s="6"/>
      <c r="Z209" s="6"/>
    </row>
    <row r="210" spans="1:26" ht="15.75" customHeight="1" x14ac:dyDescent="0.2">
      <c r="A210" s="6"/>
      <c r="B210" s="6"/>
      <c r="C210" s="6"/>
      <c r="D210" s="47"/>
      <c r="E210" s="6"/>
      <c r="F210" s="6"/>
      <c r="G210" s="6"/>
      <c r="H210" s="6"/>
      <c r="I210" s="6"/>
      <c r="J210" s="6"/>
      <c r="K210" s="6"/>
      <c r="L210" s="6"/>
      <c r="M210" s="6"/>
      <c r="N210" s="6"/>
      <c r="O210" s="6"/>
      <c r="P210" s="6"/>
      <c r="Q210" s="6"/>
      <c r="R210" s="6"/>
      <c r="S210" s="6"/>
      <c r="T210" s="6"/>
      <c r="U210" s="6"/>
      <c r="V210" s="6"/>
      <c r="W210" s="6"/>
      <c r="X210" s="6"/>
      <c r="Y210" s="6"/>
      <c r="Z210" s="6"/>
    </row>
    <row r="211" spans="1:26" ht="15.75" customHeight="1" x14ac:dyDescent="0.2">
      <c r="A211" s="6"/>
      <c r="B211" s="6"/>
      <c r="C211" s="6"/>
      <c r="D211" s="47"/>
      <c r="E211" s="6"/>
      <c r="F211" s="6"/>
      <c r="G211" s="6"/>
      <c r="H211" s="6"/>
      <c r="I211" s="6"/>
      <c r="J211" s="6"/>
      <c r="K211" s="6"/>
      <c r="L211" s="6"/>
      <c r="M211" s="6"/>
      <c r="N211" s="6"/>
      <c r="O211" s="6"/>
      <c r="P211" s="6"/>
      <c r="Q211" s="6"/>
      <c r="R211" s="6"/>
      <c r="S211" s="6"/>
      <c r="T211" s="6"/>
      <c r="U211" s="6"/>
      <c r="V211" s="6"/>
      <c r="W211" s="6"/>
      <c r="X211" s="6"/>
      <c r="Y211" s="6"/>
      <c r="Z211" s="6"/>
    </row>
    <row r="212" spans="1:26" ht="15.75" customHeight="1" x14ac:dyDescent="0.2">
      <c r="A212" s="6"/>
      <c r="B212" s="6"/>
      <c r="C212" s="6"/>
      <c r="D212" s="47"/>
      <c r="E212" s="6"/>
      <c r="F212" s="6"/>
      <c r="G212" s="6"/>
      <c r="H212" s="6"/>
      <c r="I212" s="6"/>
      <c r="J212" s="6"/>
      <c r="K212" s="6"/>
      <c r="L212" s="6"/>
      <c r="M212" s="6"/>
      <c r="N212" s="6"/>
      <c r="O212" s="6"/>
      <c r="P212" s="6"/>
      <c r="Q212" s="6"/>
      <c r="R212" s="6"/>
      <c r="S212" s="6"/>
      <c r="T212" s="6"/>
      <c r="U212" s="6"/>
      <c r="V212" s="6"/>
      <c r="W212" s="6"/>
      <c r="X212" s="6"/>
      <c r="Y212" s="6"/>
      <c r="Z212" s="6"/>
    </row>
    <row r="213" spans="1:26" ht="15.75" customHeight="1" x14ac:dyDescent="0.2">
      <c r="A213" s="6"/>
      <c r="B213" s="6"/>
      <c r="C213" s="6"/>
      <c r="D213" s="47"/>
      <c r="E213" s="6"/>
      <c r="F213" s="6"/>
      <c r="G213" s="16"/>
      <c r="H213" s="6"/>
      <c r="I213" s="6"/>
      <c r="J213" s="6"/>
      <c r="K213" s="6"/>
      <c r="L213" s="6"/>
      <c r="M213" s="6"/>
      <c r="N213" s="6"/>
      <c r="O213" s="6"/>
      <c r="P213" s="6"/>
      <c r="Q213" s="6"/>
      <c r="R213" s="6"/>
      <c r="S213" s="6"/>
      <c r="T213" s="6"/>
      <c r="U213" s="6"/>
      <c r="V213" s="6"/>
      <c r="W213" s="6"/>
      <c r="X213" s="6"/>
      <c r="Y213" s="6"/>
      <c r="Z213" s="6"/>
    </row>
    <row r="214" spans="1:26" ht="15.75" customHeight="1" x14ac:dyDescent="0.2">
      <c r="A214" s="6"/>
      <c r="B214" s="6"/>
      <c r="C214" s="6"/>
      <c r="D214" s="47"/>
      <c r="E214" s="6"/>
      <c r="F214" s="6"/>
      <c r="G214" s="6"/>
      <c r="H214" s="6"/>
      <c r="I214" s="6"/>
      <c r="J214" s="6"/>
      <c r="K214" s="6"/>
      <c r="L214" s="6"/>
      <c r="M214" s="6"/>
      <c r="N214" s="6"/>
      <c r="O214" s="6"/>
      <c r="P214" s="6"/>
      <c r="Q214" s="6"/>
      <c r="R214" s="6"/>
      <c r="S214" s="6"/>
      <c r="T214" s="6"/>
      <c r="U214" s="6"/>
      <c r="V214" s="6"/>
      <c r="W214" s="6"/>
      <c r="X214" s="6"/>
      <c r="Y214" s="6"/>
      <c r="Z214" s="6"/>
    </row>
    <row r="215" spans="1:26" ht="15.75" customHeight="1" x14ac:dyDescent="0.2">
      <c r="A215" s="6"/>
      <c r="B215" s="6"/>
      <c r="C215" s="6"/>
      <c r="D215" s="47"/>
      <c r="E215" s="6"/>
      <c r="F215" s="6"/>
      <c r="G215" s="6"/>
      <c r="H215" s="6"/>
      <c r="I215" s="6"/>
      <c r="J215" s="6"/>
      <c r="K215" s="6"/>
      <c r="L215" s="6"/>
      <c r="M215" s="6"/>
      <c r="N215" s="6"/>
      <c r="O215" s="6"/>
      <c r="P215" s="6"/>
      <c r="Q215" s="6"/>
      <c r="R215" s="6"/>
      <c r="S215" s="6"/>
      <c r="T215" s="6"/>
      <c r="U215" s="6"/>
      <c r="V215" s="6"/>
      <c r="W215" s="6"/>
      <c r="X215" s="6"/>
      <c r="Y215" s="6"/>
      <c r="Z215" s="6"/>
    </row>
    <row r="216" spans="1:26" ht="15.75" customHeight="1" x14ac:dyDescent="0.2">
      <c r="A216" s="6"/>
      <c r="B216" s="6"/>
      <c r="C216" s="6"/>
      <c r="D216" s="47"/>
      <c r="E216" s="6"/>
      <c r="F216" s="6"/>
      <c r="G216" s="6"/>
      <c r="H216" s="6"/>
      <c r="I216" s="6"/>
      <c r="J216" s="6"/>
      <c r="K216" s="6"/>
      <c r="L216" s="6"/>
      <c r="M216" s="6"/>
      <c r="N216" s="6"/>
      <c r="O216" s="6"/>
      <c r="P216" s="6"/>
      <c r="Q216" s="6"/>
      <c r="R216" s="6"/>
      <c r="S216" s="6"/>
      <c r="T216" s="6"/>
      <c r="U216" s="6"/>
      <c r="V216" s="6"/>
      <c r="W216" s="6"/>
      <c r="X216" s="6"/>
      <c r="Y216" s="6"/>
      <c r="Z216" s="6"/>
    </row>
    <row r="217" spans="1:26" ht="15.75" customHeight="1" x14ac:dyDescent="0.2">
      <c r="A217" s="6"/>
      <c r="B217" s="6"/>
      <c r="C217" s="6"/>
      <c r="D217" s="47"/>
      <c r="E217" s="6"/>
      <c r="F217" s="6"/>
      <c r="G217" s="16"/>
      <c r="H217" s="6"/>
      <c r="I217" s="6"/>
      <c r="J217" s="6"/>
      <c r="K217" s="6"/>
      <c r="L217" s="6"/>
      <c r="M217" s="6"/>
      <c r="N217" s="6"/>
      <c r="O217" s="6"/>
      <c r="P217" s="6"/>
      <c r="Q217" s="6"/>
      <c r="R217" s="6"/>
      <c r="S217" s="6"/>
      <c r="T217" s="6"/>
      <c r="U217" s="6"/>
      <c r="V217" s="6"/>
      <c r="W217" s="6"/>
      <c r="X217" s="6"/>
      <c r="Y217" s="6"/>
      <c r="Z217" s="6"/>
    </row>
    <row r="218" spans="1:26" ht="15.75" customHeight="1" x14ac:dyDescent="0.2">
      <c r="A218" s="6"/>
      <c r="B218" s="6"/>
      <c r="C218" s="6"/>
      <c r="D218" s="47"/>
      <c r="E218" s="6"/>
      <c r="F218" s="6"/>
      <c r="G218" s="6"/>
      <c r="H218" s="6"/>
      <c r="I218" s="6"/>
      <c r="J218" s="6"/>
      <c r="K218" s="6"/>
      <c r="L218" s="6"/>
      <c r="M218" s="6"/>
      <c r="N218" s="6"/>
      <c r="O218" s="6"/>
      <c r="P218" s="6"/>
      <c r="Q218" s="6"/>
      <c r="R218" s="6"/>
      <c r="S218" s="6"/>
      <c r="T218" s="6"/>
      <c r="U218" s="6"/>
      <c r="V218" s="6"/>
      <c r="W218" s="6"/>
      <c r="X218" s="6"/>
      <c r="Y218" s="6"/>
      <c r="Z218" s="6"/>
    </row>
    <row r="219" spans="1:26" ht="15.75" customHeight="1" x14ac:dyDescent="0.2">
      <c r="A219" s="6"/>
      <c r="B219" s="6"/>
      <c r="C219" s="6"/>
      <c r="D219" s="47"/>
      <c r="E219" s="6"/>
      <c r="F219" s="6"/>
      <c r="G219" s="6"/>
      <c r="H219" s="6"/>
      <c r="I219" s="6"/>
      <c r="J219" s="6"/>
      <c r="K219" s="6"/>
      <c r="L219" s="6"/>
      <c r="M219" s="6"/>
      <c r="N219" s="6"/>
      <c r="O219" s="6"/>
      <c r="P219" s="6"/>
      <c r="Q219" s="6"/>
      <c r="R219" s="6"/>
      <c r="S219" s="6"/>
      <c r="T219" s="6"/>
      <c r="U219" s="6"/>
      <c r="V219" s="6"/>
      <c r="W219" s="6"/>
      <c r="X219" s="6"/>
      <c r="Y219" s="6"/>
      <c r="Z219" s="6"/>
    </row>
    <row r="220" spans="1:26" ht="15.75" customHeight="1" x14ac:dyDescent="0.2">
      <c r="A220" s="6"/>
      <c r="B220" s="6"/>
      <c r="C220" s="6"/>
      <c r="D220" s="47"/>
      <c r="E220" s="6"/>
      <c r="F220" s="6"/>
      <c r="G220" s="6"/>
      <c r="H220" s="6"/>
      <c r="I220" s="6"/>
      <c r="J220" s="6"/>
      <c r="K220" s="6"/>
      <c r="L220" s="6"/>
      <c r="M220" s="6"/>
      <c r="N220" s="6"/>
      <c r="O220" s="6"/>
      <c r="P220" s="6"/>
      <c r="Q220" s="6"/>
      <c r="R220" s="6"/>
      <c r="S220" s="6"/>
      <c r="T220" s="6"/>
      <c r="U220" s="6"/>
      <c r="V220" s="6"/>
      <c r="W220" s="6"/>
      <c r="X220" s="6"/>
      <c r="Y220" s="6"/>
      <c r="Z220" s="6"/>
    </row>
    <row r="221" spans="1:26" ht="15.75" customHeight="1" x14ac:dyDescent="0.2"/>
    <row r="222" spans="1:26" ht="15.75" customHeight="1" x14ac:dyDescent="0.2"/>
    <row r="223" spans="1:26" ht="15.75" customHeight="1" x14ac:dyDescent="0.2"/>
    <row r="224" spans="1:26"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5">
    <mergeCell ref="B4:C4"/>
    <mergeCell ref="B5:C5"/>
    <mergeCell ref="B9:C9"/>
    <mergeCell ref="B10:C10"/>
    <mergeCell ref="B13:C1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A1000"/>
  <sheetViews>
    <sheetView workbookViewId="0"/>
  </sheetViews>
  <sheetFormatPr defaultColWidth="12.5703125" defaultRowHeight="15" customHeight="1" x14ac:dyDescent="0.2"/>
  <cols>
    <col min="1" max="1" width="12.5703125" customWidth="1"/>
    <col min="2" max="2" width="26.5703125" customWidth="1"/>
    <col min="3" max="3" width="12.5703125" hidden="1" customWidth="1"/>
    <col min="4" max="6" width="12.5703125" customWidth="1"/>
    <col min="8" max="8" width="32.7109375" customWidth="1"/>
    <col min="9" max="9" width="12.5703125" hidden="1" customWidth="1"/>
  </cols>
  <sheetData>
    <row r="1" spans="1:27" ht="15.75" customHeight="1" x14ac:dyDescent="0.2">
      <c r="A1" s="48"/>
      <c r="B1" s="48"/>
      <c r="C1" s="48"/>
      <c r="D1" s="48"/>
      <c r="E1" s="48"/>
      <c r="F1" s="48"/>
      <c r="G1" s="48"/>
      <c r="H1" s="48"/>
      <c r="I1" s="48"/>
      <c r="J1" s="48"/>
      <c r="K1" s="48"/>
      <c r="L1" s="48"/>
      <c r="M1" s="48"/>
      <c r="N1" s="48"/>
      <c r="O1" s="48"/>
      <c r="P1" s="48"/>
      <c r="Q1" s="48"/>
      <c r="R1" s="48"/>
      <c r="S1" s="48"/>
      <c r="T1" s="48"/>
      <c r="U1" s="48"/>
      <c r="V1" s="48"/>
      <c r="W1" s="48"/>
      <c r="X1" s="48"/>
      <c r="Y1" s="48"/>
      <c r="Z1" s="48"/>
      <c r="AA1" s="48"/>
    </row>
    <row r="2" spans="1:27" ht="15.75" customHeight="1" x14ac:dyDescent="0.2">
      <c r="A2" s="48"/>
      <c r="B2" s="262" t="s">
        <v>5</v>
      </c>
      <c r="C2" s="263"/>
      <c r="D2" s="263"/>
      <c r="E2" s="263"/>
      <c r="F2" s="264"/>
      <c r="G2" s="48"/>
      <c r="H2" s="262" t="s">
        <v>10</v>
      </c>
      <c r="I2" s="263"/>
      <c r="J2" s="263"/>
      <c r="K2" s="263"/>
      <c r="L2" s="264"/>
      <c r="M2" s="48"/>
      <c r="N2" s="48"/>
      <c r="O2" s="48"/>
      <c r="P2" s="48"/>
      <c r="Q2" s="48"/>
      <c r="R2" s="48"/>
      <c r="S2" s="48"/>
      <c r="T2" s="48"/>
      <c r="U2" s="48"/>
      <c r="V2" s="48"/>
      <c r="W2" s="48"/>
      <c r="X2" s="48"/>
      <c r="Y2" s="48"/>
      <c r="Z2" s="48"/>
      <c r="AA2" s="48"/>
    </row>
    <row r="3" spans="1:27" ht="15.75" customHeight="1" x14ac:dyDescent="0.25">
      <c r="A3" s="48"/>
      <c r="B3" s="265"/>
      <c r="C3" s="266"/>
      <c r="D3" s="266"/>
      <c r="E3" s="266"/>
      <c r="F3" s="267"/>
      <c r="G3" s="48"/>
      <c r="H3" s="265"/>
      <c r="I3" s="266"/>
      <c r="J3" s="266"/>
      <c r="K3" s="266"/>
      <c r="L3" s="267"/>
      <c r="M3" s="49"/>
      <c r="N3" s="48"/>
      <c r="O3" s="48"/>
      <c r="P3" s="48"/>
      <c r="Q3" s="48"/>
      <c r="R3" s="48"/>
      <c r="S3" s="48"/>
      <c r="T3" s="48"/>
      <c r="U3" s="48"/>
      <c r="V3" s="48"/>
      <c r="W3" s="48"/>
      <c r="X3" s="48"/>
      <c r="Y3" s="48"/>
      <c r="Z3" s="48"/>
      <c r="AA3" s="48"/>
    </row>
    <row r="4" spans="1:27" ht="15.75" customHeight="1" x14ac:dyDescent="0.25">
      <c r="A4" s="48"/>
      <c r="B4" s="50" t="s">
        <v>0</v>
      </c>
      <c r="C4" s="51"/>
      <c r="D4" s="51">
        <f ca="1">Formulas_Overview!C3</f>
        <v>46235</v>
      </c>
      <c r="E4" s="52" t="s">
        <v>1</v>
      </c>
      <c r="F4" s="53">
        <f ca="1">Formulas_Overview!F3</f>
        <v>46251</v>
      </c>
      <c r="G4" s="48"/>
      <c r="H4" s="54" t="s">
        <v>13</v>
      </c>
      <c r="I4" s="55">
        <f ca="1">D4</f>
        <v>46235</v>
      </c>
      <c r="J4" s="55">
        <f ca="1">D4</f>
        <v>46235</v>
      </c>
      <c r="K4" s="56" t="s">
        <v>14</v>
      </c>
      <c r="L4" s="57">
        <f ca="1">F4</f>
        <v>46251</v>
      </c>
      <c r="M4" s="48"/>
      <c r="N4" s="48"/>
      <c r="O4" s="48"/>
      <c r="P4" s="48"/>
      <c r="Q4" s="48"/>
      <c r="R4" s="48"/>
      <c r="S4" s="48"/>
      <c r="T4" s="48"/>
      <c r="U4" s="48"/>
      <c r="V4" s="48"/>
      <c r="W4" s="48"/>
      <c r="X4" s="48"/>
      <c r="Y4" s="48"/>
      <c r="Z4" s="48"/>
      <c r="AA4" s="48"/>
    </row>
    <row r="5" spans="1:27" ht="15.75" customHeight="1" x14ac:dyDescent="0.25">
      <c r="A5" s="48"/>
      <c r="B5" s="268" t="s">
        <v>15</v>
      </c>
      <c r="C5" s="269"/>
      <c r="D5" s="269"/>
      <c r="E5" s="58" t="s">
        <v>3</v>
      </c>
      <c r="F5" s="59" t="s">
        <v>4</v>
      </c>
      <c r="G5" s="48"/>
      <c r="H5" s="268" t="s">
        <v>15</v>
      </c>
      <c r="I5" s="269"/>
      <c r="J5" s="269"/>
      <c r="K5" s="58" t="s">
        <v>3</v>
      </c>
      <c r="L5" s="59" t="s">
        <v>4</v>
      </c>
      <c r="M5" s="48"/>
      <c r="N5" s="48"/>
      <c r="O5" s="48"/>
      <c r="P5" s="48"/>
      <c r="Q5" s="48"/>
      <c r="R5" s="48"/>
      <c r="S5" s="48"/>
      <c r="T5" s="48"/>
      <c r="U5" s="48"/>
      <c r="V5" s="48"/>
      <c r="W5" s="48"/>
      <c r="X5" s="48"/>
      <c r="Y5" s="48"/>
      <c r="Z5" s="48"/>
      <c r="AA5" s="48"/>
    </row>
    <row r="6" spans="1:27" ht="15.75" customHeight="1" x14ac:dyDescent="0.25">
      <c r="A6" s="48"/>
      <c r="B6" s="60" t="s">
        <v>16</v>
      </c>
      <c r="C6" s="61"/>
      <c r="D6" s="62"/>
      <c r="E6" s="63"/>
      <c r="F6" s="64"/>
      <c r="G6" s="48"/>
      <c r="H6" s="60" t="s">
        <v>16</v>
      </c>
      <c r="I6" s="61"/>
      <c r="J6" s="61"/>
      <c r="K6" s="61"/>
      <c r="L6" s="65"/>
      <c r="M6" s="48"/>
      <c r="N6" s="48"/>
      <c r="O6" s="48"/>
      <c r="P6" s="48"/>
      <c r="Q6" s="48"/>
      <c r="R6" s="48"/>
      <c r="S6" s="48"/>
      <c r="T6" s="48"/>
      <c r="U6" s="48"/>
      <c r="V6" s="48"/>
      <c r="W6" s="48"/>
      <c r="X6" s="48"/>
      <c r="Y6" s="48"/>
      <c r="Z6" s="48"/>
      <c r="AA6" s="48"/>
    </row>
    <row r="7" spans="1:27" ht="15.75" customHeight="1" x14ac:dyDescent="0.25">
      <c r="A7" s="48"/>
      <c r="B7" s="66" t="s">
        <v>6</v>
      </c>
      <c r="C7" s="67">
        <v>12819</v>
      </c>
      <c r="D7" s="68"/>
      <c r="E7" s="69">
        <f ca="1">Formulas_Overview!E6</f>
        <v>1870.3952868850902</v>
      </c>
      <c r="F7" s="70">
        <f ca="1">Formulas_Overview!F6</f>
        <v>27153.949999999721</v>
      </c>
      <c r="G7" s="48"/>
      <c r="H7" s="66" t="s">
        <v>11</v>
      </c>
      <c r="I7" s="67">
        <v>13578</v>
      </c>
      <c r="J7" s="68"/>
      <c r="K7" s="71">
        <f ca="1">Formulas_Overview!E11</f>
        <v>503.8984375</v>
      </c>
      <c r="L7" s="72">
        <f ca="1">Formulas_Overview!F11</f>
        <v>5866.2312499999534</v>
      </c>
      <c r="M7" s="48"/>
      <c r="N7" s="48"/>
      <c r="O7" s="48"/>
      <c r="P7" s="48"/>
      <c r="Q7" s="48"/>
      <c r="R7" s="48"/>
      <c r="S7" s="48"/>
      <c r="T7" s="48"/>
      <c r="U7" s="48"/>
      <c r="V7" s="48"/>
      <c r="W7" s="48"/>
      <c r="X7" s="48"/>
      <c r="Y7" s="48"/>
      <c r="Z7" s="48"/>
      <c r="AA7" s="48"/>
    </row>
    <row r="8" spans="1:27" ht="15.75" customHeight="1" x14ac:dyDescent="0.25">
      <c r="A8" s="48"/>
      <c r="B8" s="73" t="s">
        <v>17</v>
      </c>
      <c r="C8" s="74"/>
      <c r="D8" s="74"/>
      <c r="E8" s="75">
        <f ca="1">VLOOKUP(F4,'PF &amp; Demand'!K7:L37,2,0)</f>
        <v>125.46830447968981</v>
      </c>
      <c r="F8" s="76">
        <f ca="1">MAX('PF &amp; Demand'!L7:L37)</f>
        <v>139.75594189961748</v>
      </c>
      <c r="G8" s="48"/>
      <c r="H8" s="73" t="s">
        <v>17</v>
      </c>
      <c r="I8" s="74"/>
      <c r="J8" s="74"/>
      <c r="K8" s="75">
        <f ca="1">VLOOKUP(L4,'PF &amp; Demand'!K7:M37,3,0)</f>
        <v>47.371320117603652</v>
      </c>
      <c r="L8" s="76">
        <f ca="1">MAX('PF &amp; Demand'!M7:M37)</f>
        <v>49.015617333718573</v>
      </c>
      <c r="M8" s="48"/>
      <c r="N8" s="48"/>
      <c r="O8" s="48"/>
      <c r="P8" s="48"/>
      <c r="Q8" s="48"/>
      <c r="R8" s="48"/>
      <c r="S8" s="48"/>
      <c r="T8" s="48"/>
      <c r="U8" s="48"/>
      <c r="V8" s="48"/>
      <c r="W8" s="48"/>
      <c r="X8" s="48"/>
      <c r="Y8" s="48"/>
      <c r="Z8" s="48"/>
      <c r="AA8" s="48"/>
    </row>
    <row r="9" spans="1:27" ht="15.75" customHeight="1" x14ac:dyDescent="0.4">
      <c r="A9" s="48"/>
      <c r="B9" s="73" t="s">
        <v>18</v>
      </c>
      <c r="C9" s="74"/>
      <c r="D9" s="74"/>
      <c r="E9" s="77">
        <f ca="1">VLOOKUP(F4,'PF &amp; Demand'!$K$7:$P$37,6,0)</f>
        <v>0.86724487798575212</v>
      </c>
      <c r="F9" s="78">
        <f ca="1">IFERROR(AVERAGEIF('PF &amp; Demand'!P6:P37,"&gt;0",'PF &amp; Demand'!P6:P37),"-")</f>
        <v>0.81758905483984368</v>
      </c>
      <c r="G9" s="48"/>
      <c r="H9" s="73" t="s">
        <v>18</v>
      </c>
      <c r="I9" s="74"/>
      <c r="J9" s="74"/>
      <c r="K9" s="79">
        <f ca="1">VLOOKUP(L4,'PF &amp; Demand'!K7:Q37,7,0)</f>
        <v>0.65485071339086198</v>
      </c>
      <c r="L9" s="78">
        <f ca="1">MAX('PF &amp; Demand'!Q7:Q37)</f>
        <v>0.87893275085748312</v>
      </c>
      <c r="M9" s="48"/>
      <c r="N9" s="48"/>
      <c r="O9" s="48"/>
      <c r="P9" s="48"/>
      <c r="Q9" s="48"/>
      <c r="R9" s="48"/>
      <c r="S9" s="48"/>
      <c r="T9" s="48"/>
      <c r="U9" s="48"/>
      <c r="V9" s="48"/>
      <c r="W9" s="48"/>
      <c r="X9" s="48"/>
      <c r="Y9" s="48"/>
      <c r="Z9" s="48"/>
      <c r="AA9" s="48"/>
    </row>
    <row r="10" spans="1:27" ht="15.75" customHeight="1" x14ac:dyDescent="0.25">
      <c r="A10" s="48"/>
      <c r="B10" s="80" t="s">
        <v>19</v>
      </c>
      <c r="C10" s="81"/>
      <c r="D10" s="81"/>
      <c r="E10" s="81">
        <v>0</v>
      </c>
      <c r="F10" s="82">
        <f ca="1">SUM(F11:F12)</f>
        <v>847.3984375</v>
      </c>
      <c r="G10" s="48"/>
      <c r="H10" s="80" t="s">
        <v>19</v>
      </c>
      <c r="I10" s="81"/>
      <c r="J10" s="81"/>
      <c r="K10" s="81"/>
      <c r="L10" s="82"/>
      <c r="M10" s="48"/>
      <c r="N10" s="48"/>
      <c r="O10" s="48"/>
      <c r="P10" s="48"/>
      <c r="Q10" s="48"/>
      <c r="R10" s="48"/>
      <c r="S10" s="48"/>
      <c r="T10" s="48"/>
      <c r="U10" s="48"/>
      <c r="V10" s="48"/>
      <c r="W10" s="48"/>
      <c r="X10" s="48"/>
      <c r="Y10" s="48"/>
      <c r="Z10" s="48"/>
      <c r="AA10" s="48"/>
    </row>
    <row r="11" spans="1:27" ht="15.75" customHeight="1" x14ac:dyDescent="0.25">
      <c r="A11" s="48"/>
      <c r="B11" s="66" t="s">
        <v>7</v>
      </c>
      <c r="C11" s="67">
        <v>12817</v>
      </c>
      <c r="D11" s="83"/>
      <c r="E11" s="71">
        <f ca="1">Formulas_Overview!E7</f>
        <v>0</v>
      </c>
      <c r="F11" s="72">
        <f ca="1">Formulas_Overview!F7</f>
        <v>847.3984375</v>
      </c>
      <c r="G11" s="48"/>
      <c r="H11" s="84" t="s">
        <v>12</v>
      </c>
      <c r="I11" s="85">
        <v>13579</v>
      </c>
      <c r="J11" s="86"/>
      <c r="K11" s="87">
        <f ca="1">Formulas_Overview!E12</f>
        <v>0</v>
      </c>
      <c r="L11" s="88">
        <f ca="1">Formulas_Overview!F12</f>
        <v>161.583984375</v>
      </c>
      <c r="M11" s="48"/>
      <c r="N11" s="48"/>
      <c r="O11" s="48"/>
      <c r="P11" s="48"/>
      <c r="Q11" s="48"/>
      <c r="R11" s="48"/>
      <c r="S11" s="48"/>
      <c r="T11" s="48"/>
      <c r="U11" s="48"/>
      <c r="V11" s="48"/>
      <c r="W11" s="48"/>
      <c r="X11" s="48"/>
      <c r="Y11" s="48"/>
      <c r="Z11" s="48"/>
      <c r="AA11" s="48"/>
    </row>
    <row r="12" spans="1:27" ht="15.75" customHeight="1" x14ac:dyDescent="0.25">
      <c r="A12" s="48"/>
      <c r="B12" s="84" t="s">
        <v>8</v>
      </c>
      <c r="C12" s="85">
        <v>12818</v>
      </c>
      <c r="D12" s="86"/>
      <c r="E12" s="87">
        <f ca="1">Formulas_Overview!E8</f>
        <v>0</v>
      </c>
      <c r="F12" s="88">
        <f ca="1">Formulas_Overview!F8</f>
        <v>0</v>
      </c>
      <c r="G12" s="48"/>
      <c r="H12" s="48"/>
      <c r="I12" s="48"/>
      <c r="J12" s="48"/>
      <c r="K12" s="48"/>
      <c r="L12" s="48"/>
      <c r="M12" s="48"/>
      <c r="N12" s="48"/>
      <c r="O12" s="48"/>
      <c r="P12" s="48"/>
      <c r="Q12" s="48"/>
      <c r="R12" s="48"/>
      <c r="S12" s="48"/>
      <c r="T12" s="48"/>
      <c r="U12" s="48"/>
      <c r="V12" s="48"/>
      <c r="W12" s="48"/>
      <c r="X12" s="48"/>
      <c r="Y12" s="48"/>
      <c r="Z12" s="48"/>
      <c r="AA12" s="48"/>
    </row>
    <row r="13" spans="1:27" ht="15.75" customHeight="1" x14ac:dyDescent="0.2">
      <c r="A13" s="48"/>
      <c r="B13" s="48"/>
      <c r="C13" s="48"/>
      <c r="D13" s="48"/>
      <c r="E13" s="48"/>
      <c r="F13" s="48"/>
      <c r="G13" s="48"/>
      <c r="H13" s="48"/>
      <c r="I13" s="48"/>
      <c r="J13" s="48"/>
      <c r="K13" s="48"/>
      <c r="L13" s="48"/>
      <c r="M13" s="48"/>
      <c r="N13" s="48"/>
      <c r="O13" s="48"/>
      <c r="P13" s="48"/>
      <c r="Q13" s="48"/>
      <c r="R13" s="48"/>
      <c r="S13" s="48"/>
      <c r="T13" s="48"/>
      <c r="U13" s="48"/>
      <c r="V13" s="48"/>
      <c r="W13" s="48"/>
      <c r="X13" s="48"/>
      <c r="Y13" s="48"/>
      <c r="Z13" s="48"/>
      <c r="AA13" s="48"/>
    </row>
    <row r="14" spans="1:27" ht="15.75" customHeight="1" x14ac:dyDescent="0.2">
      <c r="A14" s="48"/>
      <c r="B14" s="48"/>
      <c r="C14" s="48"/>
      <c r="D14" s="48"/>
      <c r="E14" s="48"/>
      <c r="F14" s="48"/>
      <c r="G14" s="48"/>
      <c r="H14" s="48"/>
      <c r="I14" s="48"/>
      <c r="J14" s="48"/>
      <c r="K14" s="48"/>
      <c r="L14" s="48"/>
      <c r="M14" s="48"/>
      <c r="N14" s="48"/>
      <c r="O14" s="48"/>
      <c r="P14" s="48"/>
      <c r="Q14" s="48"/>
      <c r="R14" s="48"/>
      <c r="S14" s="48"/>
      <c r="T14" s="48"/>
      <c r="U14" s="48"/>
      <c r="V14" s="48"/>
      <c r="W14" s="48"/>
      <c r="X14" s="48"/>
      <c r="Y14" s="48"/>
      <c r="Z14" s="48"/>
      <c r="AA14" s="48"/>
    </row>
    <row r="15" spans="1:27" ht="15.75" customHeight="1" x14ac:dyDescent="0.2">
      <c r="A15" s="48"/>
      <c r="B15" s="48"/>
      <c r="C15" s="48"/>
      <c r="D15" s="48"/>
      <c r="E15" s="48"/>
      <c r="F15" s="48"/>
      <c r="G15" s="48"/>
      <c r="H15" s="48"/>
      <c r="I15" s="48"/>
      <c r="J15" s="48"/>
      <c r="K15" s="48"/>
      <c r="L15" s="48"/>
      <c r="M15" s="48"/>
      <c r="N15" s="48"/>
      <c r="O15" s="48"/>
      <c r="P15" s="48"/>
      <c r="Q15" s="48"/>
      <c r="R15" s="48"/>
      <c r="S15" s="48"/>
      <c r="T15" s="48"/>
      <c r="U15" s="48"/>
      <c r="V15" s="48"/>
      <c r="W15" s="48"/>
      <c r="X15" s="48"/>
      <c r="Y15" s="48"/>
      <c r="Z15" s="48"/>
      <c r="AA15" s="48"/>
    </row>
    <row r="16" spans="1:27" ht="15.75" customHeight="1" x14ac:dyDescent="0.2">
      <c r="A16" s="48"/>
      <c r="B16" s="48"/>
      <c r="C16" s="48"/>
      <c r="D16" s="48"/>
      <c r="E16" s="48"/>
      <c r="F16" s="48"/>
      <c r="G16" s="48"/>
      <c r="H16" s="48"/>
      <c r="I16" s="48"/>
      <c r="J16" s="48"/>
      <c r="K16" s="48"/>
      <c r="L16" s="48"/>
      <c r="M16" s="48"/>
      <c r="N16" s="48"/>
      <c r="O16" s="48"/>
      <c r="P16" s="48"/>
      <c r="Q16" s="48"/>
      <c r="R16" s="48"/>
      <c r="S16" s="48"/>
      <c r="T16" s="48"/>
      <c r="U16" s="48"/>
      <c r="V16" s="48"/>
      <c r="W16" s="48"/>
      <c r="X16" s="48"/>
      <c r="Y16" s="48"/>
      <c r="Z16" s="48"/>
      <c r="AA16" s="48"/>
    </row>
    <row r="17" spans="1:27" ht="15.75" customHeight="1" x14ac:dyDescent="0.25">
      <c r="A17" s="89"/>
      <c r="B17" s="89"/>
      <c r="C17" s="90"/>
      <c r="D17" s="91"/>
      <c r="E17" s="90"/>
      <c r="F17" s="91"/>
      <c r="G17" s="89"/>
      <c r="H17" s="89"/>
      <c r="I17" s="89"/>
      <c r="J17" s="89"/>
      <c r="K17" s="89"/>
      <c r="L17" s="89"/>
      <c r="M17" s="89"/>
      <c r="N17" s="89"/>
      <c r="O17" s="89"/>
      <c r="P17" s="89"/>
      <c r="Q17" s="89"/>
      <c r="R17" s="89"/>
      <c r="S17" s="89"/>
      <c r="T17" s="89"/>
      <c r="U17" s="89"/>
      <c r="V17" s="89"/>
      <c r="W17" s="89"/>
      <c r="X17" s="89"/>
      <c r="Y17" s="89"/>
      <c r="Z17" s="89"/>
      <c r="AA17" s="89"/>
    </row>
    <row r="18" spans="1:27" ht="15.75" customHeight="1" x14ac:dyDescent="0.25">
      <c r="A18" s="89"/>
      <c r="B18" s="89"/>
      <c r="C18" s="90"/>
      <c r="D18" s="91"/>
      <c r="E18" s="89"/>
      <c r="F18" s="89"/>
      <c r="G18" s="89"/>
      <c r="H18" s="89"/>
      <c r="I18" s="89"/>
      <c r="J18" s="89"/>
      <c r="K18" s="89"/>
      <c r="L18" s="89"/>
      <c r="M18" s="89"/>
      <c r="N18" s="89"/>
      <c r="O18" s="89"/>
      <c r="P18" s="89"/>
      <c r="Q18" s="89"/>
      <c r="R18" s="89"/>
      <c r="S18" s="89"/>
      <c r="T18" s="89"/>
      <c r="U18" s="89"/>
      <c r="V18" s="89"/>
      <c r="W18" s="89"/>
      <c r="X18" s="89"/>
      <c r="Y18" s="89"/>
      <c r="Z18" s="89"/>
      <c r="AA18" s="89"/>
    </row>
    <row r="19" spans="1:27" ht="15.75" customHeight="1" x14ac:dyDescent="0.25">
      <c r="A19" s="89"/>
      <c r="B19" s="89"/>
      <c r="C19" s="90"/>
      <c r="D19" s="91"/>
      <c r="E19" s="89"/>
      <c r="F19" s="89"/>
      <c r="G19" s="89"/>
      <c r="H19" s="89"/>
      <c r="I19" s="89"/>
      <c r="J19" s="89"/>
      <c r="K19" s="89"/>
      <c r="L19" s="89"/>
      <c r="M19" s="89"/>
      <c r="N19" s="89"/>
      <c r="O19" s="89"/>
      <c r="P19" s="89"/>
      <c r="Q19" s="89"/>
      <c r="R19" s="89"/>
      <c r="S19" s="89"/>
      <c r="T19" s="89"/>
      <c r="U19" s="89"/>
      <c r="V19" s="89"/>
      <c r="W19" s="89"/>
      <c r="X19" s="89"/>
      <c r="Y19" s="89"/>
      <c r="Z19" s="89"/>
      <c r="AA19" s="89"/>
    </row>
    <row r="20" spans="1:27" ht="15.75" customHeight="1" x14ac:dyDescent="0.25">
      <c r="A20" s="89"/>
      <c r="B20" s="89"/>
      <c r="C20" s="90"/>
      <c r="D20" s="91"/>
      <c r="E20" s="89"/>
      <c r="F20" s="89"/>
      <c r="G20" s="89"/>
      <c r="H20" s="89"/>
      <c r="I20" s="89"/>
      <c r="J20" s="89"/>
      <c r="K20" s="89"/>
      <c r="L20" s="89"/>
      <c r="M20" s="89"/>
      <c r="N20" s="89"/>
      <c r="O20" s="89"/>
      <c r="P20" s="89"/>
      <c r="Q20" s="89"/>
      <c r="R20" s="89"/>
      <c r="S20" s="89"/>
      <c r="T20" s="89"/>
      <c r="U20" s="89"/>
      <c r="V20" s="89"/>
      <c r="W20" s="89"/>
      <c r="X20" s="89"/>
      <c r="Y20" s="89"/>
      <c r="Z20" s="89"/>
      <c r="AA20" s="89"/>
    </row>
    <row r="21" spans="1:27" ht="15.75" customHeight="1" x14ac:dyDescent="0.25">
      <c r="A21" s="89"/>
      <c r="B21" s="89"/>
      <c r="C21" s="90"/>
      <c r="D21" s="91"/>
      <c r="E21" s="89"/>
      <c r="F21" s="89"/>
      <c r="G21" s="89"/>
      <c r="H21" s="89"/>
      <c r="I21" s="89"/>
      <c r="J21" s="89"/>
      <c r="K21" s="89"/>
      <c r="L21" s="89"/>
      <c r="M21" s="89"/>
      <c r="N21" s="89"/>
      <c r="O21" s="89"/>
      <c r="P21" s="89"/>
      <c r="Q21" s="89"/>
      <c r="R21" s="89"/>
      <c r="S21" s="89"/>
      <c r="T21" s="89"/>
      <c r="U21" s="89"/>
      <c r="V21" s="89"/>
      <c r="W21" s="89"/>
      <c r="X21" s="89"/>
      <c r="Y21" s="89"/>
      <c r="Z21" s="89"/>
      <c r="AA21" s="89"/>
    </row>
    <row r="22" spans="1:27" ht="15.75" customHeight="1" x14ac:dyDescent="0.2">
      <c r="A22" s="89"/>
      <c r="B22" s="89"/>
      <c r="C22" s="89"/>
      <c r="D22" s="89"/>
      <c r="E22" s="89"/>
      <c r="F22" s="89"/>
      <c r="G22" s="89"/>
      <c r="H22" s="89"/>
      <c r="I22" s="89"/>
      <c r="J22" s="89"/>
      <c r="K22" s="89"/>
      <c r="L22" s="89"/>
      <c r="M22" s="89"/>
      <c r="N22" s="89"/>
      <c r="O22" s="89"/>
      <c r="P22" s="89"/>
      <c r="Q22" s="89"/>
      <c r="R22" s="89"/>
      <c r="S22" s="89"/>
      <c r="T22" s="89"/>
      <c r="U22" s="89"/>
      <c r="V22" s="89"/>
      <c r="W22" s="89"/>
      <c r="X22" s="89"/>
      <c r="Y22" s="89"/>
      <c r="Z22" s="89"/>
      <c r="AA22" s="89"/>
    </row>
    <row r="23" spans="1:27" ht="15.75" customHeight="1" x14ac:dyDescent="0.2">
      <c r="A23" s="48"/>
      <c r="B23" s="48"/>
      <c r="C23" s="48"/>
      <c r="D23" s="48"/>
      <c r="E23" s="48"/>
      <c r="F23" s="48"/>
      <c r="G23" s="48"/>
      <c r="H23" s="48"/>
      <c r="I23" s="48"/>
      <c r="J23" s="48"/>
      <c r="K23" s="48"/>
      <c r="L23" s="48"/>
      <c r="M23" s="48"/>
      <c r="N23" s="48"/>
      <c r="O23" s="48"/>
      <c r="P23" s="48"/>
      <c r="Q23" s="48"/>
      <c r="R23" s="48"/>
      <c r="S23" s="48"/>
      <c r="T23" s="48"/>
      <c r="U23" s="48"/>
      <c r="V23" s="48"/>
      <c r="W23" s="48"/>
      <c r="X23" s="48"/>
      <c r="Y23" s="48"/>
      <c r="Z23" s="48"/>
      <c r="AA23" s="48"/>
    </row>
    <row r="24" spans="1:27" ht="15.75" customHeight="1" x14ac:dyDescent="0.2">
      <c r="A24" s="48"/>
      <c r="B24" s="48"/>
      <c r="C24" s="48"/>
      <c r="D24" s="48"/>
      <c r="E24" s="48"/>
      <c r="F24" s="48"/>
      <c r="G24" s="48"/>
      <c r="H24" s="48"/>
      <c r="I24" s="48"/>
      <c r="J24" s="48"/>
      <c r="K24" s="48"/>
      <c r="L24" s="48"/>
      <c r="M24" s="48"/>
      <c r="N24" s="48"/>
      <c r="O24" s="48"/>
      <c r="P24" s="48"/>
      <c r="Q24" s="48"/>
      <c r="R24" s="48"/>
      <c r="S24" s="48"/>
      <c r="T24" s="48"/>
      <c r="U24" s="48"/>
      <c r="V24" s="48"/>
      <c r="W24" s="48"/>
      <c r="X24" s="48"/>
      <c r="Y24" s="48"/>
      <c r="Z24" s="48"/>
      <c r="AA24" s="48"/>
    </row>
    <row r="25" spans="1:27" ht="15.75" customHeight="1" x14ac:dyDescent="0.2">
      <c r="A25" s="48"/>
      <c r="B25" s="48"/>
      <c r="C25" s="48"/>
      <c r="D25" s="48"/>
      <c r="E25" s="48"/>
      <c r="F25" s="48"/>
      <c r="G25" s="48"/>
      <c r="H25" s="48"/>
      <c r="I25" s="48"/>
      <c r="J25" s="48"/>
      <c r="K25" s="48"/>
      <c r="L25" s="48"/>
      <c r="M25" s="48"/>
      <c r="N25" s="48"/>
      <c r="O25" s="48"/>
      <c r="P25" s="48"/>
      <c r="Q25" s="48"/>
      <c r="R25" s="48"/>
      <c r="S25" s="48"/>
      <c r="T25" s="48"/>
      <c r="U25" s="48"/>
      <c r="V25" s="48"/>
      <c r="W25" s="48"/>
      <c r="X25" s="48"/>
      <c r="Y25" s="48"/>
      <c r="Z25" s="48"/>
      <c r="AA25" s="48"/>
    </row>
    <row r="26" spans="1:27" ht="15.75" customHeight="1" x14ac:dyDescent="0.2">
      <c r="A26" s="48"/>
      <c r="B26" s="48"/>
      <c r="C26" s="48"/>
      <c r="D26" s="48"/>
      <c r="E26" s="48"/>
      <c r="F26" s="48"/>
      <c r="G26" s="48"/>
      <c r="H26" s="48"/>
      <c r="I26" s="48"/>
      <c r="J26" s="48"/>
      <c r="K26" s="48"/>
      <c r="L26" s="48"/>
      <c r="M26" s="48"/>
      <c r="N26" s="48"/>
      <c r="O26" s="48"/>
      <c r="P26" s="48"/>
      <c r="Q26" s="48"/>
      <c r="R26" s="48"/>
      <c r="S26" s="48"/>
      <c r="T26" s="48"/>
      <c r="U26" s="48"/>
      <c r="V26" s="48"/>
      <c r="W26" s="48"/>
      <c r="X26" s="48"/>
      <c r="Y26" s="48"/>
      <c r="Z26" s="48"/>
      <c r="AA26" s="48"/>
    </row>
    <row r="27" spans="1:27" ht="15.75" customHeight="1" x14ac:dyDescent="0.2">
      <c r="A27" s="48"/>
      <c r="B27" s="48"/>
      <c r="C27" s="48"/>
      <c r="D27" s="48"/>
      <c r="E27" s="48"/>
      <c r="F27" s="48"/>
      <c r="G27" s="48"/>
      <c r="H27" s="48"/>
      <c r="I27" s="48"/>
      <c r="J27" s="48"/>
      <c r="K27" s="48"/>
      <c r="L27" s="48"/>
      <c r="M27" s="48"/>
      <c r="N27" s="48"/>
      <c r="O27" s="48"/>
      <c r="P27" s="48"/>
      <c r="Q27" s="48"/>
      <c r="R27" s="48"/>
      <c r="S27" s="48"/>
      <c r="T27" s="48"/>
      <c r="U27" s="48"/>
      <c r="V27" s="48"/>
      <c r="W27" s="48"/>
      <c r="X27" s="48"/>
      <c r="Y27" s="48"/>
      <c r="Z27" s="48"/>
      <c r="AA27" s="48"/>
    </row>
    <row r="28" spans="1:27" ht="15.75" customHeight="1" x14ac:dyDescent="0.2">
      <c r="A28" s="48"/>
      <c r="B28" s="48"/>
      <c r="C28" s="48"/>
      <c r="D28" s="48"/>
      <c r="E28" s="48"/>
      <c r="F28" s="48"/>
      <c r="G28" s="48"/>
      <c r="H28" s="48"/>
      <c r="I28" s="48"/>
      <c r="J28" s="48"/>
      <c r="K28" s="48"/>
      <c r="L28" s="48"/>
      <c r="M28" s="48"/>
      <c r="N28" s="48"/>
      <c r="O28" s="48"/>
      <c r="P28" s="48"/>
      <c r="Q28" s="48"/>
      <c r="R28" s="48"/>
      <c r="S28" s="48"/>
      <c r="T28" s="48"/>
      <c r="U28" s="48"/>
      <c r="V28" s="48"/>
      <c r="W28" s="48"/>
      <c r="X28" s="48"/>
      <c r="Y28" s="48"/>
      <c r="Z28" s="48"/>
      <c r="AA28" s="48"/>
    </row>
    <row r="29" spans="1:27" ht="15.75" customHeight="1" x14ac:dyDescent="0.2">
      <c r="A29" s="48"/>
      <c r="B29" s="48"/>
      <c r="C29" s="48"/>
      <c r="D29" s="48"/>
      <c r="E29" s="48"/>
      <c r="F29" s="48"/>
      <c r="G29" s="48"/>
      <c r="H29" s="48"/>
      <c r="I29" s="48"/>
      <c r="J29" s="48"/>
      <c r="K29" s="48"/>
      <c r="L29" s="48"/>
      <c r="M29" s="48"/>
      <c r="N29" s="48"/>
      <c r="O29" s="48"/>
      <c r="P29" s="48"/>
      <c r="Q29" s="48"/>
      <c r="R29" s="48"/>
      <c r="S29" s="48"/>
      <c r="T29" s="48"/>
      <c r="U29" s="48"/>
      <c r="V29" s="48"/>
      <c r="W29" s="48"/>
      <c r="X29" s="48"/>
      <c r="Y29" s="48"/>
      <c r="Z29" s="48"/>
      <c r="AA29" s="48"/>
    </row>
    <row r="30" spans="1:27" ht="15.75" customHeight="1" x14ac:dyDescent="0.2">
      <c r="A30" s="48"/>
      <c r="B30" s="48"/>
      <c r="C30" s="48"/>
      <c r="D30" s="48"/>
      <c r="E30" s="48"/>
      <c r="F30" s="48"/>
      <c r="G30" s="48"/>
      <c r="H30" s="48"/>
      <c r="I30" s="48"/>
      <c r="J30" s="48"/>
      <c r="K30" s="48"/>
      <c r="L30" s="48"/>
      <c r="M30" s="48"/>
      <c r="N30" s="48"/>
      <c r="O30" s="48"/>
      <c r="P30" s="48"/>
      <c r="Q30" s="48"/>
      <c r="R30" s="48"/>
      <c r="S30" s="48"/>
      <c r="T30" s="48"/>
      <c r="U30" s="48"/>
      <c r="V30" s="48"/>
      <c r="W30" s="48"/>
      <c r="X30" s="48"/>
      <c r="Y30" s="48"/>
      <c r="Z30" s="48"/>
      <c r="AA30" s="48"/>
    </row>
    <row r="31" spans="1:27" ht="15.75" customHeight="1" x14ac:dyDescent="0.2">
      <c r="A31" s="48"/>
      <c r="B31" s="48"/>
      <c r="C31" s="48"/>
      <c r="D31" s="48"/>
      <c r="E31" s="48"/>
      <c r="F31" s="48"/>
      <c r="G31" s="48"/>
      <c r="H31" s="48"/>
      <c r="I31" s="48"/>
      <c r="J31" s="48"/>
      <c r="K31" s="48"/>
      <c r="L31" s="48"/>
      <c r="M31" s="48"/>
      <c r="N31" s="48"/>
      <c r="O31" s="48"/>
      <c r="P31" s="48"/>
      <c r="Q31" s="48"/>
      <c r="R31" s="48"/>
      <c r="S31" s="48"/>
      <c r="T31" s="48"/>
      <c r="U31" s="48"/>
      <c r="V31" s="48"/>
      <c r="W31" s="48"/>
      <c r="X31" s="48"/>
      <c r="Y31" s="48"/>
      <c r="Z31" s="48"/>
      <c r="AA31" s="48"/>
    </row>
    <row r="32" spans="1:27" ht="15.75" customHeight="1" x14ac:dyDescent="0.2">
      <c r="A32" s="48"/>
      <c r="B32" s="48"/>
      <c r="C32" s="48"/>
      <c r="D32" s="48"/>
      <c r="E32" s="48"/>
      <c r="F32" s="48"/>
      <c r="G32" s="48"/>
      <c r="H32" s="48"/>
      <c r="I32" s="48"/>
      <c r="J32" s="48"/>
      <c r="K32" s="48"/>
      <c r="L32" s="48"/>
      <c r="M32" s="48"/>
      <c r="N32" s="48"/>
      <c r="O32" s="48"/>
      <c r="P32" s="48"/>
      <c r="Q32" s="48"/>
      <c r="R32" s="48"/>
      <c r="S32" s="48"/>
      <c r="T32" s="48"/>
      <c r="U32" s="48"/>
      <c r="V32" s="48"/>
      <c r="W32" s="48"/>
      <c r="X32" s="48"/>
      <c r="Y32" s="48"/>
      <c r="Z32" s="48"/>
      <c r="AA32" s="48"/>
    </row>
    <row r="33" spans="1:27" ht="15.75" customHeight="1" x14ac:dyDescent="0.2">
      <c r="A33" s="48"/>
      <c r="B33" s="48"/>
      <c r="C33" s="48"/>
      <c r="D33" s="48"/>
      <c r="E33" s="48"/>
      <c r="F33" s="48"/>
      <c r="G33" s="48"/>
      <c r="H33" s="48"/>
      <c r="I33" s="48"/>
      <c r="J33" s="48"/>
      <c r="K33" s="48"/>
      <c r="L33" s="48"/>
      <c r="M33" s="48"/>
      <c r="N33" s="48"/>
      <c r="O33" s="48"/>
      <c r="P33" s="48"/>
      <c r="Q33" s="48"/>
      <c r="R33" s="48"/>
      <c r="S33" s="48"/>
      <c r="T33" s="48"/>
      <c r="U33" s="48"/>
      <c r="V33" s="48"/>
      <c r="W33" s="48"/>
      <c r="X33" s="48"/>
      <c r="Y33" s="48"/>
      <c r="Z33" s="48"/>
      <c r="AA33" s="48"/>
    </row>
    <row r="34" spans="1:27" ht="15.75" customHeight="1" x14ac:dyDescent="0.2">
      <c r="A34" s="48"/>
      <c r="B34" s="48"/>
      <c r="C34" s="48"/>
      <c r="D34" s="48"/>
      <c r="E34" s="48"/>
      <c r="F34" s="48"/>
      <c r="G34" s="48"/>
      <c r="H34" s="48"/>
      <c r="I34" s="48"/>
      <c r="J34" s="48"/>
      <c r="K34" s="48"/>
      <c r="L34" s="48"/>
      <c r="M34" s="48"/>
      <c r="N34" s="48"/>
      <c r="O34" s="48"/>
      <c r="P34" s="48"/>
      <c r="Q34" s="48"/>
      <c r="R34" s="48"/>
      <c r="S34" s="48"/>
      <c r="T34" s="48"/>
      <c r="U34" s="48"/>
      <c r="V34" s="48"/>
      <c r="W34" s="48"/>
      <c r="X34" s="48"/>
      <c r="Y34" s="48"/>
      <c r="Z34" s="48"/>
      <c r="AA34" s="48"/>
    </row>
    <row r="35" spans="1:27" ht="15.75" customHeight="1" x14ac:dyDescent="0.2">
      <c r="A35" s="48"/>
      <c r="B35" s="48"/>
      <c r="C35" s="48"/>
      <c r="D35" s="48"/>
      <c r="E35" s="48"/>
      <c r="F35" s="48"/>
      <c r="G35" s="48"/>
      <c r="H35" s="48"/>
      <c r="I35" s="48"/>
      <c r="J35" s="48"/>
      <c r="K35" s="48"/>
      <c r="L35" s="48"/>
      <c r="M35" s="48"/>
      <c r="N35" s="48"/>
      <c r="O35" s="48"/>
      <c r="P35" s="48"/>
      <c r="Q35" s="48"/>
      <c r="R35" s="48"/>
      <c r="S35" s="48"/>
      <c r="T35" s="48"/>
      <c r="U35" s="48"/>
      <c r="V35" s="48"/>
      <c r="W35" s="48"/>
      <c r="X35" s="48"/>
      <c r="Y35" s="48"/>
      <c r="Z35" s="48"/>
      <c r="AA35" s="48"/>
    </row>
    <row r="36" spans="1:27" ht="15.75" customHeight="1" x14ac:dyDescent="0.2">
      <c r="A36" s="48"/>
      <c r="B36" s="48"/>
      <c r="C36" s="48"/>
      <c r="D36" s="48"/>
      <c r="E36" s="48"/>
      <c r="F36" s="48"/>
      <c r="G36" s="48"/>
      <c r="H36" s="48"/>
      <c r="I36" s="48"/>
      <c r="J36" s="48"/>
      <c r="K36" s="48"/>
      <c r="L36" s="48"/>
      <c r="M36" s="48"/>
      <c r="N36" s="48"/>
      <c r="O36" s="48"/>
      <c r="P36" s="48"/>
      <c r="Q36" s="48"/>
      <c r="R36" s="48"/>
      <c r="S36" s="48"/>
      <c r="T36" s="48"/>
      <c r="U36" s="48"/>
      <c r="V36" s="48"/>
      <c r="W36" s="48"/>
      <c r="X36" s="48"/>
      <c r="Y36" s="48"/>
      <c r="Z36" s="48"/>
      <c r="AA36" s="48"/>
    </row>
    <row r="37" spans="1:27" ht="15.75" customHeight="1" x14ac:dyDescent="0.2">
      <c r="A37" s="48"/>
      <c r="B37" s="48"/>
      <c r="C37" s="48"/>
      <c r="D37" s="48"/>
      <c r="E37" s="48"/>
      <c r="F37" s="48"/>
      <c r="G37" s="48"/>
      <c r="H37" s="48"/>
      <c r="I37" s="48"/>
      <c r="J37" s="48"/>
      <c r="K37" s="48"/>
      <c r="L37" s="48"/>
      <c r="M37" s="48"/>
      <c r="N37" s="48"/>
      <c r="O37" s="48"/>
      <c r="P37" s="48"/>
      <c r="Q37" s="48"/>
      <c r="R37" s="48"/>
      <c r="S37" s="48"/>
      <c r="T37" s="48"/>
      <c r="U37" s="48"/>
      <c r="V37" s="48"/>
      <c r="W37" s="48"/>
      <c r="X37" s="48"/>
      <c r="Y37" s="48"/>
      <c r="Z37" s="48"/>
      <c r="AA37" s="48"/>
    </row>
    <row r="38" spans="1:27" ht="15.75" customHeight="1" x14ac:dyDescent="0.2">
      <c r="A38" s="48"/>
      <c r="B38" s="48"/>
      <c r="C38" s="48"/>
      <c r="D38" s="48"/>
      <c r="E38" s="48"/>
      <c r="F38" s="48"/>
      <c r="G38" s="48"/>
      <c r="H38" s="48"/>
      <c r="I38" s="48"/>
      <c r="J38" s="48"/>
      <c r="K38" s="48"/>
      <c r="L38" s="48"/>
      <c r="M38" s="48"/>
      <c r="N38" s="48"/>
      <c r="O38" s="48"/>
      <c r="P38" s="48"/>
      <c r="Q38" s="48"/>
      <c r="R38" s="48"/>
      <c r="S38" s="48"/>
      <c r="T38" s="48"/>
      <c r="U38" s="48"/>
      <c r="V38" s="48"/>
      <c r="W38" s="48"/>
      <c r="X38" s="48"/>
      <c r="Y38" s="48"/>
      <c r="Z38" s="48"/>
      <c r="AA38" s="48"/>
    </row>
    <row r="39" spans="1:27" ht="15.75" customHeight="1" x14ac:dyDescent="0.2">
      <c r="A39" s="48"/>
      <c r="B39" s="48"/>
      <c r="C39" s="48"/>
      <c r="D39" s="48"/>
      <c r="E39" s="48"/>
      <c r="F39" s="48"/>
      <c r="G39" s="48"/>
      <c r="H39" s="48"/>
      <c r="I39" s="48"/>
      <c r="J39" s="48"/>
      <c r="K39" s="48"/>
      <c r="L39" s="48"/>
      <c r="M39" s="48"/>
      <c r="N39" s="48"/>
      <c r="O39" s="48"/>
      <c r="P39" s="48"/>
      <c r="Q39" s="48"/>
      <c r="R39" s="48"/>
      <c r="S39" s="48"/>
      <c r="T39" s="48"/>
      <c r="U39" s="48"/>
      <c r="V39" s="48"/>
      <c r="W39" s="48"/>
      <c r="X39" s="48"/>
      <c r="Y39" s="48"/>
      <c r="Z39" s="48"/>
      <c r="AA39" s="48"/>
    </row>
    <row r="40" spans="1:27" ht="15.75" customHeight="1" x14ac:dyDescent="0.2">
      <c r="A40" s="48"/>
      <c r="B40" s="48"/>
      <c r="C40" s="48"/>
      <c r="D40" s="48"/>
      <c r="E40" s="48"/>
      <c r="F40" s="48"/>
      <c r="G40" s="48"/>
      <c r="H40" s="48"/>
      <c r="I40" s="48"/>
      <c r="J40" s="48"/>
      <c r="K40" s="48"/>
      <c r="L40" s="48"/>
      <c r="M40" s="48"/>
      <c r="N40" s="48"/>
      <c r="O40" s="48"/>
      <c r="P40" s="48"/>
      <c r="Q40" s="48"/>
      <c r="R40" s="48"/>
      <c r="S40" s="48"/>
      <c r="T40" s="48"/>
      <c r="U40" s="48"/>
      <c r="V40" s="48"/>
      <c r="W40" s="48"/>
      <c r="X40" s="48"/>
      <c r="Y40" s="48"/>
      <c r="Z40" s="48"/>
      <c r="AA40" s="48"/>
    </row>
    <row r="41" spans="1:27" ht="15.75" customHeight="1" x14ac:dyDescent="0.2">
      <c r="A41" s="48"/>
      <c r="B41" s="48"/>
      <c r="C41" s="48"/>
      <c r="D41" s="48"/>
      <c r="E41" s="48"/>
      <c r="F41" s="48"/>
      <c r="G41" s="48"/>
      <c r="H41" s="48"/>
      <c r="I41" s="48"/>
      <c r="J41" s="48"/>
      <c r="K41" s="48"/>
      <c r="L41" s="48"/>
      <c r="M41" s="48"/>
      <c r="N41" s="48"/>
      <c r="O41" s="48"/>
      <c r="P41" s="48"/>
      <c r="Q41" s="48"/>
      <c r="R41" s="48"/>
      <c r="S41" s="48"/>
      <c r="T41" s="48"/>
      <c r="U41" s="48"/>
      <c r="V41" s="48"/>
      <c r="W41" s="48"/>
      <c r="X41" s="48"/>
      <c r="Y41" s="48"/>
      <c r="Z41" s="48"/>
      <c r="AA41" s="48"/>
    </row>
    <row r="42" spans="1:27" ht="15.75" customHeight="1" x14ac:dyDescent="0.2">
      <c r="A42" s="48"/>
      <c r="B42" s="48"/>
      <c r="C42" s="48"/>
      <c r="D42" s="48"/>
      <c r="E42" s="48"/>
      <c r="F42" s="48"/>
      <c r="G42" s="48"/>
      <c r="H42" s="48"/>
      <c r="I42" s="48"/>
      <c r="J42" s="48"/>
      <c r="K42" s="48"/>
      <c r="L42" s="48"/>
      <c r="M42" s="48"/>
      <c r="N42" s="48"/>
      <c r="O42" s="48"/>
      <c r="P42" s="48"/>
      <c r="Q42" s="48"/>
      <c r="R42" s="48"/>
      <c r="S42" s="48"/>
      <c r="T42" s="48"/>
      <c r="U42" s="48"/>
      <c r="V42" s="48"/>
      <c r="W42" s="48"/>
      <c r="X42" s="48"/>
      <c r="Y42" s="48"/>
      <c r="Z42" s="48"/>
      <c r="AA42" s="48"/>
    </row>
    <row r="43" spans="1:27" ht="15.75" customHeight="1" x14ac:dyDescent="0.2">
      <c r="A43" s="48"/>
      <c r="B43" s="48"/>
      <c r="C43" s="48"/>
      <c r="D43" s="48"/>
      <c r="E43" s="48"/>
      <c r="F43" s="48"/>
      <c r="G43" s="48"/>
      <c r="H43" s="48"/>
      <c r="I43" s="48"/>
      <c r="J43" s="48"/>
      <c r="K43" s="48"/>
      <c r="L43" s="48"/>
      <c r="M43" s="48"/>
      <c r="N43" s="48"/>
      <c r="O43" s="48"/>
      <c r="P43" s="48"/>
      <c r="Q43" s="48"/>
      <c r="R43" s="48"/>
      <c r="S43" s="48"/>
      <c r="T43" s="48"/>
      <c r="U43" s="48"/>
      <c r="V43" s="48"/>
      <c r="W43" s="48"/>
      <c r="X43" s="48"/>
      <c r="Y43" s="48"/>
      <c r="Z43" s="48"/>
      <c r="AA43" s="48"/>
    </row>
    <row r="44" spans="1:27" ht="15.75" customHeight="1" x14ac:dyDescent="0.2">
      <c r="A44" s="48"/>
      <c r="B44" s="48"/>
      <c r="C44" s="48"/>
      <c r="D44" s="48"/>
      <c r="E44" s="48"/>
      <c r="F44" s="48"/>
      <c r="G44" s="48"/>
      <c r="H44" s="48"/>
      <c r="I44" s="48"/>
      <c r="J44" s="48"/>
      <c r="K44" s="48"/>
      <c r="L44" s="48"/>
      <c r="M44" s="48"/>
      <c r="N44" s="48"/>
      <c r="O44" s="48"/>
      <c r="P44" s="48"/>
      <c r="Q44" s="48"/>
      <c r="R44" s="48"/>
      <c r="S44" s="48"/>
      <c r="T44" s="48"/>
      <c r="U44" s="48"/>
      <c r="V44" s="48"/>
      <c r="W44" s="48"/>
      <c r="X44" s="48"/>
      <c r="Y44" s="48"/>
      <c r="Z44" s="48"/>
      <c r="AA44" s="48"/>
    </row>
    <row r="45" spans="1:27" ht="15.75" customHeight="1" x14ac:dyDescent="0.2">
      <c r="A45" s="48"/>
      <c r="B45" s="48"/>
      <c r="C45" s="48"/>
      <c r="D45" s="48"/>
      <c r="E45" s="48"/>
      <c r="F45" s="48"/>
      <c r="G45" s="48"/>
      <c r="H45" s="48"/>
      <c r="I45" s="48"/>
      <c r="J45" s="48"/>
      <c r="K45" s="48"/>
      <c r="L45" s="48"/>
      <c r="M45" s="48"/>
      <c r="N45" s="48"/>
      <c r="O45" s="48"/>
      <c r="P45" s="48"/>
      <c r="Q45" s="48"/>
      <c r="R45" s="48"/>
      <c r="S45" s="48"/>
      <c r="T45" s="48"/>
      <c r="U45" s="48"/>
      <c r="V45" s="48"/>
      <c r="W45" s="48"/>
      <c r="X45" s="48"/>
      <c r="Y45" s="48"/>
      <c r="Z45" s="48"/>
      <c r="AA45" s="48"/>
    </row>
    <row r="46" spans="1:27" ht="15.75" customHeight="1" x14ac:dyDescent="0.2">
      <c r="A46" s="48"/>
      <c r="B46" s="48"/>
      <c r="C46" s="48"/>
      <c r="D46" s="48"/>
      <c r="E46" s="48"/>
      <c r="F46" s="48"/>
      <c r="G46" s="48"/>
      <c r="H46" s="48"/>
      <c r="I46" s="48"/>
      <c r="J46" s="48"/>
      <c r="K46" s="48"/>
      <c r="L46" s="48"/>
      <c r="M46" s="48"/>
      <c r="N46" s="48"/>
      <c r="O46" s="48"/>
      <c r="P46" s="48"/>
      <c r="Q46" s="48"/>
      <c r="R46" s="48"/>
      <c r="S46" s="48"/>
      <c r="T46" s="48"/>
      <c r="U46" s="48"/>
      <c r="V46" s="48"/>
      <c r="W46" s="48"/>
      <c r="X46" s="48"/>
      <c r="Y46" s="48"/>
      <c r="Z46" s="48"/>
      <c r="AA46" s="48"/>
    </row>
    <row r="47" spans="1:27" ht="15.75" customHeight="1" x14ac:dyDescent="0.2">
      <c r="A47" s="48"/>
      <c r="B47" s="48"/>
      <c r="C47" s="48"/>
      <c r="D47" s="48"/>
      <c r="E47" s="48"/>
      <c r="F47" s="48"/>
      <c r="G47" s="48"/>
      <c r="H47" s="48"/>
      <c r="I47" s="48"/>
      <c r="J47" s="48"/>
      <c r="K47" s="48"/>
      <c r="L47" s="48"/>
      <c r="M47" s="48"/>
      <c r="N47" s="48"/>
      <c r="O47" s="48"/>
      <c r="P47" s="48"/>
      <c r="Q47" s="48"/>
      <c r="R47" s="48"/>
      <c r="S47" s="48"/>
      <c r="T47" s="48"/>
      <c r="U47" s="48"/>
      <c r="V47" s="48"/>
      <c r="W47" s="48"/>
      <c r="X47" s="48"/>
      <c r="Y47" s="48"/>
      <c r="Z47" s="48"/>
      <c r="AA47" s="48"/>
    </row>
    <row r="48" spans="1:27" ht="15.75" customHeight="1" x14ac:dyDescent="0.2">
      <c r="A48" s="48"/>
      <c r="B48" s="48"/>
      <c r="C48" s="48"/>
      <c r="D48" s="48"/>
      <c r="E48" s="48"/>
      <c r="F48" s="48"/>
      <c r="G48" s="48"/>
      <c r="H48" s="48"/>
      <c r="I48" s="48"/>
      <c r="J48" s="48"/>
      <c r="K48" s="48"/>
      <c r="L48" s="48"/>
      <c r="M48" s="48"/>
      <c r="N48" s="48"/>
      <c r="O48" s="48"/>
      <c r="P48" s="48"/>
      <c r="Q48" s="48"/>
      <c r="R48" s="48"/>
      <c r="S48" s="48"/>
      <c r="T48" s="48"/>
      <c r="U48" s="48"/>
      <c r="V48" s="48"/>
      <c r="W48" s="48"/>
      <c r="X48" s="48"/>
      <c r="Y48" s="48"/>
      <c r="Z48" s="48"/>
      <c r="AA48" s="48"/>
    </row>
    <row r="49" spans="1:27" ht="15.75" customHeight="1" x14ac:dyDescent="0.2">
      <c r="A49" s="48"/>
      <c r="B49" s="48"/>
      <c r="C49" s="48"/>
      <c r="D49" s="48"/>
      <c r="E49" s="48"/>
      <c r="F49" s="48"/>
      <c r="G49" s="48"/>
      <c r="H49" s="48"/>
      <c r="I49" s="48"/>
      <c r="J49" s="48"/>
      <c r="K49" s="48"/>
      <c r="L49" s="48"/>
      <c r="M49" s="48"/>
      <c r="N49" s="48"/>
      <c r="O49" s="48"/>
      <c r="P49" s="48"/>
      <c r="Q49" s="48"/>
      <c r="R49" s="48"/>
      <c r="S49" s="48"/>
      <c r="T49" s="48"/>
      <c r="U49" s="48"/>
      <c r="V49" s="48"/>
      <c r="W49" s="48"/>
      <c r="X49" s="48"/>
      <c r="Y49" s="48"/>
      <c r="Z49" s="48"/>
      <c r="AA49" s="48"/>
    </row>
    <row r="50" spans="1:27" ht="15.75" customHeight="1" x14ac:dyDescent="0.2">
      <c r="A50" s="48"/>
      <c r="B50" s="48"/>
      <c r="C50" s="48"/>
      <c r="D50" s="48"/>
      <c r="E50" s="48"/>
      <c r="F50" s="48"/>
      <c r="G50" s="48"/>
      <c r="H50" s="48"/>
      <c r="I50" s="48"/>
      <c r="J50" s="48"/>
      <c r="K50" s="48"/>
      <c r="L50" s="48"/>
      <c r="M50" s="48"/>
      <c r="N50" s="48"/>
      <c r="O50" s="48"/>
      <c r="P50" s="48"/>
      <c r="Q50" s="48"/>
      <c r="R50" s="48"/>
      <c r="S50" s="48"/>
      <c r="T50" s="48"/>
      <c r="U50" s="48"/>
      <c r="V50" s="48"/>
      <c r="W50" s="48"/>
      <c r="X50" s="48"/>
      <c r="Y50" s="48"/>
      <c r="Z50" s="48"/>
      <c r="AA50" s="48"/>
    </row>
    <row r="51" spans="1:27" ht="15.75" customHeight="1" x14ac:dyDescent="0.2">
      <c r="A51" s="48"/>
      <c r="B51" s="48"/>
      <c r="C51" s="48"/>
      <c r="D51" s="48"/>
      <c r="E51" s="48"/>
      <c r="F51" s="48"/>
      <c r="G51" s="48"/>
      <c r="H51" s="48"/>
      <c r="I51" s="48"/>
      <c r="J51" s="48"/>
      <c r="K51" s="48"/>
      <c r="L51" s="48"/>
      <c r="M51" s="48"/>
      <c r="N51" s="48"/>
      <c r="O51" s="48"/>
      <c r="P51" s="48"/>
      <c r="Q51" s="48"/>
      <c r="R51" s="48"/>
      <c r="S51" s="48"/>
      <c r="T51" s="48"/>
      <c r="U51" s="48"/>
      <c r="V51" s="48"/>
      <c r="W51" s="48"/>
      <c r="X51" s="48"/>
      <c r="Y51" s="48"/>
      <c r="Z51" s="48"/>
      <c r="AA51" s="48"/>
    </row>
    <row r="52" spans="1:27" ht="15.75" customHeight="1" x14ac:dyDescent="0.2">
      <c r="A52" s="48"/>
      <c r="B52" s="48"/>
      <c r="C52" s="48"/>
      <c r="D52" s="48"/>
      <c r="E52" s="48"/>
      <c r="F52" s="48"/>
      <c r="G52" s="48"/>
      <c r="H52" s="48"/>
      <c r="I52" s="48"/>
      <c r="J52" s="48"/>
      <c r="K52" s="48"/>
      <c r="L52" s="48"/>
      <c r="M52" s="48"/>
      <c r="N52" s="48"/>
      <c r="O52" s="48"/>
      <c r="P52" s="48"/>
      <c r="Q52" s="48"/>
      <c r="R52" s="48"/>
      <c r="S52" s="48"/>
      <c r="T52" s="48"/>
      <c r="U52" s="48"/>
      <c r="V52" s="48"/>
      <c r="W52" s="48"/>
      <c r="X52" s="48"/>
      <c r="Y52" s="48"/>
      <c r="Z52" s="48"/>
      <c r="AA52" s="48"/>
    </row>
    <row r="53" spans="1:27" ht="15.75" customHeight="1" x14ac:dyDescent="0.2">
      <c r="A53" s="48"/>
      <c r="B53" s="48"/>
      <c r="C53" s="48"/>
      <c r="D53" s="48"/>
      <c r="E53" s="48"/>
      <c r="F53" s="48"/>
      <c r="G53" s="48"/>
      <c r="H53" s="48"/>
      <c r="I53" s="48"/>
      <c r="J53" s="48"/>
      <c r="K53" s="48"/>
      <c r="L53" s="48"/>
      <c r="M53" s="48"/>
      <c r="N53" s="48"/>
      <c r="O53" s="48"/>
      <c r="P53" s="48"/>
      <c r="Q53" s="48"/>
      <c r="R53" s="48"/>
      <c r="S53" s="48"/>
      <c r="T53" s="48"/>
      <c r="U53" s="48"/>
      <c r="V53" s="48"/>
      <c r="W53" s="48"/>
      <c r="X53" s="48"/>
      <c r="Y53" s="48"/>
      <c r="Z53" s="48"/>
      <c r="AA53" s="48"/>
    </row>
    <row r="54" spans="1:27" ht="15.75" customHeight="1" x14ac:dyDescent="0.2">
      <c r="A54" s="48"/>
      <c r="B54" s="48"/>
      <c r="C54" s="48"/>
      <c r="D54" s="48"/>
      <c r="E54" s="48"/>
      <c r="F54" s="48"/>
      <c r="G54" s="48"/>
      <c r="H54" s="48"/>
      <c r="I54" s="48"/>
      <c r="J54" s="48"/>
      <c r="K54" s="48"/>
      <c r="L54" s="48"/>
      <c r="M54" s="48"/>
      <c r="N54" s="48"/>
      <c r="O54" s="48"/>
      <c r="P54" s="48"/>
      <c r="Q54" s="48"/>
      <c r="R54" s="48"/>
      <c r="S54" s="48"/>
      <c r="T54" s="48"/>
      <c r="U54" s="48"/>
      <c r="V54" s="48"/>
      <c r="W54" s="48"/>
      <c r="X54" s="48"/>
      <c r="Y54" s="48"/>
      <c r="Z54" s="48"/>
      <c r="AA54" s="48"/>
    </row>
    <row r="55" spans="1:27" ht="15.75" customHeight="1" x14ac:dyDescent="0.2">
      <c r="A55" s="48"/>
      <c r="B55" s="48"/>
      <c r="C55" s="48"/>
      <c r="D55" s="48"/>
      <c r="E55" s="48"/>
      <c r="F55" s="48"/>
      <c r="G55" s="48"/>
      <c r="H55" s="48"/>
      <c r="I55" s="48"/>
      <c r="J55" s="48"/>
      <c r="K55" s="48"/>
      <c r="L55" s="48"/>
      <c r="M55" s="48"/>
      <c r="N55" s="48"/>
      <c r="O55" s="48"/>
      <c r="P55" s="48"/>
      <c r="Q55" s="48"/>
      <c r="R55" s="48"/>
      <c r="S55" s="48"/>
      <c r="T55" s="48"/>
      <c r="U55" s="48"/>
      <c r="V55" s="48"/>
      <c r="W55" s="48"/>
      <c r="X55" s="48"/>
      <c r="Y55" s="48"/>
      <c r="Z55" s="48"/>
      <c r="AA55" s="48"/>
    </row>
    <row r="56" spans="1:27" ht="15.75" customHeight="1" x14ac:dyDescent="0.2">
      <c r="A56" s="48"/>
      <c r="B56" s="48"/>
      <c r="C56" s="48"/>
      <c r="D56" s="48"/>
      <c r="E56" s="48"/>
      <c r="F56" s="48"/>
      <c r="G56" s="48"/>
      <c r="H56" s="48"/>
      <c r="I56" s="48"/>
      <c r="J56" s="48"/>
      <c r="K56" s="48"/>
      <c r="L56" s="48"/>
      <c r="M56" s="48"/>
      <c r="N56" s="48"/>
      <c r="O56" s="48"/>
      <c r="P56" s="48"/>
      <c r="Q56" s="48"/>
      <c r="R56" s="48"/>
      <c r="S56" s="48"/>
      <c r="T56" s="48"/>
      <c r="U56" s="48"/>
      <c r="V56" s="48"/>
      <c r="W56" s="48"/>
      <c r="X56" s="48"/>
      <c r="Y56" s="48"/>
      <c r="Z56" s="48"/>
      <c r="AA56" s="48"/>
    </row>
    <row r="57" spans="1:27" ht="15.75" customHeight="1" x14ac:dyDescent="0.2">
      <c r="A57" s="48"/>
      <c r="B57" s="48"/>
      <c r="C57" s="48"/>
      <c r="D57" s="48"/>
      <c r="E57" s="48"/>
      <c r="F57" s="48"/>
      <c r="G57" s="48"/>
      <c r="H57" s="48"/>
      <c r="I57" s="48"/>
      <c r="J57" s="48"/>
      <c r="K57" s="48"/>
      <c r="L57" s="48"/>
      <c r="M57" s="48"/>
      <c r="N57" s="48"/>
      <c r="O57" s="48"/>
      <c r="P57" s="48"/>
      <c r="Q57" s="48"/>
      <c r="R57" s="48"/>
      <c r="S57" s="48"/>
      <c r="T57" s="48"/>
      <c r="U57" s="48"/>
      <c r="V57" s="48"/>
      <c r="W57" s="48"/>
      <c r="X57" s="48"/>
      <c r="Y57" s="48"/>
      <c r="Z57" s="48"/>
      <c r="AA57" s="48"/>
    </row>
    <row r="58" spans="1:27" ht="15.75" customHeight="1" x14ac:dyDescent="0.2">
      <c r="A58" s="48"/>
      <c r="B58" s="48"/>
      <c r="C58" s="48"/>
      <c r="D58" s="48"/>
      <c r="E58" s="48"/>
      <c r="F58" s="48"/>
      <c r="G58" s="48"/>
      <c r="H58" s="48"/>
      <c r="I58" s="48"/>
      <c r="J58" s="48"/>
      <c r="K58" s="48"/>
      <c r="L58" s="48"/>
      <c r="M58" s="48"/>
      <c r="N58" s="48"/>
      <c r="O58" s="48"/>
      <c r="P58" s="48"/>
      <c r="Q58" s="48"/>
      <c r="R58" s="48"/>
      <c r="S58" s="48"/>
      <c r="T58" s="48"/>
      <c r="U58" s="48"/>
      <c r="V58" s="48"/>
      <c r="W58" s="48"/>
      <c r="X58" s="48"/>
      <c r="Y58" s="48"/>
      <c r="Z58" s="48"/>
      <c r="AA58" s="48"/>
    </row>
    <row r="59" spans="1:27" ht="15.75" customHeight="1" x14ac:dyDescent="0.2">
      <c r="A59" s="48"/>
      <c r="B59" s="48"/>
      <c r="C59" s="48"/>
      <c r="D59" s="48"/>
      <c r="E59" s="48"/>
      <c r="F59" s="48"/>
      <c r="G59" s="48"/>
      <c r="H59" s="48"/>
      <c r="I59" s="48"/>
      <c r="J59" s="48"/>
      <c r="K59" s="48"/>
      <c r="L59" s="48"/>
      <c r="M59" s="48"/>
      <c r="N59" s="48"/>
      <c r="O59" s="48"/>
      <c r="P59" s="48"/>
      <c r="Q59" s="48"/>
      <c r="R59" s="48"/>
      <c r="S59" s="48"/>
      <c r="T59" s="48"/>
      <c r="U59" s="48"/>
      <c r="V59" s="48"/>
      <c r="W59" s="48"/>
      <c r="X59" s="48"/>
      <c r="Y59" s="48"/>
      <c r="Z59" s="48"/>
      <c r="AA59" s="48"/>
    </row>
    <row r="60" spans="1:27" ht="15.75" customHeight="1" x14ac:dyDescent="0.2">
      <c r="A60" s="48"/>
      <c r="B60" s="48"/>
      <c r="C60" s="48"/>
      <c r="D60" s="48"/>
      <c r="E60" s="48"/>
      <c r="F60" s="48"/>
      <c r="G60" s="48"/>
      <c r="H60" s="48"/>
      <c r="I60" s="48"/>
      <c r="J60" s="48"/>
      <c r="K60" s="48"/>
      <c r="L60" s="48"/>
      <c r="M60" s="48"/>
      <c r="N60" s="48"/>
      <c r="O60" s="48"/>
      <c r="P60" s="48"/>
      <c r="Q60" s="48"/>
      <c r="R60" s="48"/>
      <c r="S60" s="48"/>
      <c r="T60" s="48"/>
      <c r="U60" s="48"/>
      <c r="V60" s="48"/>
      <c r="W60" s="48"/>
      <c r="X60" s="48"/>
      <c r="Y60" s="48"/>
      <c r="Z60" s="48"/>
      <c r="AA60" s="48"/>
    </row>
    <row r="61" spans="1:27" ht="15.75" customHeight="1" x14ac:dyDescent="0.2">
      <c r="A61" s="48"/>
      <c r="B61" s="48"/>
      <c r="C61" s="48"/>
      <c r="D61" s="48"/>
      <c r="E61" s="48"/>
      <c r="F61" s="48"/>
      <c r="G61" s="48"/>
      <c r="H61" s="48"/>
      <c r="I61" s="48"/>
      <c r="J61" s="48"/>
      <c r="K61" s="48"/>
      <c r="L61" s="48"/>
      <c r="M61" s="48"/>
      <c r="N61" s="48"/>
      <c r="O61" s="48"/>
      <c r="P61" s="48"/>
      <c r="Q61" s="48"/>
      <c r="R61" s="48"/>
      <c r="S61" s="48"/>
      <c r="T61" s="48"/>
      <c r="U61" s="48"/>
      <c r="V61" s="48"/>
      <c r="W61" s="48"/>
      <c r="X61" s="48"/>
      <c r="Y61" s="48"/>
      <c r="Z61" s="48"/>
      <c r="AA61" s="48"/>
    </row>
    <row r="62" spans="1:27" ht="15.75" customHeight="1" x14ac:dyDescent="0.2">
      <c r="A62" s="48"/>
      <c r="B62" s="48"/>
      <c r="C62" s="48"/>
      <c r="D62" s="48"/>
      <c r="E62" s="48"/>
      <c r="F62" s="48"/>
      <c r="G62" s="48"/>
      <c r="H62" s="48"/>
      <c r="I62" s="48"/>
      <c r="J62" s="48"/>
      <c r="K62" s="48"/>
      <c r="L62" s="48"/>
      <c r="M62" s="48"/>
      <c r="N62" s="48"/>
      <c r="O62" s="48"/>
      <c r="P62" s="48"/>
      <c r="Q62" s="48"/>
      <c r="R62" s="48"/>
      <c r="S62" s="48"/>
      <c r="T62" s="48"/>
      <c r="U62" s="48"/>
      <c r="V62" s="48"/>
      <c r="W62" s="48"/>
      <c r="X62" s="48"/>
      <c r="Y62" s="48"/>
      <c r="Z62" s="48"/>
      <c r="AA62" s="48"/>
    </row>
    <row r="63" spans="1:27" ht="15.75" customHeight="1" x14ac:dyDescent="0.2">
      <c r="A63" s="48"/>
      <c r="B63" s="48"/>
      <c r="C63" s="48"/>
      <c r="D63" s="48"/>
      <c r="E63" s="48"/>
      <c r="F63" s="48"/>
      <c r="G63" s="48"/>
      <c r="H63" s="48"/>
      <c r="I63" s="48"/>
      <c r="J63" s="48"/>
      <c r="K63" s="48"/>
      <c r="L63" s="48"/>
      <c r="M63" s="48"/>
      <c r="N63" s="48"/>
      <c r="O63" s="48"/>
      <c r="P63" s="48"/>
      <c r="Q63" s="48"/>
      <c r="R63" s="48"/>
      <c r="S63" s="48"/>
      <c r="T63" s="48"/>
      <c r="U63" s="48"/>
      <c r="V63" s="48"/>
      <c r="W63" s="48"/>
      <c r="X63" s="48"/>
      <c r="Y63" s="48"/>
      <c r="Z63" s="48"/>
      <c r="AA63" s="48"/>
    </row>
    <row r="64" spans="1:27" ht="15.75" customHeight="1" x14ac:dyDescent="0.2">
      <c r="A64" s="48"/>
      <c r="B64" s="48"/>
      <c r="C64" s="48"/>
      <c r="D64" s="48"/>
      <c r="E64" s="48"/>
      <c r="F64" s="48"/>
      <c r="G64" s="48"/>
      <c r="H64" s="48"/>
      <c r="I64" s="48"/>
      <c r="J64" s="48"/>
      <c r="K64" s="48"/>
      <c r="L64" s="48"/>
      <c r="M64" s="48"/>
      <c r="N64" s="48"/>
      <c r="O64" s="48"/>
      <c r="P64" s="48"/>
      <c r="Q64" s="48"/>
      <c r="R64" s="48"/>
      <c r="S64" s="48"/>
      <c r="T64" s="48"/>
      <c r="U64" s="48"/>
      <c r="V64" s="48"/>
      <c r="W64" s="48"/>
      <c r="X64" s="48"/>
      <c r="Y64" s="48"/>
      <c r="Z64" s="48"/>
      <c r="AA64" s="48"/>
    </row>
    <row r="65" spans="1:27" ht="15.75" customHeight="1" x14ac:dyDescent="0.2">
      <c r="A65" s="48"/>
      <c r="B65" s="48"/>
      <c r="C65" s="48"/>
      <c r="D65" s="48"/>
      <c r="E65" s="48"/>
      <c r="F65" s="48"/>
      <c r="G65" s="48"/>
      <c r="H65" s="48"/>
      <c r="I65" s="48"/>
      <c r="J65" s="48"/>
      <c r="K65" s="48"/>
      <c r="L65" s="48"/>
      <c r="M65" s="48"/>
      <c r="N65" s="48"/>
      <c r="O65" s="48"/>
      <c r="P65" s="48"/>
      <c r="Q65" s="48"/>
      <c r="R65" s="48"/>
      <c r="S65" s="48"/>
      <c r="T65" s="48"/>
      <c r="U65" s="48"/>
      <c r="V65" s="48"/>
      <c r="W65" s="48"/>
      <c r="X65" s="48"/>
      <c r="Y65" s="48"/>
      <c r="Z65" s="48"/>
      <c r="AA65" s="48"/>
    </row>
    <row r="66" spans="1:27" ht="15.75" customHeight="1" x14ac:dyDescent="0.2">
      <c r="A66" s="48"/>
      <c r="B66" s="48"/>
      <c r="C66" s="48"/>
      <c r="D66" s="48"/>
      <c r="E66" s="48"/>
      <c r="F66" s="48"/>
      <c r="G66" s="48"/>
      <c r="H66" s="48"/>
      <c r="I66" s="48"/>
      <c r="J66" s="48"/>
      <c r="K66" s="48"/>
      <c r="L66" s="48"/>
      <c r="M66" s="48"/>
      <c r="N66" s="48"/>
      <c r="O66" s="48"/>
      <c r="P66" s="48"/>
      <c r="Q66" s="48"/>
      <c r="R66" s="48"/>
      <c r="S66" s="48"/>
      <c r="T66" s="48"/>
      <c r="U66" s="48"/>
      <c r="V66" s="48"/>
      <c r="W66" s="48"/>
      <c r="X66" s="48"/>
      <c r="Y66" s="48"/>
      <c r="Z66" s="48"/>
      <c r="AA66" s="48"/>
    </row>
    <row r="67" spans="1:27" ht="15.75" customHeight="1" x14ac:dyDescent="0.2">
      <c r="A67" s="48"/>
      <c r="B67" s="48"/>
      <c r="C67" s="48"/>
      <c r="D67" s="48"/>
      <c r="E67" s="48"/>
      <c r="F67" s="48"/>
      <c r="G67" s="48"/>
      <c r="H67" s="48"/>
      <c r="I67" s="48"/>
      <c r="J67" s="48"/>
      <c r="K67" s="48"/>
      <c r="L67" s="48"/>
      <c r="M67" s="48"/>
      <c r="N67" s="48"/>
      <c r="O67" s="48"/>
      <c r="P67" s="48"/>
      <c r="Q67" s="48"/>
      <c r="R67" s="48"/>
      <c r="S67" s="48"/>
      <c r="T67" s="48"/>
      <c r="U67" s="48"/>
      <c r="V67" s="48"/>
      <c r="W67" s="48"/>
      <c r="X67" s="48"/>
      <c r="Y67" s="48"/>
      <c r="Z67" s="48"/>
      <c r="AA67" s="48"/>
    </row>
    <row r="68" spans="1:27" ht="15.75" customHeight="1" x14ac:dyDescent="0.2">
      <c r="A68" s="48"/>
      <c r="B68" s="48"/>
      <c r="C68" s="48"/>
      <c r="D68" s="48"/>
      <c r="E68" s="48"/>
      <c r="F68" s="48"/>
      <c r="G68" s="48"/>
      <c r="H68" s="48"/>
      <c r="I68" s="48"/>
      <c r="J68" s="48"/>
      <c r="K68" s="48"/>
      <c r="L68" s="48"/>
      <c r="M68" s="48"/>
      <c r="N68" s="48"/>
      <c r="O68" s="48"/>
      <c r="P68" s="48"/>
      <c r="Q68" s="48"/>
      <c r="R68" s="48"/>
      <c r="S68" s="48"/>
      <c r="T68" s="48"/>
      <c r="U68" s="48"/>
      <c r="V68" s="48"/>
      <c r="W68" s="48"/>
      <c r="X68" s="48"/>
      <c r="Y68" s="48"/>
      <c r="Z68" s="48"/>
      <c r="AA68" s="48"/>
    </row>
    <row r="69" spans="1:27" ht="15.75" customHeight="1" x14ac:dyDescent="0.2">
      <c r="A69" s="48"/>
      <c r="B69" s="48"/>
      <c r="C69" s="48"/>
      <c r="D69" s="48"/>
      <c r="E69" s="48"/>
      <c r="F69" s="48"/>
      <c r="G69" s="48"/>
      <c r="H69" s="48"/>
      <c r="I69" s="48"/>
      <c r="J69" s="48"/>
      <c r="K69" s="48"/>
      <c r="L69" s="48"/>
      <c r="M69" s="48"/>
      <c r="N69" s="48"/>
      <c r="O69" s="48"/>
      <c r="P69" s="48"/>
      <c r="Q69" s="48"/>
      <c r="R69" s="48"/>
      <c r="S69" s="48"/>
      <c r="T69" s="48"/>
      <c r="U69" s="48"/>
      <c r="V69" s="48"/>
      <c r="W69" s="48"/>
      <c r="X69" s="48"/>
      <c r="Y69" s="48"/>
      <c r="Z69" s="48"/>
      <c r="AA69" s="48"/>
    </row>
    <row r="70" spans="1:27" ht="15.75" customHeight="1" x14ac:dyDescent="0.2">
      <c r="A70" s="48"/>
      <c r="B70" s="48"/>
      <c r="C70" s="48"/>
      <c r="D70" s="48"/>
      <c r="E70" s="48"/>
      <c r="F70" s="48"/>
      <c r="G70" s="48"/>
      <c r="H70" s="48"/>
      <c r="I70" s="48"/>
      <c r="J70" s="48"/>
      <c r="K70" s="48"/>
      <c r="L70" s="48"/>
      <c r="M70" s="48"/>
      <c r="N70" s="48"/>
      <c r="O70" s="48"/>
      <c r="P70" s="48"/>
      <c r="Q70" s="48"/>
      <c r="R70" s="48"/>
      <c r="S70" s="48"/>
      <c r="T70" s="48"/>
      <c r="U70" s="48"/>
      <c r="V70" s="48"/>
      <c r="W70" s="48"/>
      <c r="X70" s="48"/>
      <c r="Y70" s="48"/>
      <c r="Z70" s="48"/>
      <c r="AA70" s="48"/>
    </row>
    <row r="71" spans="1:27" ht="15.75" customHeight="1" x14ac:dyDescent="0.2">
      <c r="A71" s="48"/>
      <c r="B71" s="48"/>
      <c r="C71" s="48"/>
      <c r="D71" s="48"/>
      <c r="E71" s="48"/>
      <c r="F71" s="48"/>
      <c r="G71" s="48"/>
      <c r="H71" s="48"/>
      <c r="I71" s="48"/>
      <c r="J71" s="48"/>
      <c r="K71" s="48"/>
      <c r="L71" s="48"/>
      <c r="M71" s="48"/>
      <c r="N71" s="48"/>
      <c r="O71" s="48"/>
      <c r="P71" s="48"/>
      <c r="Q71" s="48"/>
      <c r="R71" s="48"/>
      <c r="S71" s="48"/>
      <c r="T71" s="48"/>
      <c r="U71" s="48"/>
      <c r="V71" s="48"/>
      <c r="W71" s="48"/>
      <c r="X71" s="48"/>
      <c r="Y71" s="48"/>
      <c r="Z71" s="48"/>
      <c r="AA71" s="48"/>
    </row>
    <row r="72" spans="1:27" ht="15.75" customHeight="1" x14ac:dyDescent="0.2">
      <c r="A72" s="48"/>
      <c r="B72" s="48"/>
      <c r="C72" s="48"/>
      <c r="D72" s="48"/>
      <c r="E72" s="48"/>
      <c r="F72" s="48"/>
      <c r="G72" s="48"/>
      <c r="H72" s="48"/>
      <c r="I72" s="48"/>
      <c r="J72" s="48"/>
      <c r="K72" s="48"/>
      <c r="L72" s="48"/>
      <c r="M72" s="48"/>
      <c r="N72" s="48"/>
      <c r="O72" s="48"/>
      <c r="P72" s="48"/>
      <c r="Q72" s="48"/>
      <c r="R72" s="48"/>
      <c r="S72" s="48"/>
      <c r="T72" s="48"/>
      <c r="U72" s="48"/>
      <c r="V72" s="48"/>
      <c r="W72" s="48"/>
      <c r="X72" s="48"/>
      <c r="Y72" s="48"/>
      <c r="Z72" s="48"/>
      <c r="AA72" s="48"/>
    </row>
    <row r="73" spans="1:27" ht="15.75" customHeight="1" x14ac:dyDescent="0.2">
      <c r="A73" s="48"/>
      <c r="B73" s="48"/>
      <c r="C73" s="48"/>
      <c r="D73" s="48"/>
      <c r="E73" s="48"/>
      <c r="F73" s="48"/>
      <c r="G73" s="48"/>
      <c r="H73" s="48"/>
      <c r="I73" s="48"/>
      <c r="J73" s="48"/>
      <c r="K73" s="48"/>
      <c r="L73" s="48"/>
      <c r="M73" s="48"/>
      <c r="N73" s="48"/>
      <c r="O73" s="48"/>
      <c r="P73" s="48"/>
      <c r="Q73" s="48"/>
      <c r="R73" s="48"/>
      <c r="S73" s="48"/>
      <c r="T73" s="48"/>
      <c r="U73" s="48"/>
      <c r="V73" s="48"/>
      <c r="W73" s="48"/>
      <c r="X73" s="48"/>
      <c r="Y73" s="48"/>
      <c r="Z73" s="48"/>
      <c r="AA73" s="48"/>
    </row>
    <row r="74" spans="1:27" ht="15.75" customHeight="1" x14ac:dyDescent="0.2">
      <c r="A74" s="48"/>
      <c r="B74" s="48"/>
      <c r="C74" s="48"/>
      <c r="D74" s="48"/>
      <c r="E74" s="48"/>
      <c r="F74" s="48"/>
      <c r="G74" s="48"/>
      <c r="H74" s="48"/>
      <c r="I74" s="48"/>
      <c r="J74" s="48"/>
      <c r="K74" s="48"/>
      <c r="L74" s="48"/>
      <c r="M74" s="48"/>
      <c r="N74" s="48"/>
      <c r="O74" s="48"/>
      <c r="P74" s="48"/>
      <c r="Q74" s="48"/>
      <c r="R74" s="48"/>
      <c r="S74" s="48"/>
      <c r="T74" s="48"/>
      <c r="U74" s="48"/>
      <c r="V74" s="48"/>
      <c r="W74" s="48"/>
      <c r="X74" s="48"/>
      <c r="Y74" s="48"/>
      <c r="Z74" s="48"/>
      <c r="AA74" s="48"/>
    </row>
    <row r="75" spans="1:27" ht="15.75" customHeight="1" x14ac:dyDescent="0.2">
      <c r="A75" s="48"/>
      <c r="B75" s="48"/>
      <c r="C75" s="48"/>
      <c r="D75" s="48"/>
      <c r="E75" s="48"/>
      <c r="F75" s="48"/>
      <c r="G75" s="48"/>
      <c r="H75" s="48"/>
      <c r="I75" s="48"/>
      <c r="J75" s="48"/>
      <c r="K75" s="48"/>
      <c r="L75" s="48"/>
      <c r="M75" s="48"/>
      <c r="N75" s="48"/>
      <c r="O75" s="48"/>
      <c r="P75" s="48"/>
      <c r="Q75" s="48"/>
      <c r="R75" s="48"/>
      <c r="S75" s="48"/>
      <c r="T75" s="48"/>
      <c r="U75" s="48"/>
      <c r="V75" s="48"/>
      <c r="W75" s="48"/>
      <c r="X75" s="48"/>
      <c r="Y75" s="48"/>
      <c r="Z75" s="48"/>
      <c r="AA75" s="48"/>
    </row>
    <row r="76" spans="1:27" ht="15.75" customHeight="1" x14ac:dyDescent="0.2">
      <c r="A76" s="48"/>
      <c r="B76" s="48"/>
      <c r="C76" s="48"/>
      <c r="D76" s="48"/>
      <c r="E76" s="48"/>
      <c r="F76" s="48"/>
      <c r="G76" s="48"/>
      <c r="H76" s="48"/>
      <c r="I76" s="48"/>
      <c r="J76" s="48"/>
      <c r="K76" s="48"/>
      <c r="L76" s="48"/>
      <c r="M76" s="48"/>
      <c r="N76" s="48"/>
      <c r="O76" s="48"/>
      <c r="P76" s="48"/>
      <c r="Q76" s="48"/>
      <c r="R76" s="48"/>
      <c r="S76" s="48"/>
      <c r="T76" s="48"/>
      <c r="U76" s="48"/>
      <c r="V76" s="48"/>
      <c r="W76" s="48"/>
      <c r="X76" s="48"/>
      <c r="Y76" s="48"/>
      <c r="Z76" s="48"/>
      <c r="AA76" s="48"/>
    </row>
    <row r="77" spans="1:27" ht="15.75" customHeight="1" x14ac:dyDescent="0.2">
      <c r="A77" s="48"/>
      <c r="B77" s="48"/>
      <c r="C77" s="48"/>
      <c r="D77" s="48"/>
      <c r="E77" s="48"/>
      <c r="F77" s="48"/>
      <c r="G77" s="48"/>
      <c r="H77" s="48"/>
      <c r="I77" s="48"/>
      <c r="J77" s="48"/>
      <c r="K77" s="48"/>
      <c r="L77" s="48"/>
      <c r="M77" s="48"/>
      <c r="N77" s="48"/>
      <c r="O77" s="48"/>
      <c r="P77" s="48"/>
      <c r="Q77" s="48"/>
      <c r="R77" s="48"/>
      <c r="S77" s="48"/>
      <c r="T77" s="48"/>
      <c r="U77" s="48"/>
      <c r="V77" s="48"/>
      <c r="W77" s="48"/>
      <c r="X77" s="48"/>
      <c r="Y77" s="48"/>
      <c r="Z77" s="48"/>
      <c r="AA77" s="48"/>
    </row>
    <row r="78" spans="1:27" ht="15.75" customHeight="1" x14ac:dyDescent="0.2">
      <c r="A78" s="48"/>
      <c r="B78" s="48"/>
      <c r="C78" s="48"/>
      <c r="D78" s="48"/>
      <c r="E78" s="48"/>
      <c r="F78" s="48"/>
      <c r="G78" s="48"/>
      <c r="H78" s="48"/>
      <c r="I78" s="48"/>
      <c r="J78" s="48"/>
      <c r="K78" s="48"/>
      <c r="L78" s="48"/>
      <c r="M78" s="48"/>
      <c r="N78" s="48"/>
      <c r="O78" s="48"/>
      <c r="P78" s="48"/>
      <c r="Q78" s="48"/>
      <c r="R78" s="48"/>
      <c r="S78" s="48"/>
      <c r="T78" s="48"/>
      <c r="U78" s="48"/>
      <c r="V78" s="48"/>
      <c r="W78" s="48"/>
      <c r="X78" s="48"/>
      <c r="Y78" s="48"/>
      <c r="Z78" s="48"/>
      <c r="AA78" s="48"/>
    </row>
    <row r="79" spans="1:27" ht="15.75" customHeight="1" x14ac:dyDescent="0.2">
      <c r="A79" s="48"/>
      <c r="B79" s="48"/>
      <c r="C79" s="48"/>
      <c r="D79" s="48"/>
      <c r="E79" s="48"/>
      <c r="F79" s="48"/>
      <c r="G79" s="48"/>
      <c r="H79" s="48"/>
      <c r="I79" s="48"/>
      <c r="J79" s="48"/>
      <c r="K79" s="48"/>
      <c r="L79" s="48"/>
      <c r="M79" s="48"/>
      <c r="N79" s="48"/>
      <c r="O79" s="48"/>
      <c r="P79" s="48"/>
      <c r="Q79" s="48"/>
      <c r="R79" s="48"/>
      <c r="S79" s="48"/>
      <c r="T79" s="48"/>
      <c r="U79" s="48"/>
      <c r="V79" s="48"/>
      <c r="W79" s="48"/>
      <c r="X79" s="48"/>
      <c r="Y79" s="48"/>
      <c r="Z79" s="48"/>
      <c r="AA79" s="48"/>
    </row>
    <row r="80" spans="1:27" ht="15.75" customHeight="1" x14ac:dyDescent="0.2">
      <c r="A80" s="48"/>
      <c r="B80" s="48"/>
      <c r="C80" s="48"/>
      <c r="D80" s="48"/>
      <c r="E80" s="48"/>
      <c r="F80" s="48"/>
      <c r="G80" s="48"/>
      <c r="H80" s="48"/>
      <c r="I80" s="48"/>
      <c r="J80" s="48"/>
      <c r="K80" s="48"/>
      <c r="L80" s="48"/>
      <c r="M80" s="48"/>
      <c r="N80" s="48"/>
      <c r="O80" s="48"/>
      <c r="P80" s="48"/>
      <c r="Q80" s="48"/>
      <c r="R80" s="48"/>
      <c r="S80" s="48"/>
      <c r="T80" s="48"/>
      <c r="U80" s="48"/>
      <c r="V80" s="48"/>
      <c r="W80" s="48"/>
      <c r="X80" s="48"/>
      <c r="Y80" s="48"/>
      <c r="Z80" s="48"/>
      <c r="AA80" s="48"/>
    </row>
    <row r="81" spans="1:27" ht="15.75" customHeight="1" x14ac:dyDescent="0.2">
      <c r="A81" s="48"/>
      <c r="B81" s="48"/>
      <c r="C81" s="48"/>
      <c r="D81" s="48"/>
      <c r="E81" s="48"/>
      <c r="F81" s="48"/>
      <c r="G81" s="48"/>
      <c r="H81" s="48"/>
      <c r="I81" s="48"/>
      <c r="J81" s="48"/>
      <c r="K81" s="48"/>
      <c r="L81" s="48"/>
      <c r="M81" s="48"/>
      <c r="N81" s="48"/>
      <c r="O81" s="48"/>
      <c r="P81" s="48"/>
      <c r="Q81" s="48"/>
      <c r="R81" s="48"/>
      <c r="S81" s="48"/>
      <c r="T81" s="48"/>
      <c r="U81" s="48"/>
      <c r="V81" s="48"/>
      <c r="W81" s="48"/>
      <c r="X81" s="48"/>
      <c r="Y81" s="48"/>
      <c r="Z81" s="48"/>
      <c r="AA81" s="48"/>
    </row>
    <row r="82" spans="1:27" ht="15.75" customHeight="1" x14ac:dyDescent="0.2">
      <c r="A82" s="48"/>
      <c r="B82" s="48"/>
      <c r="C82" s="48"/>
      <c r="D82" s="48"/>
      <c r="E82" s="48"/>
      <c r="F82" s="48"/>
      <c r="G82" s="48"/>
      <c r="H82" s="48"/>
      <c r="I82" s="48"/>
      <c r="J82" s="48"/>
      <c r="K82" s="48"/>
      <c r="L82" s="48"/>
      <c r="M82" s="48"/>
      <c r="N82" s="48"/>
      <c r="O82" s="48"/>
      <c r="P82" s="48"/>
      <c r="Q82" s="48"/>
      <c r="R82" s="48"/>
      <c r="S82" s="48"/>
      <c r="T82" s="48"/>
      <c r="U82" s="48"/>
      <c r="V82" s="48"/>
      <c r="W82" s="48"/>
      <c r="X82" s="48"/>
      <c r="Y82" s="48"/>
      <c r="Z82" s="48"/>
      <c r="AA82" s="48"/>
    </row>
    <row r="83" spans="1:27" ht="15.75" customHeight="1" x14ac:dyDescent="0.2">
      <c r="A83" s="48"/>
      <c r="B83" s="48"/>
      <c r="C83" s="48"/>
      <c r="D83" s="48"/>
      <c r="E83" s="48"/>
      <c r="F83" s="48"/>
      <c r="G83" s="48"/>
      <c r="H83" s="48"/>
      <c r="I83" s="48"/>
      <c r="J83" s="48"/>
      <c r="K83" s="48"/>
      <c r="L83" s="48"/>
      <c r="M83" s="48"/>
      <c r="N83" s="48"/>
      <c r="O83" s="48"/>
      <c r="P83" s="48"/>
      <c r="Q83" s="48"/>
      <c r="R83" s="48"/>
      <c r="S83" s="48"/>
      <c r="T83" s="48"/>
      <c r="U83" s="48"/>
      <c r="V83" s="48"/>
      <c r="W83" s="48"/>
      <c r="X83" s="48"/>
      <c r="Y83" s="48"/>
      <c r="Z83" s="48"/>
      <c r="AA83" s="48"/>
    </row>
    <row r="84" spans="1:27" ht="15.75" customHeight="1" x14ac:dyDescent="0.2">
      <c r="A84" s="48"/>
      <c r="B84" s="48"/>
      <c r="C84" s="48"/>
      <c r="D84" s="48"/>
      <c r="E84" s="48"/>
      <c r="F84" s="48"/>
      <c r="G84" s="48"/>
      <c r="H84" s="48"/>
      <c r="I84" s="48"/>
      <c r="J84" s="48"/>
      <c r="K84" s="48"/>
      <c r="L84" s="48"/>
      <c r="M84" s="48"/>
      <c r="N84" s="48"/>
      <c r="O84" s="48"/>
      <c r="P84" s="48"/>
      <c r="Q84" s="48"/>
      <c r="R84" s="48"/>
      <c r="S84" s="48"/>
      <c r="T84" s="48"/>
      <c r="U84" s="48"/>
      <c r="V84" s="48"/>
      <c r="W84" s="48"/>
      <c r="X84" s="48"/>
      <c r="Y84" s="48"/>
      <c r="Z84" s="48"/>
      <c r="AA84" s="48"/>
    </row>
    <row r="85" spans="1:27" ht="15.75" customHeight="1" x14ac:dyDescent="0.2">
      <c r="A85" s="48"/>
      <c r="B85" s="48"/>
      <c r="C85" s="48"/>
      <c r="D85" s="48"/>
      <c r="E85" s="48"/>
      <c r="F85" s="48"/>
      <c r="G85" s="48"/>
      <c r="H85" s="48"/>
      <c r="I85" s="48"/>
      <c r="J85" s="48"/>
      <c r="K85" s="48"/>
      <c r="L85" s="48"/>
      <c r="M85" s="48"/>
      <c r="N85" s="48"/>
      <c r="O85" s="48"/>
      <c r="P85" s="48"/>
      <c r="Q85" s="48"/>
      <c r="R85" s="48"/>
      <c r="S85" s="48"/>
      <c r="T85" s="48"/>
      <c r="U85" s="48"/>
      <c r="V85" s="48"/>
      <c r="W85" s="48"/>
      <c r="X85" s="48"/>
      <c r="Y85" s="48"/>
      <c r="Z85" s="48"/>
      <c r="AA85" s="48"/>
    </row>
    <row r="86" spans="1:27" ht="15.75" customHeight="1" x14ac:dyDescent="0.2">
      <c r="A86" s="48"/>
      <c r="B86" s="48"/>
      <c r="C86" s="48"/>
      <c r="D86" s="48"/>
      <c r="E86" s="48"/>
      <c r="F86" s="48"/>
      <c r="G86" s="48"/>
      <c r="H86" s="48"/>
      <c r="I86" s="48"/>
      <c r="J86" s="48"/>
      <c r="K86" s="48"/>
      <c r="L86" s="48"/>
      <c r="M86" s="48"/>
      <c r="N86" s="48"/>
      <c r="O86" s="48"/>
      <c r="P86" s="48"/>
      <c r="Q86" s="48"/>
      <c r="R86" s="48"/>
      <c r="S86" s="48"/>
      <c r="T86" s="48"/>
      <c r="U86" s="48"/>
      <c r="V86" s="48"/>
      <c r="W86" s="48"/>
      <c r="X86" s="48"/>
      <c r="Y86" s="48"/>
      <c r="Z86" s="48"/>
      <c r="AA86" s="48"/>
    </row>
    <row r="87" spans="1:27" ht="15.75" customHeight="1" x14ac:dyDescent="0.2">
      <c r="A87" s="48"/>
      <c r="B87" s="48"/>
      <c r="C87" s="48"/>
      <c r="D87" s="48"/>
      <c r="E87" s="48"/>
      <c r="F87" s="48"/>
      <c r="G87" s="48"/>
      <c r="H87" s="48"/>
      <c r="I87" s="48"/>
      <c r="J87" s="48"/>
      <c r="K87" s="48"/>
      <c r="L87" s="48"/>
      <c r="M87" s="48"/>
      <c r="N87" s="48"/>
      <c r="O87" s="48"/>
      <c r="P87" s="48"/>
      <c r="Q87" s="48"/>
      <c r="R87" s="48"/>
      <c r="S87" s="48"/>
      <c r="T87" s="48"/>
      <c r="U87" s="48"/>
      <c r="V87" s="48"/>
      <c r="W87" s="48"/>
      <c r="X87" s="48"/>
      <c r="Y87" s="48"/>
      <c r="Z87" s="48"/>
      <c r="AA87" s="48"/>
    </row>
    <row r="88" spans="1:27" ht="15.75" customHeight="1" x14ac:dyDescent="0.2">
      <c r="A88" s="48"/>
      <c r="B88" s="48"/>
      <c r="C88" s="48"/>
      <c r="D88" s="48"/>
      <c r="E88" s="48"/>
      <c r="F88" s="48"/>
      <c r="G88" s="48"/>
      <c r="H88" s="48"/>
      <c r="I88" s="48"/>
      <c r="J88" s="48"/>
      <c r="K88" s="48"/>
      <c r="L88" s="48"/>
      <c r="M88" s="48"/>
      <c r="N88" s="48"/>
      <c r="O88" s="48"/>
      <c r="P88" s="48"/>
      <c r="Q88" s="48"/>
      <c r="R88" s="48"/>
      <c r="S88" s="48"/>
      <c r="T88" s="48"/>
      <c r="U88" s="48"/>
      <c r="V88" s="48"/>
      <c r="W88" s="48"/>
      <c r="X88" s="48"/>
      <c r="Y88" s="48"/>
      <c r="Z88" s="48"/>
      <c r="AA88" s="48"/>
    </row>
    <row r="89" spans="1:27" ht="15.75" customHeight="1" x14ac:dyDescent="0.2">
      <c r="A89" s="48"/>
      <c r="B89" s="48"/>
      <c r="C89" s="48"/>
      <c r="D89" s="48"/>
      <c r="E89" s="48"/>
      <c r="F89" s="48"/>
      <c r="G89" s="48"/>
      <c r="H89" s="48"/>
      <c r="I89" s="48"/>
      <c r="J89" s="48"/>
      <c r="K89" s="48"/>
      <c r="L89" s="48"/>
      <c r="M89" s="48"/>
      <c r="N89" s="48"/>
      <c r="O89" s="48"/>
      <c r="P89" s="48"/>
      <c r="Q89" s="48"/>
      <c r="R89" s="48"/>
      <c r="S89" s="48"/>
      <c r="T89" s="48"/>
      <c r="U89" s="48"/>
      <c r="V89" s="48"/>
      <c r="W89" s="48"/>
      <c r="X89" s="48"/>
      <c r="Y89" s="48"/>
      <c r="Z89" s="48"/>
      <c r="AA89" s="48"/>
    </row>
    <row r="90" spans="1:27" ht="15.75" customHeight="1" x14ac:dyDescent="0.2">
      <c r="A90" s="48"/>
      <c r="B90" s="48"/>
      <c r="C90" s="48"/>
      <c r="D90" s="48"/>
      <c r="E90" s="48"/>
      <c r="F90" s="48"/>
      <c r="G90" s="48"/>
      <c r="H90" s="48"/>
      <c r="I90" s="48"/>
      <c r="J90" s="48"/>
      <c r="K90" s="48"/>
      <c r="L90" s="48"/>
      <c r="M90" s="48"/>
      <c r="N90" s="48"/>
      <c r="O90" s="48"/>
      <c r="P90" s="48"/>
      <c r="Q90" s="48"/>
      <c r="R90" s="48"/>
      <c r="S90" s="48"/>
      <c r="T90" s="48"/>
      <c r="U90" s="48"/>
      <c r="V90" s="48"/>
      <c r="W90" s="48"/>
      <c r="X90" s="48"/>
      <c r="Y90" s="48"/>
      <c r="Z90" s="48"/>
      <c r="AA90" s="48"/>
    </row>
    <row r="91" spans="1:27" ht="15.75" customHeight="1" x14ac:dyDescent="0.2">
      <c r="A91" s="48"/>
      <c r="B91" s="48"/>
      <c r="C91" s="48"/>
      <c r="D91" s="48"/>
      <c r="E91" s="48"/>
      <c r="F91" s="48"/>
      <c r="G91" s="48"/>
      <c r="H91" s="48"/>
      <c r="I91" s="48"/>
      <c r="J91" s="48"/>
      <c r="K91" s="48"/>
      <c r="L91" s="48"/>
      <c r="M91" s="48"/>
      <c r="N91" s="48"/>
      <c r="O91" s="48"/>
      <c r="P91" s="48"/>
      <c r="Q91" s="48"/>
      <c r="R91" s="48"/>
      <c r="S91" s="48"/>
      <c r="T91" s="48"/>
      <c r="U91" s="48"/>
      <c r="V91" s="48"/>
      <c r="W91" s="48"/>
      <c r="X91" s="48"/>
      <c r="Y91" s="48"/>
      <c r="Z91" s="48"/>
      <c r="AA91" s="48"/>
    </row>
    <row r="92" spans="1:27" ht="15.75" customHeight="1" x14ac:dyDescent="0.2">
      <c r="A92" s="48"/>
      <c r="B92" s="48"/>
      <c r="C92" s="48"/>
      <c r="D92" s="48"/>
      <c r="E92" s="48"/>
      <c r="F92" s="48"/>
      <c r="G92" s="48"/>
      <c r="H92" s="48"/>
      <c r="I92" s="48"/>
      <c r="J92" s="48"/>
      <c r="K92" s="48"/>
      <c r="L92" s="48"/>
      <c r="M92" s="48"/>
      <c r="N92" s="48"/>
      <c r="O92" s="48"/>
      <c r="P92" s="48"/>
      <c r="Q92" s="48"/>
      <c r="R92" s="48"/>
      <c r="S92" s="48"/>
      <c r="T92" s="48"/>
      <c r="U92" s="48"/>
      <c r="V92" s="48"/>
      <c r="W92" s="48"/>
      <c r="X92" s="48"/>
      <c r="Y92" s="48"/>
      <c r="Z92" s="48"/>
      <c r="AA92" s="48"/>
    </row>
    <row r="93" spans="1:27" ht="15.75" customHeight="1" x14ac:dyDescent="0.2">
      <c r="A93" s="48"/>
      <c r="B93" s="48"/>
      <c r="C93" s="48"/>
      <c r="D93" s="48"/>
      <c r="E93" s="48"/>
      <c r="F93" s="48"/>
      <c r="G93" s="48"/>
      <c r="H93" s="48"/>
      <c r="I93" s="48"/>
      <c r="J93" s="48"/>
      <c r="K93" s="48"/>
      <c r="L93" s="48"/>
      <c r="M93" s="48"/>
      <c r="N93" s="48"/>
      <c r="O93" s="48"/>
      <c r="P93" s="48"/>
      <c r="Q93" s="48"/>
      <c r="R93" s="48"/>
      <c r="S93" s="48"/>
      <c r="T93" s="48"/>
      <c r="U93" s="48"/>
      <c r="V93" s="48"/>
      <c r="W93" s="48"/>
      <c r="X93" s="48"/>
      <c r="Y93" s="48"/>
      <c r="Z93" s="48"/>
      <c r="AA93" s="48"/>
    </row>
    <row r="94" spans="1:27" ht="15.75" customHeight="1" x14ac:dyDescent="0.2">
      <c r="A94" s="48"/>
      <c r="B94" s="48"/>
      <c r="C94" s="48"/>
      <c r="D94" s="48"/>
      <c r="E94" s="48"/>
      <c r="F94" s="48"/>
      <c r="G94" s="48"/>
      <c r="H94" s="48"/>
      <c r="I94" s="48"/>
      <c r="J94" s="48"/>
      <c r="K94" s="48"/>
      <c r="L94" s="48"/>
      <c r="M94" s="48"/>
      <c r="N94" s="48"/>
      <c r="O94" s="48"/>
      <c r="P94" s="48"/>
      <c r="Q94" s="48"/>
      <c r="R94" s="48"/>
      <c r="S94" s="48"/>
      <c r="T94" s="48"/>
      <c r="U94" s="48"/>
      <c r="V94" s="48"/>
      <c r="W94" s="48"/>
      <c r="X94" s="48"/>
      <c r="Y94" s="48"/>
      <c r="Z94" s="48"/>
      <c r="AA94" s="48"/>
    </row>
    <row r="95" spans="1:27" ht="15.75" customHeight="1" x14ac:dyDescent="0.2">
      <c r="A95" s="48"/>
      <c r="B95" s="48"/>
      <c r="C95" s="48"/>
      <c r="D95" s="48"/>
      <c r="E95" s="48"/>
      <c r="F95" s="48"/>
      <c r="G95" s="48"/>
      <c r="H95" s="48"/>
      <c r="I95" s="48"/>
      <c r="J95" s="48"/>
      <c r="K95" s="48"/>
      <c r="L95" s="48"/>
      <c r="M95" s="48"/>
      <c r="N95" s="48"/>
      <c r="O95" s="48"/>
      <c r="P95" s="48"/>
      <c r="Q95" s="48"/>
      <c r="R95" s="48"/>
      <c r="S95" s="48"/>
      <c r="T95" s="48"/>
      <c r="U95" s="48"/>
      <c r="V95" s="48"/>
      <c r="W95" s="48"/>
      <c r="X95" s="48"/>
      <c r="Y95" s="48"/>
      <c r="Z95" s="48"/>
      <c r="AA95" s="48"/>
    </row>
    <row r="96" spans="1:27" ht="15.75" customHeight="1" x14ac:dyDescent="0.2">
      <c r="A96" s="48"/>
      <c r="B96" s="48"/>
      <c r="C96" s="48"/>
      <c r="D96" s="48"/>
      <c r="E96" s="48"/>
      <c r="F96" s="48"/>
      <c r="G96" s="48"/>
      <c r="H96" s="48"/>
      <c r="I96" s="48"/>
      <c r="J96" s="48"/>
      <c r="K96" s="48"/>
      <c r="L96" s="48"/>
      <c r="M96" s="48"/>
      <c r="N96" s="48"/>
      <c r="O96" s="48"/>
      <c r="P96" s="48"/>
      <c r="Q96" s="48"/>
      <c r="R96" s="48"/>
      <c r="S96" s="48"/>
      <c r="T96" s="48"/>
      <c r="U96" s="48"/>
      <c r="V96" s="48"/>
      <c r="W96" s="48"/>
      <c r="X96" s="48"/>
      <c r="Y96" s="48"/>
      <c r="Z96" s="48"/>
      <c r="AA96" s="48"/>
    </row>
    <row r="97" spans="1:27" ht="15.75" customHeight="1" x14ac:dyDescent="0.2">
      <c r="A97" s="48"/>
      <c r="B97" s="48"/>
      <c r="C97" s="48"/>
      <c r="D97" s="48"/>
      <c r="E97" s="48"/>
      <c r="F97" s="48"/>
      <c r="G97" s="48"/>
      <c r="H97" s="48"/>
      <c r="I97" s="48"/>
      <c r="J97" s="48"/>
      <c r="K97" s="48"/>
      <c r="L97" s="48"/>
      <c r="M97" s="48"/>
      <c r="N97" s="48"/>
      <c r="O97" s="48"/>
      <c r="P97" s="48"/>
      <c r="Q97" s="48"/>
      <c r="R97" s="48"/>
      <c r="S97" s="48"/>
      <c r="T97" s="48"/>
      <c r="U97" s="48"/>
      <c r="V97" s="48"/>
      <c r="W97" s="48"/>
      <c r="X97" s="48"/>
      <c r="Y97" s="48"/>
      <c r="Z97" s="48"/>
      <c r="AA97" s="48"/>
    </row>
    <row r="98" spans="1:27" ht="15.75" customHeight="1" x14ac:dyDescent="0.2">
      <c r="A98" s="48"/>
      <c r="B98" s="48"/>
      <c r="C98" s="48"/>
      <c r="D98" s="48"/>
      <c r="E98" s="48"/>
      <c r="F98" s="48"/>
      <c r="G98" s="48"/>
      <c r="H98" s="48"/>
      <c r="I98" s="48"/>
      <c r="J98" s="48"/>
      <c r="K98" s="48"/>
      <c r="L98" s="48"/>
      <c r="M98" s="48"/>
      <c r="N98" s="48"/>
      <c r="O98" s="48"/>
      <c r="P98" s="48"/>
      <c r="Q98" s="48"/>
      <c r="R98" s="48"/>
      <c r="S98" s="48"/>
      <c r="T98" s="48"/>
      <c r="U98" s="48"/>
      <c r="V98" s="48"/>
      <c r="W98" s="48"/>
      <c r="X98" s="48"/>
      <c r="Y98" s="48"/>
      <c r="Z98" s="48"/>
      <c r="AA98" s="48"/>
    </row>
    <row r="99" spans="1:27" ht="15.75" customHeight="1" x14ac:dyDescent="0.2">
      <c r="A99" s="48"/>
      <c r="B99" s="48"/>
      <c r="C99" s="48"/>
      <c r="D99" s="48"/>
      <c r="E99" s="48"/>
      <c r="F99" s="48"/>
      <c r="G99" s="48"/>
      <c r="H99" s="48"/>
      <c r="I99" s="48"/>
      <c r="J99" s="48"/>
      <c r="K99" s="48"/>
      <c r="L99" s="48"/>
      <c r="M99" s="48"/>
      <c r="N99" s="48"/>
      <c r="O99" s="48"/>
      <c r="P99" s="48"/>
      <c r="Q99" s="48"/>
      <c r="R99" s="48"/>
      <c r="S99" s="48"/>
      <c r="T99" s="48"/>
      <c r="U99" s="48"/>
      <c r="V99" s="48"/>
      <c r="W99" s="48"/>
      <c r="X99" s="48"/>
      <c r="Y99" s="48"/>
      <c r="Z99" s="48"/>
      <c r="AA99" s="48"/>
    </row>
    <row r="100" spans="1:27" ht="15.75" customHeight="1" x14ac:dyDescent="0.2">
      <c r="A100" s="48"/>
      <c r="B100" s="48"/>
      <c r="C100" s="48"/>
      <c r="D100" s="48"/>
      <c r="E100" s="48"/>
      <c r="F100" s="48"/>
      <c r="G100" s="48"/>
      <c r="H100" s="48"/>
      <c r="I100" s="48"/>
      <c r="J100" s="48"/>
      <c r="K100" s="48"/>
      <c r="L100" s="48"/>
      <c r="M100" s="48"/>
      <c r="N100" s="48"/>
      <c r="O100" s="48"/>
      <c r="P100" s="48"/>
      <c r="Q100" s="48"/>
      <c r="R100" s="48"/>
      <c r="S100" s="48"/>
      <c r="T100" s="48"/>
      <c r="U100" s="48"/>
      <c r="V100" s="48"/>
      <c r="W100" s="48"/>
      <c r="X100" s="48"/>
      <c r="Y100" s="48"/>
      <c r="Z100" s="48"/>
      <c r="AA100" s="48"/>
    </row>
    <row r="101" spans="1:27" ht="15.75" customHeight="1" x14ac:dyDescent="0.2">
      <c r="A101" s="48"/>
      <c r="B101" s="48"/>
      <c r="C101" s="48"/>
      <c r="D101" s="48"/>
      <c r="E101" s="48"/>
      <c r="F101" s="48"/>
      <c r="G101" s="48"/>
      <c r="H101" s="48"/>
      <c r="I101" s="48"/>
      <c r="J101" s="48"/>
      <c r="K101" s="48"/>
      <c r="L101" s="48"/>
      <c r="M101" s="48"/>
      <c r="N101" s="48"/>
      <c r="O101" s="48"/>
      <c r="P101" s="48"/>
      <c r="Q101" s="48"/>
      <c r="R101" s="48"/>
      <c r="S101" s="48"/>
      <c r="T101" s="48"/>
      <c r="U101" s="48"/>
      <c r="V101" s="48"/>
      <c r="W101" s="48"/>
      <c r="X101" s="48"/>
      <c r="Y101" s="48"/>
      <c r="Z101" s="48"/>
      <c r="AA101" s="48"/>
    </row>
    <row r="102" spans="1:27" ht="15.75" customHeight="1" x14ac:dyDescent="0.2">
      <c r="A102" s="48"/>
      <c r="B102" s="48"/>
      <c r="C102" s="48"/>
      <c r="D102" s="48"/>
      <c r="E102" s="48"/>
      <c r="F102" s="48"/>
      <c r="G102" s="48"/>
      <c r="H102" s="48"/>
      <c r="I102" s="48"/>
      <c r="J102" s="48"/>
      <c r="K102" s="48"/>
      <c r="L102" s="48"/>
      <c r="M102" s="48"/>
      <c r="N102" s="48"/>
      <c r="O102" s="48"/>
      <c r="P102" s="48"/>
      <c r="Q102" s="48"/>
      <c r="R102" s="48"/>
      <c r="S102" s="48"/>
      <c r="T102" s="48"/>
      <c r="U102" s="48"/>
      <c r="V102" s="48"/>
      <c r="W102" s="48"/>
      <c r="X102" s="48"/>
      <c r="Y102" s="48"/>
      <c r="Z102" s="48"/>
      <c r="AA102" s="48"/>
    </row>
    <row r="103" spans="1:27" ht="15.75" customHeight="1" x14ac:dyDescent="0.2">
      <c r="A103" s="48"/>
      <c r="B103" s="48"/>
      <c r="C103" s="48"/>
      <c r="D103" s="48"/>
      <c r="E103" s="48"/>
      <c r="F103" s="48"/>
      <c r="G103" s="48"/>
      <c r="H103" s="48"/>
      <c r="I103" s="48"/>
      <c r="J103" s="48"/>
      <c r="K103" s="48"/>
      <c r="L103" s="48"/>
      <c r="M103" s="48"/>
      <c r="N103" s="48"/>
      <c r="O103" s="48"/>
      <c r="P103" s="48"/>
      <c r="Q103" s="48"/>
      <c r="R103" s="48"/>
      <c r="S103" s="48"/>
      <c r="T103" s="48"/>
      <c r="U103" s="48"/>
      <c r="V103" s="48"/>
      <c r="W103" s="48"/>
      <c r="X103" s="48"/>
      <c r="Y103" s="48"/>
      <c r="Z103" s="48"/>
      <c r="AA103" s="48"/>
    </row>
    <row r="104" spans="1:27" ht="15.75" customHeight="1" x14ac:dyDescent="0.2">
      <c r="A104" s="48"/>
      <c r="B104" s="48"/>
      <c r="C104" s="48"/>
      <c r="D104" s="48"/>
      <c r="E104" s="48"/>
      <c r="F104" s="48"/>
      <c r="G104" s="48"/>
      <c r="H104" s="48"/>
      <c r="I104" s="48"/>
      <c r="J104" s="48"/>
      <c r="K104" s="48"/>
      <c r="L104" s="48"/>
      <c r="M104" s="48"/>
      <c r="N104" s="48"/>
      <c r="O104" s="48"/>
      <c r="P104" s="48"/>
      <c r="Q104" s="48"/>
      <c r="R104" s="48"/>
      <c r="S104" s="48"/>
      <c r="T104" s="48"/>
      <c r="U104" s="48"/>
      <c r="V104" s="48"/>
      <c r="W104" s="48"/>
      <c r="X104" s="48"/>
      <c r="Y104" s="48"/>
      <c r="Z104" s="48"/>
      <c r="AA104" s="48"/>
    </row>
    <row r="105" spans="1:27" ht="15.75" customHeight="1" x14ac:dyDescent="0.2">
      <c r="A105" s="48"/>
      <c r="B105" s="48"/>
      <c r="C105" s="48"/>
      <c r="D105" s="48"/>
      <c r="E105" s="48"/>
      <c r="F105" s="48"/>
      <c r="G105" s="48"/>
      <c r="H105" s="48"/>
      <c r="I105" s="48"/>
      <c r="J105" s="48"/>
      <c r="K105" s="48"/>
      <c r="L105" s="48"/>
      <c r="M105" s="48"/>
      <c r="N105" s="48"/>
      <c r="O105" s="48"/>
      <c r="P105" s="48"/>
      <c r="Q105" s="48"/>
      <c r="R105" s="48"/>
      <c r="S105" s="48"/>
      <c r="T105" s="48"/>
      <c r="U105" s="48"/>
      <c r="V105" s="48"/>
      <c r="W105" s="48"/>
      <c r="X105" s="48"/>
      <c r="Y105" s="48"/>
      <c r="Z105" s="48"/>
      <c r="AA105" s="48"/>
    </row>
    <row r="106" spans="1:27" ht="15.75" customHeight="1" x14ac:dyDescent="0.2">
      <c r="A106" s="48"/>
      <c r="B106" s="48"/>
      <c r="C106" s="48"/>
      <c r="D106" s="48"/>
      <c r="E106" s="48"/>
      <c r="F106" s="48"/>
      <c r="G106" s="48"/>
      <c r="H106" s="48"/>
      <c r="I106" s="48"/>
      <c r="J106" s="48"/>
      <c r="K106" s="48"/>
      <c r="L106" s="48"/>
      <c r="M106" s="48"/>
      <c r="N106" s="48"/>
      <c r="O106" s="48"/>
      <c r="P106" s="48"/>
      <c r="Q106" s="48"/>
      <c r="R106" s="48"/>
      <c r="S106" s="48"/>
      <c r="T106" s="48"/>
      <c r="U106" s="48"/>
      <c r="V106" s="48"/>
      <c r="W106" s="48"/>
      <c r="X106" s="48"/>
      <c r="Y106" s="48"/>
      <c r="Z106" s="48"/>
      <c r="AA106" s="48"/>
    </row>
    <row r="107" spans="1:27" ht="15.75" customHeight="1" x14ac:dyDescent="0.2">
      <c r="A107" s="48"/>
      <c r="B107" s="48"/>
      <c r="C107" s="48"/>
      <c r="D107" s="48"/>
      <c r="E107" s="48"/>
      <c r="F107" s="48"/>
      <c r="G107" s="48"/>
      <c r="H107" s="48"/>
      <c r="I107" s="48"/>
      <c r="J107" s="48"/>
      <c r="K107" s="48"/>
      <c r="L107" s="48"/>
      <c r="M107" s="48"/>
      <c r="N107" s="48"/>
      <c r="O107" s="48"/>
      <c r="P107" s="48"/>
      <c r="Q107" s="48"/>
      <c r="R107" s="48"/>
      <c r="S107" s="48"/>
      <c r="T107" s="48"/>
      <c r="U107" s="48"/>
      <c r="V107" s="48"/>
      <c r="W107" s="48"/>
      <c r="X107" s="48"/>
      <c r="Y107" s="48"/>
      <c r="Z107" s="48"/>
      <c r="AA107" s="48"/>
    </row>
    <row r="108" spans="1:27" ht="15.75" customHeight="1" x14ac:dyDescent="0.2">
      <c r="A108" s="48"/>
      <c r="B108" s="48"/>
      <c r="C108" s="48"/>
      <c r="D108" s="48"/>
      <c r="E108" s="48"/>
      <c r="F108" s="48"/>
      <c r="G108" s="48"/>
      <c r="H108" s="48"/>
      <c r="I108" s="48"/>
      <c r="J108" s="48"/>
      <c r="K108" s="48"/>
      <c r="L108" s="48"/>
      <c r="M108" s="48"/>
      <c r="N108" s="48"/>
      <c r="O108" s="48"/>
      <c r="P108" s="48"/>
      <c r="Q108" s="48"/>
      <c r="R108" s="48"/>
      <c r="S108" s="48"/>
      <c r="T108" s="48"/>
      <c r="U108" s="48"/>
      <c r="V108" s="48"/>
      <c r="W108" s="48"/>
      <c r="X108" s="48"/>
      <c r="Y108" s="48"/>
      <c r="Z108" s="48"/>
      <c r="AA108" s="48"/>
    </row>
    <row r="109" spans="1:27" ht="15.75" customHeight="1" x14ac:dyDescent="0.2">
      <c r="A109" s="48"/>
      <c r="B109" s="48"/>
      <c r="C109" s="48"/>
      <c r="D109" s="48"/>
      <c r="E109" s="48"/>
      <c r="F109" s="48"/>
      <c r="G109" s="48"/>
      <c r="H109" s="48"/>
      <c r="I109" s="48"/>
      <c r="J109" s="48"/>
      <c r="K109" s="48"/>
      <c r="L109" s="48"/>
      <c r="M109" s="48"/>
      <c r="N109" s="48"/>
      <c r="O109" s="48"/>
      <c r="P109" s="48"/>
      <c r="Q109" s="48"/>
      <c r="R109" s="48"/>
      <c r="S109" s="48"/>
      <c r="T109" s="48"/>
      <c r="U109" s="48"/>
      <c r="V109" s="48"/>
      <c r="W109" s="48"/>
      <c r="X109" s="48"/>
      <c r="Y109" s="48"/>
      <c r="Z109" s="48"/>
      <c r="AA109" s="48"/>
    </row>
    <row r="110" spans="1:27" ht="15.75" customHeight="1" x14ac:dyDescent="0.2">
      <c r="A110" s="48"/>
      <c r="B110" s="48"/>
      <c r="C110" s="48"/>
      <c r="D110" s="48"/>
      <c r="E110" s="48"/>
      <c r="F110" s="48"/>
      <c r="G110" s="48"/>
      <c r="H110" s="48"/>
      <c r="I110" s="48"/>
      <c r="J110" s="48"/>
      <c r="K110" s="48"/>
      <c r="L110" s="48"/>
      <c r="M110" s="48"/>
      <c r="N110" s="48"/>
      <c r="O110" s="48"/>
      <c r="P110" s="48"/>
      <c r="Q110" s="48"/>
      <c r="R110" s="48"/>
      <c r="S110" s="48"/>
      <c r="T110" s="48"/>
      <c r="U110" s="48"/>
      <c r="V110" s="48"/>
      <c r="W110" s="48"/>
      <c r="X110" s="48"/>
      <c r="Y110" s="48"/>
      <c r="Z110" s="48"/>
      <c r="AA110" s="48"/>
    </row>
    <row r="111" spans="1:27" ht="15.75" customHeight="1" x14ac:dyDescent="0.2">
      <c r="A111" s="48"/>
      <c r="B111" s="48"/>
      <c r="C111" s="48"/>
      <c r="D111" s="48"/>
      <c r="E111" s="48"/>
      <c r="F111" s="48"/>
      <c r="G111" s="48"/>
      <c r="H111" s="48"/>
      <c r="I111" s="48"/>
      <c r="J111" s="48"/>
      <c r="K111" s="48"/>
      <c r="L111" s="48"/>
      <c r="M111" s="48"/>
      <c r="N111" s="48"/>
      <c r="O111" s="48"/>
      <c r="P111" s="48"/>
      <c r="Q111" s="48"/>
      <c r="R111" s="48"/>
      <c r="S111" s="48"/>
      <c r="T111" s="48"/>
      <c r="U111" s="48"/>
      <c r="V111" s="48"/>
      <c r="W111" s="48"/>
      <c r="X111" s="48"/>
      <c r="Y111" s="48"/>
      <c r="Z111" s="48"/>
      <c r="AA111" s="48"/>
    </row>
    <row r="112" spans="1:27" ht="15.75" customHeight="1" x14ac:dyDescent="0.2">
      <c r="A112" s="48"/>
      <c r="B112" s="48"/>
      <c r="C112" s="48"/>
      <c r="D112" s="48"/>
      <c r="E112" s="48"/>
      <c r="F112" s="48"/>
      <c r="G112" s="48"/>
      <c r="H112" s="48"/>
      <c r="I112" s="48"/>
      <c r="J112" s="48"/>
      <c r="K112" s="48"/>
      <c r="L112" s="48"/>
      <c r="M112" s="48"/>
      <c r="N112" s="48"/>
      <c r="O112" s="48"/>
      <c r="P112" s="48"/>
      <c r="Q112" s="48"/>
      <c r="R112" s="48"/>
      <c r="S112" s="48"/>
      <c r="T112" s="48"/>
      <c r="U112" s="48"/>
      <c r="V112" s="48"/>
      <c r="W112" s="48"/>
      <c r="X112" s="48"/>
      <c r="Y112" s="48"/>
      <c r="Z112" s="48"/>
      <c r="AA112" s="48"/>
    </row>
    <row r="113" spans="1:27" ht="15.75" customHeight="1" x14ac:dyDescent="0.2">
      <c r="A113" s="48"/>
      <c r="B113" s="48"/>
      <c r="C113" s="48"/>
      <c r="D113" s="48"/>
      <c r="E113" s="48"/>
      <c r="F113" s="48"/>
      <c r="G113" s="48"/>
      <c r="H113" s="48"/>
      <c r="I113" s="48"/>
      <c r="J113" s="48"/>
      <c r="K113" s="48"/>
      <c r="L113" s="48"/>
      <c r="M113" s="48"/>
      <c r="N113" s="48"/>
      <c r="O113" s="48"/>
      <c r="P113" s="48"/>
      <c r="Q113" s="48"/>
      <c r="R113" s="48"/>
      <c r="S113" s="48"/>
      <c r="T113" s="48"/>
      <c r="U113" s="48"/>
      <c r="V113" s="48"/>
      <c r="W113" s="48"/>
      <c r="X113" s="48"/>
      <c r="Y113" s="48"/>
      <c r="Z113" s="48"/>
      <c r="AA113" s="48"/>
    </row>
    <row r="114" spans="1:27" ht="15.75" customHeight="1" x14ac:dyDescent="0.2">
      <c r="A114" s="48"/>
      <c r="B114" s="48"/>
      <c r="C114" s="48"/>
      <c r="D114" s="48"/>
      <c r="E114" s="48"/>
      <c r="F114" s="48"/>
      <c r="G114" s="48"/>
      <c r="H114" s="48"/>
      <c r="I114" s="48"/>
      <c r="J114" s="48"/>
      <c r="K114" s="48"/>
      <c r="L114" s="48"/>
      <c r="M114" s="48"/>
      <c r="N114" s="48"/>
      <c r="O114" s="48"/>
      <c r="P114" s="48"/>
      <c r="Q114" s="48"/>
      <c r="R114" s="48"/>
      <c r="S114" s="48"/>
      <c r="T114" s="48"/>
      <c r="U114" s="48"/>
      <c r="V114" s="48"/>
      <c r="W114" s="48"/>
      <c r="X114" s="48"/>
      <c r="Y114" s="48"/>
      <c r="Z114" s="48"/>
      <c r="AA114" s="48"/>
    </row>
    <row r="115" spans="1:27" ht="15.75" customHeight="1" x14ac:dyDescent="0.2">
      <c r="A115" s="48"/>
      <c r="B115" s="48"/>
      <c r="C115" s="48"/>
      <c r="D115" s="48"/>
      <c r="E115" s="48"/>
      <c r="F115" s="48"/>
      <c r="G115" s="48"/>
      <c r="H115" s="48"/>
      <c r="I115" s="48"/>
      <c r="J115" s="48"/>
      <c r="K115" s="48"/>
      <c r="L115" s="48"/>
      <c r="M115" s="48"/>
      <c r="N115" s="48"/>
      <c r="O115" s="48"/>
      <c r="P115" s="48"/>
      <c r="Q115" s="48"/>
      <c r="R115" s="48"/>
      <c r="S115" s="48"/>
      <c r="T115" s="48"/>
      <c r="U115" s="48"/>
      <c r="V115" s="48"/>
      <c r="W115" s="48"/>
      <c r="X115" s="48"/>
      <c r="Y115" s="48"/>
      <c r="Z115" s="48"/>
      <c r="AA115" s="48"/>
    </row>
    <row r="116" spans="1:27" ht="15.75" customHeight="1" x14ac:dyDescent="0.2">
      <c r="A116" s="48"/>
      <c r="B116" s="48"/>
      <c r="C116" s="48"/>
      <c r="D116" s="48"/>
      <c r="E116" s="48"/>
      <c r="F116" s="48"/>
      <c r="G116" s="48"/>
      <c r="H116" s="48"/>
      <c r="I116" s="48"/>
      <c r="J116" s="48"/>
      <c r="K116" s="48"/>
      <c r="L116" s="48"/>
      <c r="M116" s="48"/>
      <c r="N116" s="48"/>
      <c r="O116" s="48"/>
      <c r="P116" s="48"/>
      <c r="Q116" s="48"/>
      <c r="R116" s="48"/>
      <c r="S116" s="48"/>
      <c r="T116" s="48"/>
      <c r="U116" s="48"/>
      <c r="V116" s="48"/>
      <c r="W116" s="48"/>
      <c r="X116" s="48"/>
      <c r="Y116" s="48"/>
      <c r="Z116" s="48"/>
      <c r="AA116" s="48"/>
    </row>
    <row r="117" spans="1:27" ht="15.75" customHeight="1" x14ac:dyDescent="0.2">
      <c r="A117" s="48"/>
      <c r="B117" s="48"/>
      <c r="C117" s="48"/>
      <c r="D117" s="48"/>
      <c r="E117" s="48"/>
      <c r="F117" s="48"/>
      <c r="G117" s="48"/>
      <c r="H117" s="48"/>
      <c r="I117" s="48"/>
      <c r="J117" s="48"/>
      <c r="K117" s="48"/>
      <c r="L117" s="48"/>
      <c r="M117" s="48"/>
      <c r="N117" s="48"/>
      <c r="O117" s="48"/>
      <c r="P117" s="48"/>
      <c r="Q117" s="48"/>
      <c r="R117" s="48"/>
      <c r="S117" s="48"/>
      <c r="T117" s="48"/>
      <c r="U117" s="48"/>
      <c r="V117" s="48"/>
      <c r="W117" s="48"/>
      <c r="X117" s="48"/>
      <c r="Y117" s="48"/>
      <c r="Z117" s="48"/>
      <c r="AA117" s="48"/>
    </row>
    <row r="118" spans="1:27" ht="15.75" customHeight="1" x14ac:dyDescent="0.2">
      <c r="A118" s="48"/>
      <c r="B118" s="48"/>
      <c r="C118" s="48"/>
      <c r="D118" s="48"/>
      <c r="E118" s="48"/>
      <c r="F118" s="48"/>
      <c r="G118" s="48"/>
      <c r="H118" s="48"/>
      <c r="I118" s="48"/>
      <c r="J118" s="48"/>
      <c r="K118" s="48"/>
      <c r="L118" s="48"/>
      <c r="M118" s="48"/>
      <c r="N118" s="48"/>
      <c r="O118" s="48"/>
      <c r="P118" s="48"/>
      <c r="Q118" s="48"/>
      <c r="R118" s="48"/>
      <c r="S118" s="48"/>
      <c r="T118" s="48"/>
      <c r="U118" s="48"/>
      <c r="V118" s="48"/>
      <c r="W118" s="48"/>
      <c r="X118" s="48"/>
      <c r="Y118" s="48"/>
      <c r="Z118" s="48"/>
      <c r="AA118" s="48"/>
    </row>
    <row r="119" spans="1:27" ht="15.75" customHeight="1" x14ac:dyDescent="0.2">
      <c r="A119" s="48"/>
      <c r="B119" s="48"/>
      <c r="C119" s="48"/>
      <c r="D119" s="48"/>
      <c r="E119" s="48"/>
      <c r="F119" s="48"/>
      <c r="G119" s="48"/>
      <c r="H119" s="48"/>
      <c r="I119" s="48"/>
      <c r="J119" s="48"/>
      <c r="K119" s="48"/>
      <c r="L119" s="48"/>
      <c r="M119" s="48"/>
      <c r="N119" s="48"/>
      <c r="O119" s="48"/>
      <c r="P119" s="48"/>
      <c r="Q119" s="48"/>
      <c r="R119" s="48"/>
      <c r="S119" s="48"/>
      <c r="T119" s="48"/>
      <c r="U119" s="48"/>
      <c r="V119" s="48"/>
      <c r="W119" s="48"/>
      <c r="X119" s="48"/>
      <c r="Y119" s="48"/>
      <c r="Z119" s="48"/>
      <c r="AA119" s="48"/>
    </row>
    <row r="120" spans="1:27" ht="15.75" customHeight="1" x14ac:dyDescent="0.2">
      <c r="A120" s="48"/>
      <c r="B120" s="48"/>
      <c r="C120" s="48"/>
      <c r="D120" s="48"/>
      <c r="E120" s="48"/>
      <c r="F120" s="48"/>
      <c r="G120" s="48"/>
      <c r="H120" s="48"/>
      <c r="I120" s="48"/>
      <c r="J120" s="48"/>
      <c r="K120" s="48"/>
      <c r="L120" s="48"/>
      <c r="M120" s="48"/>
      <c r="N120" s="48"/>
      <c r="O120" s="48"/>
      <c r="P120" s="48"/>
      <c r="Q120" s="48"/>
      <c r="R120" s="48"/>
      <c r="S120" s="48"/>
      <c r="T120" s="48"/>
      <c r="U120" s="48"/>
      <c r="V120" s="48"/>
      <c r="W120" s="48"/>
      <c r="X120" s="48"/>
      <c r="Y120" s="48"/>
      <c r="Z120" s="48"/>
      <c r="AA120" s="48"/>
    </row>
    <row r="121" spans="1:27" ht="15.75" customHeight="1" x14ac:dyDescent="0.2">
      <c r="A121" s="48"/>
      <c r="B121" s="48"/>
      <c r="C121" s="48"/>
      <c r="D121" s="48"/>
      <c r="E121" s="48"/>
      <c r="F121" s="48"/>
      <c r="G121" s="48"/>
      <c r="H121" s="48"/>
      <c r="I121" s="48"/>
      <c r="J121" s="48"/>
      <c r="K121" s="48"/>
      <c r="L121" s="48"/>
      <c r="M121" s="48"/>
      <c r="N121" s="48"/>
      <c r="O121" s="48"/>
      <c r="P121" s="48"/>
      <c r="Q121" s="48"/>
      <c r="R121" s="48"/>
      <c r="S121" s="48"/>
      <c r="T121" s="48"/>
      <c r="U121" s="48"/>
      <c r="V121" s="48"/>
      <c r="W121" s="48"/>
      <c r="X121" s="48"/>
      <c r="Y121" s="48"/>
      <c r="Z121" s="48"/>
      <c r="AA121" s="48"/>
    </row>
    <row r="122" spans="1:27" ht="15.75" customHeight="1" x14ac:dyDescent="0.2">
      <c r="A122" s="48"/>
      <c r="B122" s="48"/>
      <c r="C122" s="48"/>
      <c r="D122" s="48"/>
      <c r="E122" s="48"/>
      <c r="F122" s="48"/>
      <c r="G122" s="48"/>
      <c r="H122" s="48"/>
      <c r="I122" s="48"/>
      <c r="J122" s="48"/>
      <c r="K122" s="48"/>
      <c r="L122" s="48"/>
      <c r="M122" s="48"/>
      <c r="N122" s="48"/>
      <c r="O122" s="48"/>
      <c r="P122" s="48"/>
      <c r="Q122" s="48"/>
      <c r="R122" s="48"/>
      <c r="S122" s="48"/>
      <c r="T122" s="48"/>
      <c r="U122" s="48"/>
      <c r="V122" s="48"/>
      <c r="W122" s="48"/>
      <c r="X122" s="48"/>
      <c r="Y122" s="48"/>
      <c r="Z122" s="48"/>
      <c r="AA122" s="48"/>
    </row>
    <row r="123" spans="1:27" ht="15.75" customHeight="1" x14ac:dyDescent="0.2">
      <c r="A123" s="48"/>
      <c r="B123" s="48"/>
      <c r="C123" s="48"/>
      <c r="D123" s="48"/>
      <c r="E123" s="48"/>
      <c r="F123" s="48"/>
      <c r="G123" s="48"/>
      <c r="H123" s="48"/>
      <c r="I123" s="48"/>
      <c r="J123" s="48"/>
      <c r="K123" s="48"/>
      <c r="L123" s="48"/>
      <c r="M123" s="48"/>
      <c r="N123" s="48"/>
      <c r="O123" s="48"/>
      <c r="P123" s="48"/>
      <c r="Q123" s="48"/>
      <c r="R123" s="48"/>
      <c r="S123" s="48"/>
      <c r="T123" s="48"/>
      <c r="U123" s="48"/>
      <c r="V123" s="48"/>
      <c r="W123" s="48"/>
      <c r="X123" s="48"/>
      <c r="Y123" s="48"/>
      <c r="Z123" s="48"/>
      <c r="AA123" s="48"/>
    </row>
    <row r="124" spans="1:27" ht="15.75" customHeight="1" x14ac:dyDescent="0.2">
      <c r="A124" s="48"/>
      <c r="B124" s="48"/>
      <c r="C124" s="48"/>
      <c r="D124" s="48"/>
      <c r="E124" s="48"/>
      <c r="F124" s="48"/>
      <c r="G124" s="48"/>
      <c r="H124" s="48"/>
      <c r="I124" s="48"/>
      <c r="J124" s="48"/>
      <c r="K124" s="48"/>
      <c r="L124" s="48"/>
      <c r="M124" s="48"/>
      <c r="N124" s="48"/>
      <c r="O124" s="48"/>
      <c r="P124" s="48"/>
      <c r="Q124" s="48"/>
      <c r="R124" s="48"/>
      <c r="S124" s="48"/>
      <c r="T124" s="48"/>
      <c r="U124" s="48"/>
      <c r="V124" s="48"/>
      <c r="W124" s="48"/>
      <c r="X124" s="48"/>
      <c r="Y124" s="48"/>
      <c r="Z124" s="48"/>
      <c r="AA124" s="48"/>
    </row>
    <row r="125" spans="1:27" ht="15.75" customHeight="1" x14ac:dyDescent="0.2">
      <c r="A125" s="48"/>
      <c r="B125" s="48"/>
      <c r="C125" s="48"/>
      <c r="D125" s="48"/>
      <c r="E125" s="48"/>
      <c r="F125" s="48"/>
      <c r="G125" s="48"/>
      <c r="H125" s="48"/>
      <c r="I125" s="48"/>
      <c r="J125" s="48"/>
      <c r="K125" s="48"/>
      <c r="L125" s="48"/>
      <c r="M125" s="48"/>
      <c r="N125" s="48"/>
      <c r="O125" s="48"/>
      <c r="P125" s="48"/>
      <c r="Q125" s="48"/>
      <c r="R125" s="48"/>
      <c r="S125" s="48"/>
      <c r="T125" s="48"/>
      <c r="U125" s="48"/>
      <c r="V125" s="48"/>
      <c r="W125" s="48"/>
      <c r="X125" s="48"/>
      <c r="Y125" s="48"/>
      <c r="Z125" s="48"/>
      <c r="AA125" s="48"/>
    </row>
    <row r="126" spans="1:27" ht="15.75" customHeight="1" x14ac:dyDescent="0.2">
      <c r="A126" s="48"/>
      <c r="B126" s="48"/>
      <c r="C126" s="48"/>
      <c r="D126" s="48"/>
      <c r="E126" s="48"/>
      <c r="F126" s="48"/>
      <c r="G126" s="48"/>
      <c r="H126" s="48"/>
      <c r="I126" s="48"/>
      <c r="J126" s="48"/>
      <c r="K126" s="48"/>
      <c r="L126" s="48"/>
      <c r="M126" s="48"/>
      <c r="N126" s="48"/>
      <c r="O126" s="48"/>
      <c r="P126" s="48"/>
      <c r="Q126" s="48"/>
      <c r="R126" s="48"/>
      <c r="S126" s="48"/>
      <c r="T126" s="48"/>
      <c r="U126" s="48"/>
      <c r="V126" s="48"/>
      <c r="W126" s="48"/>
      <c r="X126" s="48"/>
      <c r="Y126" s="48"/>
      <c r="Z126" s="48"/>
      <c r="AA126" s="48"/>
    </row>
    <row r="127" spans="1:27" ht="15.75" customHeight="1" x14ac:dyDescent="0.2">
      <c r="A127" s="48"/>
      <c r="B127" s="48"/>
      <c r="C127" s="48"/>
      <c r="D127" s="48"/>
      <c r="E127" s="48"/>
      <c r="F127" s="48"/>
      <c r="G127" s="48"/>
      <c r="H127" s="48"/>
      <c r="I127" s="48"/>
      <c r="J127" s="48"/>
      <c r="K127" s="48"/>
      <c r="L127" s="48"/>
      <c r="M127" s="48"/>
      <c r="N127" s="48"/>
      <c r="O127" s="48"/>
      <c r="P127" s="48"/>
      <c r="Q127" s="48"/>
      <c r="R127" s="48"/>
      <c r="S127" s="48"/>
      <c r="T127" s="48"/>
      <c r="U127" s="48"/>
      <c r="V127" s="48"/>
      <c r="W127" s="48"/>
      <c r="X127" s="48"/>
      <c r="Y127" s="48"/>
      <c r="Z127" s="48"/>
      <c r="AA127" s="48"/>
    </row>
    <row r="128" spans="1:27" ht="15.75" customHeight="1" x14ac:dyDescent="0.2">
      <c r="A128" s="48"/>
      <c r="B128" s="48"/>
      <c r="C128" s="48"/>
      <c r="D128" s="48"/>
      <c r="E128" s="48"/>
      <c r="F128" s="48"/>
      <c r="G128" s="48"/>
      <c r="H128" s="48"/>
      <c r="I128" s="48"/>
      <c r="J128" s="48"/>
      <c r="K128" s="48"/>
      <c r="L128" s="48"/>
      <c r="M128" s="48"/>
      <c r="N128" s="48"/>
      <c r="O128" s="48"/>
      <c r="P128" s="48"/>
      <c r="Q128" s="48"/>
      <c r="R128" s="48"/>
      <c r="S128" s="48"/>
      <c r="T128" s="48"/>
      <c r="U128" s="48"/>
      <c r="V128" s="48"/>
      <c r="W128" s="48"/>
      <c r="X128" s="48"/>
      <c r="Y128" s="48"/>
      <c r="Z128" s="48"/>
      <c r="AA128" s="48"/>
    </row>
    <row r="129" spans="1:27" ht="15.75" customHeight="1" x14ac:dyDescent="0.2">
      <c r="A129" s="48"/>
      <c r="B129" s="48"/>
      <c r="C129" s="48"/>
      <c r="D129" s="48"/>
      <c r="E129" s="48"/>
      <c r="F129" s="48"/>
      <c r="G129" s="48"/>
      <c r="H129" s="48"/>
      <c r="I129" s="48"/>
      <c r="J129" s="48"/>
      <c r="K129" s="48"/>
      <c r="L129" s="48"/>
      <c r="M129" s="48"/>
      <c r="N129" s="48"/>
      <c r="O129" s="48"/>
      <c r="P129" s="48"/>
      <c r="Q129" s="48"/>
      <c r="R129" s="48"/>
      <c r="S129" s="48"/>
      <c r="T129" s="48"/>
      <c r="U129" s="48"/>
      <c r="V129" s="48"/>
      <c r="W129" s="48"/>
      <c r="X129" s="48"/>
      <c r="Y129" s="48"/>
      <c r="Z129" s="48"/>
      <c r="AA129" s="48"/>
    </row>
    <row r="130" spans="1:27" ht="15.75" customHeight="1" x14ac:dyDescent="0.2">
      <c r="A130" s="48"/>
      <c r="B130" s="48"/>
      <c r="C130" s="48"/>
      <c r="D130" s="48"/>
      <c r="E130" s="48"/>
      <c r="F130" s="48"/>
      <c r="G130" s="48"/>
      <c r="H130" s="48"/>
      <c r="I130" s="48"/>
      <c r="J130" s="48"/>
      <c r="K130" s="48"/>
      <c r="L130" s="48"/>
      <c r="M130" s="48"/>
      <c r="N130" s="48"/>
      <c r="O130" s="48"/>
      <c r="P130" s="48"/>
      <c r="Q130" s="48"/>
      <c r="R130" s="48"/>
      <c r="S130" s="48"/>
      <c r="T130" s="48"/>
      <c r="U130" s="48"/>
      <c r="V130" s="48"/>
      <c r="W130" s="48"/>
      <c r="X130" s="48"/>
      <c r="Y130" s="48"/>
      <c r="Z130" s="48"/>
      <c r="AA130" s="48"/>
    </row>
    <row r="131" spans="1:27" ht="15.75" customHeight="1" x14ac:dyDescent="0.2">
      <c r="A131" s="48"/>
      <c r="B131" s="48"/>
      <c r="C131" s="48"/>
      <c r="D131" s="48"/>
      <c r="E131" s="48"/>
      <c r="F131" s="48"/>
      <c r="G131" s="48"/>
      <c r="H131" s="48"/>
      <c r="I131" s="48"/>
      <c r="J131" s="48"/>
      <c r="K131" s="48"/>
      <c r="L131" s="48"/>
      <c r="M131" s="48"/>
      <c r="N131" s="48"/>
      <c r="O131" s="48"/>
      <c r="P131" s="48"/>
      <c r="Q131" s="48"/>
      <c r="R131" s="48"/>
      <c r="S131" s="48"/>
      <c r="T131" s="48"/>
      <c r="U131" s="48"/>
      <c r="V131" s="48"/>
      <c r="W131" s="48"/>
      <c r="X131" s="48"/>
      <c r="Y131" s="48"/>
      <c r="Z131" s="48"/>
      <c r="AA131" s="48"/>
    </row>
    <row r="132" spans="1:27" ht="15.75" customHeight="1" x14ac:dyDescent="0.2">
      <c r="A132" s="48"/>
      <c r="B132" s="48"/>
      <c r="C132" s="48"/>
      <c r="D132" s="48"/>
      <c r="E132" s="48"/>
      <c r="F132" s="48"/>
      <c r="G132" s="48"/>
      <c r="H132" s="48"/>
      <c r="I132" s="48"/>
      <c r="J132" s="48"/>
      <c r="K132" s="48"/>
      <c r="L132" s="48"/>
      <c r="M132" s="48"/>
      <c r="N132" s="48"/>
      <c r="O132" s="48"/>
      <c r="P132" s="48"/>
      <c r="Q132" s="48"/>
      <c r="R132" s="48"/>
      <c r="S132" s="48"/>
      <c r="T132" s="48"/>
      <c r="U132" s="48"/>
      <c r="V132" s="48"/>
      <c r="W132" s="48"/>
      <c r="X132" s="48"/>
      <c r="Y132" s="48"/>
      <c r="Z132" s="48"/>
      <c r="AA132" s="48"/>
    </row>
    <row r="133" spans="1:27" ht="15.75" customHeight="1" x14ac:dyDescent="0.2">
      <c r="A133" s="48"/>
      <c r="B133" s="48"/>
      <c r="C133" s="48"/>
      <c r="D133" s="48"/>
      <c r="E133" s="48"/>
      <c r="F133" s="48"/>
      <c r="G133" s="48"/>
      <c r="H133" s="48"/>
      <c r="I133" s="48"/>
      <c r="J133" s="48"/>
      <c r="K133" s="48"/>
      <c r="L133" s="48"/>
      <c r="M133" s="48"/>
      <c r="N133" s="48"/>
      <c r="O133" s="48"/>
      <c r="P133" s="48"/>
      <c r="Q133" s="48"/>
      <c r="R133" s="48"/>
      <c r="S133" s="48"/>
      <c r="T133" s="48"/>
      <c r="U133" s="48"/>
      <c r="V133" s="48"/>
      <c r="W133" s="48"/>
      <c r="X133" s="48"/>
      <c r="Y133" s="48"/>
      <c r="Z133" s="48"/>
      <c r="AA133" s="48"/>
    </row>
    <row r="134" spans="1:27" ht="15.75" customHeight="1" x14ac:dyDescent="0.2">
      <c r="A134" s="48"/>
      <c r="B134" s="48"/>
      <c r="C134" s="48"/>
      <c r="D134" s="48"/>
      <c r="E134" s="48"/>
      <c r="F134" s="48"/>
      <c r="G134" s="48"/>
      <c r="H134" s="48"/>
      <c r="I134" s="48"/>
      <c r="J134" s="48"/>
      <c r="K134" s="48"/>
      <c r="L134" s="48"/>
      <c r="M134" s="48"/>
      <c r="N134" s="48"/>
      <c r="O134" s="48"/>
      <c r="P134" s="48"/>
      <c r="Q134" s="48"/>
      <c r="R134" s="48"/>
      <c r="S134" s="48"/>
      <c r="T134" s="48"/>
      <c r="U134" s="48"/>
      <c r="V134" s="48"/>
      <c r="W134" s="48"/>
      <c r="X134" s="48"/>
      <c r="Y134" s="48"/>
      <c r="Z134" s="48"/>
      <c r="AA134" s="48"/>
    </row>
    <row r="135" spans="1:27" ht="15.75" customHeight="1" x14ac:dyDescent="0.2">
      <c r="A135" s="48"/>
      <c r="B135" s="48"/>
      <c r="C135" s="48"/>
      <c r="D135" s="48"/>
      <c r="E135" s="48"/>
      <c r="F135" s="48"/>
      <c r="G135" s="48"/>
      <c r="H135" s="48"/>
      <c r="I135" s="48"/>
      <c r="J135" s="48"/>
      <c r="K135" s="48"/>
      <c r="L135" s="48"/>
      <c r="M135" s="48"/>
      <c r="N135" s="48"/>
      <c r="O135" s="48"/>
      <c r="P135" s="48"/>
      <c r="Q135" s="48"/>
      <c r="R135" s="48"/>
      <c r="S135" s="48"/>
      <c r="T135" s="48"/>
      <c r="U135" s="48"/>
      <c r="V135" s="48"/>
      <c r="W135" s="48"/>
      <c r="X135" s="48"/>
      <c r="Y135" s="48"/>
      <c r="Z135" s="48"/>
      <c r="AA135" s="48"/>
    </row>
    <row r="136" spans="1:27" ht="15.75" customHeight="1" x14ac:dyDescent="0.2">
      <c r="A136" s="48"/>
      <c r="B136" s="48"/>
      <c r="C136" s="48"/>
      <c r="D136" s="48"/>
      <c r="E136" s="48"/>
      <c r="F136" s="48"/>
      <c r="G136" s="48"/>
      <c r="H136" s="48"/>
      <c r="I136" s="48"/>
      <c r="J136" s="48"/>
      <c r="K136" s="48"/>
      <c r="L136" s="48"/>
      <c r="M136" s="48"/>
      <c r="N136" s="48"/>
      <c r="O136" s="48"/>
      <c r="P136" s="48"/>
      <c r="Q136" s="48"/>
      <c r="R136" s="48"/>
      <c r="S136" s="48"/>
      <c r="T136" s="48"/>
      <c r="U136" s="48"/>
      <c r="V136" s="48"/>
      <c r="W136" s="48"/>
      <c r="X136" s="48"/>
      <c r="Y136" s="48"/>
      <c r="Z136" s="48"/>
      <c r="AA136" s="48"/>
    </row>
    <row r="137" spans="1:27" ht="15.75" customHeight="1" x14ac:dyDescent="0.2">
      <c r="A137" s="48"/>
      <c r="B137" s="48"/>
      <c r="C137" s="48"/>
      <c r="D137" s="48"/>
      <c r="E137" s="48"/>
      <c r="F137" s="48"/>
      <c r="G137" s="48"/>
      <c r="H137" s="48"/>
      <c r="I137" s="48"/>
      <c r="J137" s="48"/>
      <c r="K137" s="48"/>
      <c r="L137" s="48"/>
      <c r="M137" s="48"/>
      <c r="N137" s="48"/>
      <c r="O137" s="48"/>
      <c r="P137" s="48"/>
      <c r="Q137" s="48"/>
      <c r="R137" s="48"/>
      <c r="S137" s="48"/>
      <c r="T137" s="48"/>
      <c r="U137" s="48"/>
      <c r="V137" s="48"/>
      <c r="W137" s="48"/>
      <c r="X137" s="48"/>
      <c r="Y137" s="48"/>
      <c r="Z137" s="48"/>
      <c r="AA137" s="48"/>
    </row>
    <row r="138" spans="1:27" ht="15.75" customHeight="1" x14ac:dyDescent="0.2">
      <c r="A138" s="48"/>
      <c r="B138" s="48"/>
      <c r="C138" s="48"/>
      <c r="D138" s="48"/>
      <c r="E138" s="48"/>
      <c r="F138" s="48"/>
      <c r="G138" s="48"/>
      <c r="H138" s="48"/>
      <c r="I138" s="48"/>
      <c r="J138" s="48"/>
      <c r="K138" s="48"/>
      <c r="L138" s="48"/>
      <c r="M138" s="48"/>
      <c r="N138" s="48"/>
      <c r="O138" s="48"/>
      <c r="P138" s="48"/>
      <c r="Q138" s="48"/>
      <c r="R138" s="48"/>
      <c r="S138" s="48"/>
      <c r="T138" s="48"/>
      <c r="U138" s="48"/>
      <c r="V138" s="48"/>
      <c r="W138" s="48"/>
      <c r="X138" s="48"/>
      <c r="Y138" s="48"/>
      <c r="Z138" s="48"/>
      <c r="AA138" s="48"/>
    </row>
    <row r="139" spans="1:27" ht="15.75" customHeight="1" x14ac:dyDescent="0.2">
      <c r="A139" s="48"/>
      <c r="B139" s="48"/>
      <c r="C139" s="48"/>
      <c r="D139" s="48"/>
      <c r="E139" s="48"/>
      <c r="F139" s="48"/>
      <c r="G139" s="48"/>
      <c r="H139" s="48"/>
      <c r="I139" s="48"/>
      <c r="J139" s="48"/>
      <c r="K139" s="48"/>
      <c r="L139" s="48"/>
      <c r="M139" s="48"/>
      <c r="N139" s="48"/>
      <c r="O139" s="48"/>
      <c r="P139" s="48"/>
      <c r="Q139" s="48"/>
      <c r="R139" s="48"/>
      <c r="S139" s="48"/>
      <c r="T139" s="48"/>
      <c r="U139" s="48"/>
      <c r="V139" s="48"/>
      <c r="W139" s="48"/>
      <c r="X139" s="48"/>
      <c r="Y139" s="48"/>
      <c r="Z139" s="48"/>
      <c r="AA139" s="48"/>
    </row>
    <row r="140" spans="1:27" ht="15.75" customHeight="1" x14ac:dyDescent="0.2">
      <c r="A140" s="48"/>
      <c r="B140" s="48"/>
      <c r="C140" s="48"/>
      <c r="D140" s="48"/>
      <c r="E140" s="48"/>
      <c r="F140" s="48"/>
      <c r="G140" s="48"/>
      <c r="H140" s="48"/>
      <c r="I140" s="48"/>
      <c r="J140" s="48"/>
      <c r="K140" s="48"/>
      <c r="L140" s="48"/>
      <c r="M140" s="48"/>
      <c r="N140" s="48"/>
      <c r="O140" s="48"/>
      <c r="P140" s="48"/>
      <c r="Q140" s="48"/>
      <c r="R140" s="48"/>
      <c r="S140" s="48"/>
      <c r="T140" s="48"/>
      <c r="U140" s="48"/>
      <c r="V140" s="48"/>
      <c r="W140" s="48"/>
      <c r="X140" s="48"/>
      <c r="Y140" s="48"/>
      <c r="Z140" s="48"/>
      <c r="AA140" s="48"/>
    </row>
    <row r="141" spans="1:27" ht="15.75" customHeight="1" x14ac:dyDescent="0.2">
      <c r="A141" s="48"/>
      <c r="B141" s="48"/>
      <c r="C141" s="48"/>
      <c r="D141" s="48"/>
      <c r="E141" s="48"/>
      <c r="F141" s="48"/>
      <c r="G141" s="48"/>
      <c r="H141" s="48"/>
      <c r="I141" s="48"/>
      <c r="J141" s="48"/>
      <c r="K141" s="48"/>
      <c r="L141" s="48"/>
      <c r="M141" s="48"/>
      <c r="N141" s="48"/>
      <c r="O141" s="48"/>
      <c r="P141" s="48"/>
      <c r="Q141" s="48"/>
      <c r="R141" s="48"/>
      <c r="S141" s="48"/>
      <c r="T141" s="48"/>
      <c r="U141" s="48"/>
      <c r="V141" s="48"/>
      <c r="W141" s="48"/>
      <c r="X141" s="48"/>
      <c r="Y141" s="48"/>
      <c r="Z141" s="48"/>
      <c r="AA141" s="48"/>
    </row>
    <row r="142" spans="1:27" ht="15.75" customHeight="1" x14ac:dyDescent="0.2">
      <c r="A142" s="48"/>
      <c r="B142" s="48"/>
      <c r="C142" s="48"/>
      <c r="D142" s="48"/>
      <c r="E142" s="48"/>
      <c r="F142" s="48"/>
      <c r="G142" s="48"/>
      <c r="H142" s="48"/>
      <c r="I142" s="48"/>
      <c r="J142" s="48"/>
      <c r="K142" s="48"/>
      <c r="L142" s="48"/>
      <c r="M142" s="48"/>
      <c r="N142" s="48"/>
      <c r="O142" s="48"/>
      <c r="P142" s="48"/>
      <c r="Q142" s="48"/>
      <c r="R142" s="48"/>
      <c r="S142" s="48"/>
      <c r="T142" s="48"/>
      <c r="U142" s="48"/>
      <c r="V142" s="48"/>
      <c r="W142" s="48"/>
      <c r="X142" s="48"/>
      <c r="Y142" s="48"/>
      <c r="Z142" s="48"/>
      <c r="AA142" s="48"/>
    </row>
    <row r="143" spans="1:27" ht="15.75" customHeight="1" x14ac:dyDescent="0.2">
      <c r="A143" s="48"/>
      <c r="B143" s="48"/>
      <c r="C143" s="48"/>
      <c r="D143" s="48"/>
      <c r="E143" s="48"/>
      <c r="F143" s="48"/>
      <c r="G143" s="48"/>
      <c r="H143" s="48"/>
      <c r="I143" s="48"/>
      <c r="J143" s="48"/>
      <c r="K143" s="48"/>
      <c r="L143" s="48"/>
      <c r="M143" s="48"/>
      <c r="N143" s="48"/>
      <c r="O143" s="48"/>
      <c r="P143" s="48"/>
      <c r="Q143" s="48"/>
      <c r="R143" s="48"/>
      <c r="S143" s="48"/>
      <c r="T143" s="48"/>
      <c r="U143" s="48"/>
      <c r="V143" s="48"/>
      <c r="W143" s="48"/>
      <c r="X143" s="48"/>
      <c r="Y143" s="48"/>
      <c r="Z143" s="48"/>
      <c r="AA143" s="48"/>
    </row>
    <row r="144" spans="1:27" ht="15.75" customHeight="1" x14ac:dyDescent="0.2">
      <c r="A144" s="48"/>
      <c r="B144" s="48"/>
      <c r="C144" s="48"/>
      <c r="D144" s="48"/>
      <c r="E144" s="48"/>
      <c r="F144" s="48"/>
      <c r="G144" s="48"/>
      <c r="H144" s="48"/>
      <c r="I144" s="48"/>
      <c r="J144" s="48"/>
      <c r="K144" s="48"/>
      <c r="L144" s="48"/>
      <c r="M144" s="48"/>
      <c r="N144" s="48"/>
      <c r="O144" s="48"/>
      <c r="P144" s="48"/>
      <c r="Q144" s="48"/>
      <c r="R144" s="48"/>
      <c r="S144" s="48"/>
      <c r="T144" s="48"/>
      <c r="U144" s="48"/>
      <c r="V144" s="48"/>
      <c r="W144" s="48"/>
      <c r="X144" s="48"/>
      <c r="Y144" s="48"/>
      <c r="Z144" s="48"/>
      <c r="AA144" s="48"/>
    </row>
    <row r="145" spans="1:27" ht="15.75" customHeight="1" x14ac:dyDescent="0.2">
      <c r="A145" s="48"/>
      <c r="B145" s="48"/>
      <c r="C145" s="48"/>
      <c r="D145" s="48"/>
      <c r="E145" s="48"/>
      <c r="F145" s="48"/>
      <c r="G145" s="48"/>
      <c r="H145" s="48"/>
      <c r="I145" s="48"/>
      <c r="J145" s="48"/>
      <c r="K145" s="48"/>
      <c r="L145" s="48"/>
      <c r="M145" s="48"/>
      <c r="N145" s="48"/>
      <c r="O145" s="48"/>
      <c r="P145" s="48"/>
      <c r="Q145" s="48"/>
      <c r="R145" s="48"/>
      <c r="S145" s="48"/>
      <c r="T145" s="48"/>
      <c r="U145" s="48"/>
      <c r="V145" s="48"/>
      <c r="W145" s="48"/>
      <c r="X145" s="48"/>
      <c r="Y145" s="48"/>
      <c r="Z145" s="48"/>
      <c r="AA145" s="48"/>
    </row>
    <row r="146" spans="1:27" ht="15.75" customHeight="1" x14ac:dyDescent="0.2">
      <c r="A146" s="48"/>
      <c r="B146" s="48"/>
      <c r="C146" s="48"/>
      <c r="D146" s="48"/>
      <c r="E146" s="48"/>
      <c r="F146" s="48"/>
      <c r="G146" s="48"/>
      <c r="H146" s="48"/>
      <c r="I146" s="48"/>
      <c r="J146" s="48"/>
      <c r="K146" s="48"/>
      <c r="L146" s="48"/>
      <c r="M146" s="48"/>
      <c r="N146" s="48"/>
      <c r="O146" s="48"/>
      <c r="P146" s="48"/>
      <c r="Q146" s="48"/>
      <c r="R146" s="48"/>
      <c r="S146" s="48"/>
      <c r="T146" s="48"/>
      <c r="U146" s="48"/>
      <c r="V146" s="48"/>
      <c r="W146" s="48"/>
      <c r="X146" s="48"/>
      <c r="Y146" s="48"/>
      <c r="Z146" s="48"/>
      <c r="AA146" s="48"/>
    </row>
    <row r="147" spans="1:27" ht="15.75" customHeight="1" x14ac:dyDescent="0.2">
      <c r="A147" s="48"/>
      <c r="B147" s="48"/>
      <c r="C147" s="48"/>
      <c r="D147" s="48"/>
      <c r="E147" s="48"/>
      <c r="F147" s="48"/>
      <c r="G147" s="48"/>
      <c r="H147" s="48"/>
      <c r="I147" s="48"/>
      <c r="J147" s="48"/>
      <c r="K147" s="48"/>
      <c r="L147" s="48"/>
      <c r="M147" s="48"/>
      <c r="N147" s="48"/>
      <c r="O147" s="48"/>
      <c r="P147" s="48"/>
      <c r="Q147" s="48"/>
      <c r="R147" s="48"/>
      <c r="S147" s="48"/>
      <c r="T147" s="48"/>
      <c r="U147" s="48"/>
      <c r="V147" s="48"/>
      <c r="W147" s="48"/>
      <c r="X147" s="48"/>
      <c r="Y147" s="48"/>
      <c r="Z147" s="48"/>
      <c r="AA147" s="48"/>
    </row>
    <row r="148" spans="1:27" ht="15.75" customHeight="1" x14ac:dyDescent="0.2">
      <c r="A148" s="48"/>
      <c r="B148" s="48"/>
      <c r="C148" s="48"/>
      <c r="D148" s="48"/>
      <c r="E148" s="48"/>
      <c r="F148" s="48"/>
      <c r="G148" s="48"/>
      <c r="H148" s="48"/>
      <c r="I148" s="48"/>
      <c r="J148" s="48"/>
      <c r="K148" s="48"/>
      <c r="L148" s="48"/>
      <c r="M148" s="48"/>
      <c r="N148" s="48"/>
      <c r="O148" s="48"/>
      <c r="P148" s="48"/>
      <c r="Q148" s="48"/>
      <c r="R148" s="48"/>
      <c r="S148" s="48"/>
      <c r="T148" s="48"/>
      <c r="U148" s="48"/>
      <c r="V148" s="48"/>
      <c r="W148" s="48"/>
      <c r="X148" s="48"/>
      <c r="Y148" s="48"/>
      <c r="Z148" s="48"/>
      <c r="AA148" s="48"/>
    </row>
    <row r="149" spans="1:27" ht="15.75" customHeight="1" x14ac:dyDescent="0.2">
      <c r="A149" s="48"/>
      <c r="B149" s="48"/>
      <c r="C149" s="48"/>
      <c r="D149" s="48"/>
      <c r="E149" s="48"/>
      <c r="F149" s="48"/>
      <c r="G149" s="48"/>
      <c r="H149" s="48"/>
      <c r="I149" s="48"/>
      <c r="J149" s="48"/>
      <c r="K149" s="48"/>
      <c r="L149" s="48"/>
      <c r="M149" s="48"/>
      <c r="N149" s="48"/>
      <c r="O149" s="48"/>
      <c r="P149" s="48"/>
      <c r="Q149" s="48"/>
      <c r="R149" s="48"/>
      <c r="S149" s="48"/>
      <c r="T149" s="48"/>
      <c r="U149" s="48"/>
      <c r="V149" s="48"/>
      <c r="W149" s="48"/>
      <c r="X149" s="48"/>
      <c r="Y149" s="48"/>
      <c r="Z149" s="48"/>
      <c r="AA149" s="48"/>
    </row>
    <row r="150" spans="1:27" ht="15.75" customHeight="1" x14ac:dyDescent="0.2">
      <c r="A150" s="48"/>
      <c r="B150" s="48"/>
      <c r="C150" s="48"/>
      <c r="D150" s="48"/>
      <c r="E150" s="48"/>
      <c r="F150" s="48"/>
      <c r="G150" s="48"/>
      <c r="H150" s="48"/>
      <c r="I150" s="48"/>
      <c r="J150" s="48"/>
      <c r="K150" s="48"/>
      <c r="L150" s="48"/>
      <c r="M150" s="48"/>
      <c r="N150" s="48"/>
      <c r="O150" s="48"/>
      <c r="P150" s="48"/>
      <c r="Q150" s="48"/>
      <c r="R150" s="48"/>
      <c r="S150" s="48"/>
      <c r="T150" s="48"/>
      <c r="U150" s="48"/>
      <c r="V150" s="48"/>
      <c r="W150" s="48"/>
      <c r="X150" s="48"/>
      <c r="Y150" s="48"/>
      <c r="Z150" s="48"/>
      <c r="AA150" s="48"/>
    </row>
    <row r="151" spans="1:27" ht="15.75" customHeight="1" x14ac:dyDescent="0.2">
      <c r="A151" s="48"/>
      <c r="B151" s="48"/>
      <c r="C151" s="48"/>
      <c r="D151" s="48"/>
      <c r="E151" s="48"/>
      <c r="F151" s="48"/>
      <c r="G151" s="48"/>
      <c r="H151" s="48"/>
      <c r="I151" s="48"/>
      <c r="J151" s="48"/>
      <c r="K151" s="48"/>
      <c r="L151" s="48"/>
      <c r="M151" s="48"/>
      <c r="N151" s="48"/>
      <c r="O151" s="48"/>
      <c r="P151" s="48"/>
      <c r="Q151" s="48"/>
      <c r="R151" s="48"/>
      <c r="S151" s="48"/>
      <c r="T151" s="48"/>
      <c r="U151" s="48"/>
      <c r="V151" s="48"/>
      <c r="W151" s="48"/>
      <c r="X151" s="48"/>
      <c r="Y151" s="48"/>
      <c r="Z151" s="48"/>
      <c r="AA151" s="48"/>
    </row>
    <row r="152" spans="1:27" ht="15.75" customHeight="1" x14ac:dyDescent="0.2">
      <c r="A152" s="48"/>
      <c r="B152" s="48"/>
      <c r="C152" s="48"/>
      <c r="D152" s="48"/>
      <c r="E152" s="48"/>
      <c r="F152" s="48"/>
      <c r="G152" s="48"/>
      <c r="H152" s="48"/>
      <c r="I152" s="48"/>
      <c r="J152" s="48"/>
      <c r="K152" s="48"/>
      <c r="L152" s="48"/>
      <c r="M152" s="48"/>
      <c r="N152" s="48"/>
      <c r="O152" s="48"/>
      <c r="P152" s="48"/>
      <c r="Q152" s="48"/>
      <c r="R152" s="48"/>
      <c r="S152" s="48"/>
      <c r="T152" s="48"/>
      <c r="U152" s="48"/>
      <c r="V152" s="48"/>
      <c r="W152" s="48"/>
      <c r="X152" s="48"/>
      <c r="Y152" s="48"/>
      <c r="Z152" s="48"/>
      <c r="AA152" s="48"/>
    </row>
    <row r="153" spans="1:27" ht="15.75" customHeight="1" x14ac:dyDescent="0.2">
      <c r="A153" s="48"/>
      <c r="B153" s="48"/>
      <c r="C153" s="48"/>
      <c r="D153" s="48"/>
      <c r="E153" s="48"/>
      <c r="F153" s="48"/>
      <c r="G153" s="48"/>
      <c r="H153" s="48"/>
      <c r="I153" s="48"/>
      <c r="J153" s="48"/>
      <c r="K153" s="48"/>
      <c r="L153" s="48"/>
      <c r="M153" s="48"/>
      <c r="N153" s="48"/>
      <c r="O153" s="48"/>
      <c r="P153" s="48"/>
      <c r="Q153" s="48"/>
      <c r="R153" s="48"/>
      <c r="S153" s="48"/>
      <c r="T153" s="48"/>
      <c r="U153" s="48"/>
      <c r="V153" s="48"/>
      <c r="W153" s="48"/>
      <c r="X153" s="48"/>
      <c r="Y153" s="48"/>
      <c r="Z153" s="48"/>
      <c r="AA153" s="48"/>
    </row>
    <row r="154" spans="1:27" ht="15.75" customHeight="1" x14ac:dyDescent="0.2">
      <c r="A154" s="48"/>
      <c r="B154" s="48"/>
      <c r="C154" s="48"/>
      <c r="D154" s="48"/>
      <c r="E154" s="48"/>
      <c r="F154" s="48"/>
      <c r="G154" s="48"/>
      <c r="H154" s="48"/>
      <c r="I154" s="48"/>
      <c r="J154" s="48"/>
      <c r="K154" s="48"/>
      <c r="L154" s="48"/>
      <c r="M154" s="48"/>
      <c r="N154" s="48"/>
      <c r="O154" s="48"/>
      <c r="P154" s="48"/>
      <c r="Q154" s="48"/>
      <c r="R154" s="48"/>
      <c r="S154" s="48"/>
      <c r="T154" s="48"/>
      <c r="U154" s="48"/>
      <c r="V154" s="48"/>
      <c r="W154" s="48"/>
      <c r="X154" s="48"/>
      <c r="Y154" s="48"/>
      <c r="Z154" s="48"/>
      <c r="AA154" s="48"/>
    </row>
    <row r="155" spans="1:27" ht="15.75" customHeight="1" x14ac:dyDescent="0.2">
      <c r="A155" s="48"/>
      <c r="B155" s="48"/>
      <c r="C155" s="48"/>
      <c r="D155" s="48"/>
      <c r="E155" s="48"/>
      <c r="F155" s="48"/>
      <c r="G155" s="48"/>
      <c r="H155" s="48"/>
      <c r="I155" s="48"/>
      <c r="J155" s="48"/>
      <c r="K155" s="48"/>
      <c r="L155" s="48"/>
      <c r="M155" s="48"/>
      <c r="N155" s="48"/>
      <c r="O155" s="48"/>
      <c r="P155" s="48"/>
      <c r="Q155" s="48"/>
      <c r="R155" s="48"/>
      <c r="S155" s="48"/>
      <c r="T155" s="48"/>
      <c r="U155" s="48"/>
      <c r="V155" s="48"/>
      <c r="W155" s="48"/>
      <c r="X155" s="48"/>
      <c r="Y155" s="48"/>
      <c r="Z155" s="48"/>
      <c r="AA155" s="48"/>
    </row>
    <row r="156" spans="1:27" ht="15.75" customHeight="1" x14ac:dyDescent="0.2">
      <c r="A156" s="48"/>
      <c r="B156" s="48"/>
      <c r="C156" s="48"/>
      <c r="D156" s="48"/>
      <c r="E156" s="48"/>
      <c r="F156" s="48"/>
      <c r="G156" s="48"/>
      <c r="H156" s="48"/>
      <c r="I156" s="48"/>
      <c r="J156" s="48"/>
      <c r="K156" s="48"/>
      <c r="L156" s="48"/>
      <c r="M156" s="48"/>
      <c r="N156" s="48"/>
      <c r="O156" s="48"/>
      <c r="P156" s="48"/>
      <c r="Q156" s="48"/>
      <c r="R156" s="48"/>
      <c r="S156" s="48"/>
      <c r="T156" s="48"/>
      <c r="U156" s="48"/>
      <c r="V156" s="48"/>
      <c r="W156" s="48"/>
      <c r="X156" s="48"/>
      <c r="Y156" s="48"/>
      <c r="Z156" s="48"/>
      <c r="AA156" s="48"/>
    </row>
    <row r="157" spans="1:27" ht="15.75" customHeight="1" x14ac:dyDescent="0.2">
      <c r="A157" s="48"/>
      <c r="B157" s="48"/>
      <c r="C157" s="48"/>
      <c r="D157" s="48"/>
      <c r="E157" s="48"/>
      <c r="F157" s="48"/>
      <c r="G157" s="48"/>
      <c r="H157" s="48"/>
      <c r="I157" s="48"/>
      <c r="J157" s="48"/>
      <c r="K157" s="48"/>
      <c r="L157" s="48"/>
      <c r="M157" s="48"/>
      <c r="N157" s="48"/>
      <c r="O157" s="48"/>
      <c r="P157" s="48"/>
      <c r="Q157" s="48"/>
      <c r="R157" s="48"/>
      <c r="S157" s="48"/>
      <c r="T157" s="48"/>
      <c r="U157" s="48"/>
      <c r="V157" s="48"/>
      <c r="W157" s="48"/>
      <c r="X157" s="48"/>
      <c r="Y157" s="48"/>
      <c r="Z157" s="48"/>
      <c r="AA157" s="48"/>
    </row>
    <row r="158" spans="1:27" ht="15.75" customHeight="1" x14ac:dyDescent="0.2">
      <c r="A158" s="48"/>
      <c r="B158" s="48"/>
      <c r="C158" s="48"/>
      <c r="D158" s="48"/>
      <c r="E158" s="48"/>
      <c r="F158" s="48"/>
      <c r="G158" s="48"/>
      <c r="H158" s="48"/>
      <c r="I158" s="48"/>
      <c r="J158" s="48"/>
      <c r="K158" s="48"/>
      <c r="L158" s="48"/>
      <c r="M158" s="48"/>
      <c r="N158" s="48"/>
      <c r="O158" s="48"/>
      <c r="P158" s="48"/>
      <c r="Q158" s="48"/>
      <c r="R158" s="48"/>
      <c r="S158" s="48"/>
      <c r="T158" s="48"/>
      <c r="U158" s="48"/>
      <c r="V158" s="48"/>
      <c r="W158" s="48"/>
      <c r="X158" s="48"/>
      <c r="Y158" s="48"/>
      <c r="Z158" s="48"/>
      <c r="AA158" s="48"/>
    </row>
    <row r="159" spans="1:27" ht="15.75" customHeight="1" x14ac:dyDescent="0.2">
      <c r="A159" s="48"/>
      <c r="B159" s="48"/>
      <c r="C159" s="48"/>
      <c r="D159" s="48"/>
      <c r="E159" s="48"/>
      <c r="F159" s="48"/>
      <c r="G159" s="48"/>
      <c r="H159" s="48"/>
      <c r="I159" s="48"/>
      <c r="J159" s="48"/>
      <c r="K159" s="48"/>
      <c r="L159" s="48"/>
      <c r="M159" s="48"/>
      <c r="N159" s="48"/>
      <c r="O159" s="48"/>
      <c r="P159" s="48"/>
      <c r="Q159" s="48"/>
      <c r="R159" s="48"/>
      <c r="S159" s="48"/>
      <c r="T159" s="48"/>
      <c r="U159" s="48"/>
      <c r="V159" s="48"/>
      <c r="W159" s="48"/>
      <c r="X159" s="48"/>
      <c r="Y159" s="48"/>
      <c r="Z159" s="48"/>
      <c r="AA159" s="48"/>
    </row>
    <row r="160" spans="1:27" ht="15.75" customHeight="1" x14ac:dyDescent="0.2">
      <c r="A160" s="48"/>
      <c r="B160" s="48"/>
      <c r="C160" s="48"/>
      <c r="D160" s="48"/>
      <c r="E160" s="48"/>
      <c r="F160" s="48"/>
      <c r="G160" s="48"/>
      <c r="H160" s="48"/>
      <c r="I160" s="48"/>
      <c r="J160" s="48"/>
      <c r="K160" s="48"/>
      <c r="L160" s="48"/>
      <c r="M160" s="48"/>
      <c r="N160" s="48"/>
      <c r="O160" s="48"/>
      <c r="P160" s="48"/>
      <c r="Q160" s="48"/>
      <c r="R160" s="48"/>
      <c r="S160" s="48"/>
      <c r="T160" s="48"/>
      <c r="U160" s="48"/>
      <c r="V160" s="48"/>
      <c r="W160" s="48"/>
      <c r="X160" s="48"/>
      <c r="Y160" s="48"/>
      <c r="Z160" s="48"/>
      <c r="AA160" s="48"/>
    </row>
    <row r="161" spans="1:27" ht="15.75" customHeight="1" x14ac:dyDescent="0.2">
      <c r="A161" s="48"/>
      <c r="B161" s="48"/>
      <c r="C161" s="48"/>
      <c r="D161" s="48"/>
      <c r="E161" s="48"/>
      <c r="F161" s="48"/>
      <c r="G161" s="48"/>
      <c r="H161" s="48"/>
      <c r="I161" s="48"/>
      <c r="J161" s="48"/>
      <c r="K161" s="48"/>
      <c r="L161" s="48"/>
      <c r="M161" s="48"/>
      <c r="N161" s="48"/>
      <c r="O161" s="48"/>
      <c r="P161" s="48"/>
      <c r="Q161" s="48"/>
      <c r="R161" s="48"/>
      <c r="S161" s="48"/>
      <c r="T161" s="48"/>
      <c r="U161" s="48"/>
      <c r="V161" s="48"/>
      <c r="W161" s="48"/>
      <c r="X161" s="48"/>
      <c r="Y161" s="48"/>
      <c r="Z161" s="48"/>
      <c r="AA161" s="48"/>
    </row>
    <row r="162" spans="1:27" ht="15.75" customHeight="1" x14ac:dyDescent="0.2">
      <c r="A162" s="48"/>
      <c r="B162" s="48"/>
      <c r="C162" s="48"/>
      <c r="D162" s="48"/>
      <c r="E162" s="48"/>
      <c r="F162" s="48"/>
      <c r="G162" s="48"/>
      <c r="H162" s="48"/>
      <c r="I162" s="48"/>
      <c r="J162" s="48"/>
      <c r="K162" s="48"/>
      <c r="L162" s="48"/>
      <c r="M162" s="48"/>
      <c r="N162" s="48"/>
      <c r="O162" s="48"/>
      <c r="P162" s="48"/>
      <c r="Q162" s="48"/>
      <c r="R162" s="48"/>
      <c r="S162" s="48"/>
      <c r="T162" s="48"/>
      <c r="U162" s="48"/>
      <c r="V162" s="48"/>
      <c r="W162" s="48"/>
      <c r="X162" s="48"/>
      <c r="Y162" s="48"/>
      <c r="Z162" s="48"/>
      <c r="AA162" s="48"/>
    </row>
    <row r="163" spans="1:27" ht="15.75" customHeight="1" x14ac:dyDescent="0.2">
      <c r="A163" s="48"/>
      <c r="B163" s="48"/>
      <c r="C163" s="48"/>
      <c r="D163" s="48"/>
      <c r="E163" s="48"/>
      <c r="F163" s="48"/>
      <c r="G163" s="48"/>
      <c r="H163" s="48"/>
      <c r="I163" s="48"/>
      <c r="J163" s="48"/>
      <c r="K163" s="48"/>
      <c r="L163" s="48"/>
      <c r="M163" s="48"/>
      <c r="N163" s="48"/>
      <c r="O163" s="48"/>
      <c r="P163" s="48"/>
      <c r="Q163" s="48"/>
      <c r="R163" s="48"/>
      <c r="S163" s="48"/>
      <c r="T163" s="48"/>
      <c r="U163" s="48"/>
      <c r="V163" s="48"/>
      <c r="W163" s="48"/>
      <c r="X163" s="48"/>
      <c r="Y163" s="48"/>
      <c r="Z163" s="48"/>
      <c r="AA163" s="48"/>
    </row>
    <row r="164" spans="1:27" ht="15.75" customHeight="1" x14ac:dyDescent="0.2">
      <c r="A164" s="48"/>
      <c r="B164" s="48"/>
      <c r="C164" s="48"/>
      <c r="D164" s="48"/>
      <c r="E164" s="48"/>
      <c r="F164" s="48"/>
      <c r="G164" s="48"/>
      <c r="H164" s="48"/>
      <c r="I164" s="48"/>
      <c r="J164" s="48"/>
      <c r="K164" s="48"/>
      <c r="L164" s="48"/>
      <c r="M164" s="48"/>
      <c r="N164" s="48"/>
      <c r="O164" s="48"/>
      <c r="P164" s="48"/>
      <c r="Q164" s="48"/>
      <c r="R164" s="48"/>
      <c r="S164" s="48"/>
      <c r="T164" s="48"/>
      <c r="U164" s="48"/>
      <c r="V164" s="48"/>
      <c r="W164" s="48"/>
      <c r="X164" s="48"/>
      <c r="Y164" s="48"/>
      <c r="Z164" s="48"/>
      <c r="AA164" s="48"/>
    </row>
    <row r="165" spans="1:27" ht="15.75" customHeight="1" x14ac:dyDescent="0.2">
      <c r="A165" s="48"/>
      <c r="B165" s="48"/>
      <c r="C165" s="48"/>
      <c r="D165" s="48"/>
      <c r="E165" s="48"/>
      <c r="F165" s="48"/>
      <c r="G165" s="48"/>
      <c r="H165" s="48"/>
      <c r="I165" s="48"/>
      <c r="J165" s="48"/>
      <c r="K165" s="48"/>
      <c r="L165" s="48"/>
      <c r="M165" s="48"/>
      <c r="N165" s="48"/>
      <c r="O165" s="48"/>
      <c r="P165" s="48"/>
      <c r="Q165" s="48"/>
      <c r="R165" s="48"/>
      <c r="S165" s="48"/>
      <c r="T165" s="48"/>
      <c r="U165" s="48"/>
      <c r="V165" s="48"/>
      <c r="W165" s="48"/>
      <c r="X165" s="48"/>
      <c r="Y165" s="48"/>
      <c r="Z165" s="48"/>
      <c r="AA165" s="48"/>
    </row>
    <row r="166" spans="1:27" ht="15.75" customHeight="1" x14ac:dyDescent="0.2">
      <c r="A166" s="48"/>
      <c r="B166" s="48"/>
      <c r="C166" s="48"/>
      <c r="D166" s="48"/>
      <c r="E166" s="48"/>
      <c r="F166" s="48"/>
      <c r="G166" s="48"/>
      <c r="H166" s="48"/>
      <c r="I166" s="48"/>
      <c r="J166" s="48"/>
      <c r="K166" s="48"/>
      <c r="L166" s="48"/>
      <c r="M166" s="48"/>
      <c r="N166" s="48"/>
      <c r="O166" s="48"/>
      <c r="P166" s="48"/>
      <c r="Q166" s="48"/>
      <c r="R166" s="48"/>
      <c r="S166" s="48"/>
      <c r="T166" s="48"/>
      <c r="U166" s="48"/>
      <c r="V166" s="48"/>
      <c r="W166" s="48"/>
      <c r="X166" s="48"/>
      <c r="Y166" s="48"/>
      <c r="Z166" s="48"/>
      <c r="AA166" s="48"/>
    </row>
    <row r="167" spans="1:27" ht="15.75" customHeight="1" x14ac:dyDescent="0.2">
      <c r="A167" s="48"/>
      <c r="B167" s="48"/>
      <c r="C167" s="48"/>
      <c r="D167" s="48"/>
      <c r="E167" s="48"/>
      <c r="F167" s="48"/>
      <c r="G167" s="48"/>
      <c r="H167" s="48"/>
      <c r="I167" s="48"/>
      <c r="J167" s="48"/>
      <c r="K167" s="48"/>
      <c r="L167" s="48"/>
      <c r="M167" s="48"/>
      <c r="N167" s="48"/>
      <c r="O167" s="48"/>
      <c r="P167" s="48"/>
      <c r="Q167" s="48"/>
      <c r="R167" s="48"/>
      <c r="S167" s="48"/>
      <c r="T167" s="48"/>
      <c r="U167" s="48"/>
      <c r="V167" s="48"/>
      <c r="W167" s="48"/>
      <c r="X167" s="48"/>
      <c r="Y167" s="48"/>
      <c r="Z167" s="48"/>
      <c r="AA167" s="48"/>
    </row>
    <row r="168" spans="1:27" ht="15.75" customHeight="1" x14ac:dyDescent="0.2">
      <c r="A168" s="48"/>
      <c r="B168" s="48"/>
      <c r="C168" s="48"/>
      <c r="D168" s="48"/>
      <c r="E168" s="48"/>
      <c r="F168" s="48"/>
      <c r="G168" s="48"/>
      <c r="H168" s="48"/>
      <c r="I168" s="48"/>
      <c r="J168" s="48"/>
      <c r="K168" s="48"/>
      <c r="L168" s="48"/>
      <c r="M168" s="48"/>
      <c r="N168" s="48"/>
      <c r="O168" s="48"/>
      <c r="P168" s="48"/>
      <c r="Q168" s="48"/>
      <c r="R168" s="48"/>
      <c r="S168" s="48"/>
      <c r="T168" s="48"/>
      <c r="U168" s="48"/>
      <c r="V168" s="48"/>
      <c r="W168" s="48"/>
      <c r="X168" s="48"/>
      <c r="Y168" s="48"/>
      <c r="Z168" s="48"/>
      <c r="AA168" s="48"/>
    </row>
    <row r="169" spans="1:27" ht="15.75" customHeight="1" x14ac:dyDescent="0.2">
      <c r="A169" s="48"/>
      <c r="B169" s="48"/>
      <c r="C169" s="48"/>
      <c r="D169" s="48"/>
      <c r="E169" s="48"/>
      <c r="F169" s="48"/>
      <c r="G169" s="48"/>
      <c r="H169" s="48"/>
      <c r="I169" s="48"/>
      <c r="J169" s="48"/>
      <c r="K169" s="48"/>
      <c r="L169" s="48"/>
      <c r="M169" s="48"/>
      <c r="N169" s="48"/>
      <c r="O169" s="48"/>
      <c r="P169" s="48"/>
      <c r="Q169" s="48"/>
      <c r="R169" s="48"/>
      <c r="S169" s="48"/>
      <c r="T169" s="48"/>
      <c r="U169" s="48"/>
      <c r="V169" s="48"/>
      <c r="W169" s="48"/>
      <c r="X169" s="48"/>
      <c r="Y169" s="48"/>
      <c r="Z169" s="48"/>
      <c r="AA169" s="48"/>
    </row>
    <row r="170" spans="1:27" ht="15.75" customHeight="1" x14ac:dyDescent="0.2">
      <c r="A170" s="48"/>
      <c r="B170" s="48"/>
      <c r="C170" s="48"/>
      <c r="D170" s="48"/>
      <c r="E170" s="48"/>
      <c r="F170" s="48"/>
      <c r="G170" s="48"/>
      <c r="H170" s="48"/>
      <c r="I170" s="48"/>
      <c r="J170" s="48"/>
      <c r="K170" s="48"/>
      <c r="L170" s="48"/>
      <c r="M170" s="48"/>
      <c r="N170" s="48"/>
      <c r="O170" s="48"/>
      <c r="P170" s="48"/>
      <c r="Q170" s="48"/>
      <c r="R170" s="48"/>
      <c r="S170" s="48"/>
      <c r="T170" s="48"/>
      <c r="U170" s="48"/>
      <c r="V170" s="48"/>
      <c r="W170" s="48"/>
      <c r="X170" s="48"/>
      <c r="Y170" s="48"/>
      <c r="Z170" s="48"/>
      <c r="AA170" s="48"/>
    </row>
    <row r="171" spans="1:27" ht="15.75" customHeight="1" x14ac:dyDescent="0.2">
      <c r="A171" s="48"/>
      <c r="B171" s="48"/>
      <c r="C171" s="48"/>
      <c r="D171" s="48"/>
      <c r="E171" s="48"/>
      <c r="F171" s="48"/>
      <c r="G171" s="48"/>
      <c r="H171" s="48"/>
      <c r="I171" s="48"/>
      <c r="J171" s="48"/>
      <c r="K171" s="48"/>
      <c r="L171" s="48"/>
      <c r="M171" s="48"/>
      <c r="N171" s="48"/>
      <c r="O171" s="48"/>
      <c r="P171" s="48"/>
      <c r="Q171" s="48"/>
      <c r="R171" s="48"/>
      <c r="S171" s="48"/>
      <c r="T171" s="48"/>
      <c r="U171" s="48"/>
      <c r="V171" s="48"/>
      <c r="W171" s="48"/>
      <c r="X171" s="48"/>
      <c r="Y171" s="48"/>
      <c r="Z171" s="48"/>
      <c r="AA171" s="48"/>
    </row>
    <row r="172" spans="1:27" ht="15.75" customHeight="1" x14ac:dyDescent="0.2">
      <c r="A172" s="48"/>
      <c r="B172" s="48"/>
      <c r="C172" s="48"/>
      <c r="D172" s="48"/>
      <c r="E172" s="48"/>
      <c r="F172" s="48"/>
      <c r="G172" s="48"/>
      <c r="H172" s="48"/>
      <c r="I172" s="48"/>
      <c r="J172" s="48"/>
      <c r="K172" s="48"/>
      <c r="L172" s="48"/>
      <c r="M172" s="48"/>
      <c r="N172" s="48"/>
      <c r="O172" s="48"/>
      <c r="P172" s="48"/>
      <c r="Q172" s="48"/>
      <c r="R172" s="48"/>
      <c r="S172" s="48"/>
      <c r="T172" s="48"/>
      <c r="U172" s="48"/>
      <c r="V172" s="48"/>
      <c r="W172" s="48"/>
      <c r="X172" s="48"/>
      <c r="Y172" s="48"/>
      <c r="Z172" s="48"/>
      <c r="AA172" s="48"/>
    </row>
    <row r="173" spans="1:27" ht="15.75" customHeight="1" x14ac:dyDescent="0.2">
      <c r="A173" s="48"/>
      <c r="B173" s="48"/>
      <c r="C173" s="48"/>
      <c r="D173" s="48"/>
      <c r="E173" s="48"/>
      <c r="F173" s="48"/>
      <c r="G173" s="48"/>
      <c r="H173" s="48"/>
      <c r="I173" s="48"/>
      <c r="J173" s="48"/>
      <c r="K173" s="48"/>
      <c r="L173" s="48"/>
      <c r="M173" s="48"/>
      <c r="N173" s="48"/>
      <c r="O173" s="48"/>
      <c r="P173" s="48"/>
      <c r="Q173" s="48"/>
      <c r="R173" s="48"/>
      <c r="S173" s="48"/>
      <c r="T173" s="48"/>
      <c r="U173" s="48"/>
      <c r="V173" s="48"/>
      <c r="W173" s="48"/>
      <c r="X173" s="48"/>
      <c r="Y173" s="48"/>
      <c r="Z173" s="48"/>
      <c r="AA173" s="48"/>
    </row>
    <row r="174" spans="1:27" ht="15.75" customHeight="1" x14ac:dyDescent="0.2">
      <c r="A174" s="48"/>
      <c r="B174" s="48"/>
      <c r="C174" s="48"/>
      <c r="D174" s="48"/>
      <c r="E174" s="48"/>
      <c r="F174" s="48"/>
      <c r="G174" s="48"/>
      <c r="H174" s="48"/>
      <c r="I174" s="48"/>
      <c r="J174" s="48"/>
      <c r="K174" s="48"/>
      <c r="L174" s="48"/>
      <c r="M174" s="48"/>
      <c r="N174" s="48"/>
      <c r="O174" s="48"/>
      <c r="P174" s="48"/>
      <c r="Q174" s="48"/>
      <c r="R174" s="48"/>
      <c r="S174" s="48"/>
      <c r="T174" s="48"/>
      <c r="U174" s="48"/>
      <c r="V174" s="48"/>
      <c r="W174" s="48"/>
      <c r="X174" s="48"/>
      <c r="Y174" s="48"/>
      <c r="Z174" s="48"/>
      <c r="AA174" s="48"/>
    </row>
    <row r="175" spans="1:27" ht="15.75" customHeight="1" x14ac:dyDescent="0.2">
      <c r="A175" s="48"/>
      <c r="B175" s="48"/>
      <c r="C175" s="48"/>
      <c r="D175" s="48"/>
      <c r="E175" s="48"/>
      <c r="F175" s="48"/>
      <c r="G175" s="48"/>
      <c r="H175" s="48"/>
      <c r="I175" s="48"/>
      <c r="J175" s="48"/>
      <c r="K175" s="48"/>
      <c r="L175" s="48"/>
      <c r="M175" s="48"/>
      <c r="N175" s="48"/>
      <c r="O175" s="48"/>
      <c r="P175" s="48"/>
      <c r="Q175" s="48"/>
      <c r="R175" s="48"/>
      <c r="S175" s="48"/>
      <c r="T175" s="48"/>
      <c r="U175" s="48"/>
      <c r="V175" s="48"/>
      <c r="W175" s="48"/>
      <c r="X175" s="48"/>
      <c r="Y175" s="48"/>
      <c r="Z175" s="48"/>
      <c r="AA175" s="48"/>
    </row>
    <row r="176" spans="1:27" ht="15.75" customHeight="1" x14ac:dyDescent="0.2">
      <c r="A176" s="48"/>
      <c r="B176" s="48"/>
      <c r="C176" s="48"/>
      <c r="D176" s="48"/>
      <c r="E176" s="48"/>
      <c r="F176" s="48"/>
      <c r="G176" s="48"/>
      <c r="H176" s="48"/>
      <c r="I176" s="48"/>
      <c r="J176" s="48"/>
      <c r="K176" s="48"/>
      <c r="L176" s="48"/>
      <c r="M176" s="48"/>
      <c r="N176" s="48"/>
      <c r="O176" s="48"/>
      <c r="P176" s="48"/>
      <c r="Q176" s="48"/>
      <c r="R176" s="48"/>
      <c r="S176" s="48"/>
      <c r="T176" s="48"/>
      <c r="U176" s="48"/>
      <c r="V176" s="48"/>
      <c r="W176" s="48"/>
      <c r="X176" s="48"/>
      <c r="Y176" s="48"/>
      <c r="Z176" s="48"/>
      <c r="AA176" s="48"/>
    </row>
    <row r="177" spans="1:27" ht="15.75" customHeight="1" x14ac:dyDescent="0.2">
      <c r="A177" s="48"/>
      <c r="B177" s="48"/>
      <c r="C177" s="48"/>
      <c r="D177" s="48"/>
      <c r="E177" s="48"/>
      <c r="F177" s="48"/>
      <c r="G177" s="48"/>
      <c r="H177" s="48"/>
      <c r="I177" s="48"/>
      <c r="J177" s="48"/>
      <c r="K177" s="48"/>
      <c r="L177" s="48"/>
      <c r="M177" s="48"/>
      <c r="N177" s="48"/>
      <c r="O177" s="48"/>
      <c r="P177" s="48"/>
      <c r="Q177" s="48"/>
      <c r="R177" s="48"/>
      <c r="S177" s="48"/>
      <c r="T177" s="48"/>
      <c r="U177" s="48"/>
      <c r="V177" s="48"/>
      <c r="W177" s="48"/>
      <c r="X177" s="48"/>
      <c r="Y177" s="48"/>
      <c r="Z177" s="48"/>
      <c r="AA177" s="48"/>
    </row>
    <row r="178" spans="1:27" ht="15.75" customHeight="1" x14ac:dyDescent="0.2">
      <c r="A178" s="48"/>
      <c r="B178" s="48"/>
      <c r="C178" s="48"/>
      <c r="D178" s="48"/>
      <c r="E178" s="48"/>
      <c r="F178" s="48"/>
      <c r="G178" s="48"/>
      <c r="H178" s="48"/>
      <c r="I178" s="48"/>
      <c r="J178" s="48"/>
      <c r="K178" s="48"/>
      <c r="L178" s="48"/>
      <c r="M178" s="48"/>
      <c r="N178" s="48"/>
      <c r="O178" s="48"/>
      <c r="P178" s="48"/>
      <c r="Q178" s="48"/>
      <c r="R178" s="48"/>
      <c r="S178" s="48"/>
      <c r="T178" s="48"/>
      <c r="U178" s="48"/>
      <c r="V178" s="48"/>
      <c r="W178" s="48"/>
      <c r="X178" s="48"/>
      <c r="Y178" s="48"/>
      <c r="Z178" s="48"/>
      <c r="AA178" s="48"/>
    </row>
    <row r="179" spans="1:27" ht="15.75" customHeight="1" x14ac:dyDescent="0.2">
      <c r="A179" s="48"/>
      <c r="B179" s="48"/>
      <c r="C179" s="48"/>
      <c r="D179" s="48"/>
      <c r="E179" s="48"/>
      <c r="F179" s="48"/>
      <c r="G179" s="48"/>
      <c r="H179" s="48"/>
      <c r="I179" s="48"/>
      <c r="J179" s="48"/>
      <c r="K179" s="48"/>
      <c r="L179" s="48"/>
      <c r="M179" s="48"/>
      <c r="N179" s="48"/>
      <c r="O179" s="48"/>
      <c r="P179" s="48"/>
      <c r="Q179" s="48"/>
      <c r="R179" s="48"/>
      <c r="S179" s="48"/>
      <c r="T179" s="48"/>
      <c r="U179" s="48"/>
      <c r="V179" s="48"/>
      <c r="W179" s="48"/>
      <c r="X179" s="48"/>
      <c r="Y179" s="48"/>
      <c r="Z179" s="48"/>
      <c r="AA179" s="48"/>
    </row>
    <row r="180" spans="1:27" ht="15.75" customHeight="1" x14ac:dyDescent="0.2">
      <c r="A180" s="48"/>
      <c r="B180" s="48"/>
      <c r="C180" s="48"/>
      <c r="D180" s="48"/>
      <c r="E180" s="48"/>
      <c r="F180" s="48"/>
      <c r="G180" s="48"/>
      <c r="H180" s="48"/>
      <c r="I180" s="48"/>
      <c r="J180" s="48"/>
      <c r="K180" s="48"/>
      <c r="L180" s="48"/>
      <c r="M180" s="48"/>
      <c r="N180" s="48"/>
      <c r="O180" s="48"/>
      <c r="P180" s="48"/>
      <c r="Q180" s="48"/>
      <c r="R180" s="48"/>
      <c r="S180" s="48"/>
      <c r="T180" s="48"/>
      <c r="U180" s="48"/>
      <c r="V180" s="48"/>
      <c r="W180" s="48"/>
      <c r="X180" s="48"/>
      <c r="Y180" s="48"/>
      <c r="Z180" s="48"/>
      <c r="AA180" s="48"/>
    </row>
    <row r="181" spans="1:27" ht="15.75" customHeight="1" x14ac:dyDescent="0.2">
      <c r="A181" s="48"/>
      <c r="B181" s="48"/>
      <c r="C181" s="48"/>
      <c r="D181" s="48"/>
      <c r="E181" s="48"/>
      <c r="F181" s="48"/>
      <c r="G181" s="48"/>
      <c r="H181" s="48"/>
      <c r="I181" s="48"/>
      <c r="J181" s="48"/>
      <c r="K181" s="48"/>
      <c r="L181" s="48"/>
      <c r="M181" s="48"/>
      <c r="N181" s="48"/>
      <c r="O181" s="48"/>
      <c r="P181" s="48"/>
      <c r="Q181" s="48"/>
      <c r="R181" s="48"/>
      <c r="S181" s="48"/>
      <c r="T181" s="48"/>
      <c r="U181" s="48"/>
      <c r="V181" s="48"/>
      <c r="W181" s="48"/>
      <c r="X181" s="48"/>
      <c r="Y181" s="48"/>
      <c r="Z181" s="48"/>
      <c r="AA181" s="48"/>
    </row>
    <row r="182" spans="1:27" ht="15.75" customHeight="1" x14ac:dyDescent="0.2">
      <c r="A182" s="48"/>
      <c r="B182" s="48"/>
      <c r="C182" s="48"/>
      <c r="D182" s="48"/>
      <c r="E182" s="48"/>
      <c r="F182" s="48"/>
      <c r="G182" s="48"/>
      <c r="H182" s="48"/>
      <c r="I182" s="48"/>
      <c r="J182" s="48"/>
      <c r="K182" s="48"/>
      <c r="L182" s="48"/>
      <c r="M182" s="48"/>
      <c r="N182" s="48"/>
      <c r="O182" s="48"/>
      <c r="P182" s="48"/>
      <c r="Q182" s="48"/>
      <c r="R182" s="48"/>
      <c r="S182" s="48"/>
      <c r="T182" s="48"/>
      <c r="U182" s="48"/>
      <c r="V182" s="48"/>
      <c r="W182" s="48"/>
      <c r="X182" s="48"/>
      <c r="Y182" s="48"/>
      <c r="Z182" s="48"/>
      <c r="AA182" s="48"/>
    </row>
    <row r="183" spans="1:27" ht="15.75" customHeight="1" x14ac:dyDescent="0.2">
      <c r="A183" s="48"/>
      <c r="B183" s="48"/>
      <c r="C183" s="48"/>
      <c r="D183" s="48"/>
      <c r="E183" s="48"/>
      <c r="F183" s="48"/>
      <c r="G183" s="48"/>
      <c r="H183" s="48"/>
      <c r="I183" s="48"/>
      <c r="J183" s="48"/>
      <c r="K183" s="48"/>
      <c r="L183" s="48"/>
      <c r="M183" s="48"/>
      <c r="N183" s="48"/>
      <c r="O183" s="48"/>
      <c r="P183" s="48"/>
      <c r="Q183" s="48"/>
      <c r="R183" s="48"/>
      <c r="S183" s="48"/>
      <c r="T183" s="48"/>
      <c r="U183" s="48"/>
      <c r="V183" s="48"/>
      <c r="W183" s="48"/>
      <c r="X183" s="48"/>
      <c r="Y183" s="48"/>
      <c r="Z183" s="48"/>
      <c r="AA183" s="48"/>
    </row>
    <row r="184" spans="1:27" ht="15.75" customHeight="1" x14ac:dyDescent="0.2">
      <c r="A184" s="48"/>
      <c r="B184" s="48"/>
      <c r="C184" s="48"/>
      <c r="D184" s="48"/>
      <c r="E184" s="48"/>
      <c r="F184" s="48"/>
      <c r="G184" s="48"/>
      <c r="H184" s="48"/>
      <c r="I184" s="48"/>
      <c r="J184" s="48"/>
      <c r="K184" s="48"/>
      <c r="L184" s="48"/>
      <c r="M184" s="48"/>
      <c r="N184" s="48"/>
      <c r="O184" s="48"/>
      <c r="P184" s="48"/>
      <c r="Q184" s="48"/>
      <c r="R184" s="48"/>
      <c r="S184" s="48"/>
      <c r="T184" s="48"/>
      <c r="U184" s="48"/>
      <c r="V184" s="48"/>
      <c r="W184" s="48"/>
      <c r="X184" s="48"/>
      <c r="Y184" s="48"/>
      <c r="Z184" s="48"/>
      <c r="AA184" s="48"/>
    </row>
    <row r="185" spans="1:27" ht="15.75" customHeight="1" x14ac:dyDescent="0.2">
      <c r="A185" s="48"/>
      <c r="B185" s="48"/>
      <c r="C185" s="48"/>
      <c r="D185" s="48"/>
      <c r="E185" s="48"/>
      <c r="F185" s="48"/>
      <c r="G185" s="48"/>
      <c r="H185" s="48"/>
      <c r="I185" s="48"/>
      <c r="J185" s="48"/>
      <c r="K185" s="48"/>
      <c r="L185" s="48"/>
      <c r="M185" s="48"/>
      <c r="N185" s="48"/>
      <c r="O185" s="48"/>
      <c r="P185" s="48"/>
      <c r="Q185" s="48"/>
      <c r="R185" s="48"/>
      <c r="S185" s="48"/>
      <c r="T185" s="48"/>
      <c r="U185" s="48"/>
      <c r="V185" s="48"/>
      <c r="W185" s="48"/>
      <c r="X185" s="48"/>
      <c r="Y185" s="48"/>
      <c r="Z185" s="48"/>
      <c r="AA185" s="48"/>
    </row>
    <row r="186" spans="1:27" ht="15.75" customHeight="1" x14ac:dyDescent="0.2">
      <c r="A186" s="48"/>
      <c r="B186" s="48"/>
      <c r="C186" s="48"/>
      <c r="D186" s="48"/>
      <c r="E186" s="48"/>
      <c r="F186" s="48"/>
      <c r="G186" s="48"/>
      <c r="H186" s="48"/>
      <c r="I186" s="48"/>
      <c r="J186" s="48"/>
      <c r="K186" s="48"/>
      <c r="L186" s="48"/>
      <c r="M186" s="48"/>
      <c r="N186" s="48"/>
      <c r="O186" s="48"/>
      <c r="P186" s="48"/>
      <c r="Q186" s="48"/>
      <c r="R186" s="48"/>
      <c r="S186" s="48"/>
      <c r="T186" s="48"/>
      <c r="U186" s="48"/>
      <c r="V186" s="48"/>
      <c r="W186" s="48"/>
      <c r="X186" s="48"/>
      <c r="Y186" s="48"/>
      <c r="Z186" s="48"/>
      <c r="AA186" s="48"/>
    </row>
    <row r="187" spans="1:27" ht="15.75" customHeight="1" x14ac:dyDescent="0.2">
      <c r="A187" s="48"/>
      <c r="B187" s="48"/>
      <c r="C187" s="48"/>
      <c r="D187" s="48"/>
      <c r="E187" s="48"/>
      <c r="F187" s="48"/>
      <c r="G187" s="48"/>
      <c r="H187" s="48"/>
      <c r="I187" s="48"/>
      <c r="J187" s="48"/>
      <c r="K187" s="48"/>
      <c r="L187" s="48"/>
      <c r="M187" s="48"/>
      <c r="N187" s="48"/>
      <c r="O187" s="48"/>
      <c r="P187" s="48"/>
      <c r="Q187" s="48"/>
      <c r="R187" s="48"/>
      <c r="S187" s="48"/>
      <c r="T187" s="48"/>
      <c r="U187" s="48"/>
      <c r="V187" s="48"/>
      <c r="W187" s="48"/>
      <c r="X187" s="48"/>
      <c r="Y187" s="48"/>
      <c r="Z187" s="48"/>
      <c r="AA187" s="48"/>
    </row>
    <row r="188" spans="1:27" ht="15.75" customHeight="1" x14ac:dyDescent="0.2">
      <c r="A188" s="48"/>
      <c r="B188" s="48"/>
      <c r="C188" s="48"/>
      <c r="D188" s="48"/>
      <c r="E188" s="48"/>
      <c r="F188" s="48"/>
      <c r="G188" s="48"/>
      <c r="H188" s="48"/>
      <c r="I188" s="48"/>
      <c r="J188" s="48"/>
      <c r="K188" s="48"/>
      <c r="L188" s="48"/>
      <c r="M188" s="48"/>
      <c r="N188" s="48"/>
      <c r="O188" s="48"/>
      <c r="P188" s="48"/>
      <c r="Q188" s="48"/>
      <c r="R188" s="48"/>
      <c r="S188" s="48"/>
      <c r="T188" s="48"/>
      <c r="U188" s="48"/>
      <c r="V188" s="48"/>
      <c r="W188" s="48"/>
      <c r="X188" s="48"/>
      <c r="Y188" s="48"/>
      <c r="Z188" s="48"/>
      <c r="AA188" s="48"/>
    </row>
    <row r="189" spans="1:27" ht="15.75" customHeight="1" x14ac:dyDescent="0.2">
      <c r="A189" s="48"/>
      <c r="B189" s="48"/>
      <c r="C189" s="48"/>
      <c r="D189" s="48"/>
      <c r="E189" s="48"/>
      <c r="F189" s="48"/>
      <c r="G189" s="48"/>
      <c r="H189" s="48"/>
      <c r="I189" s="48"/>
      <c r="J189" s="48"/>
      <c r="K189" s="48"/>
      <c r="L189" s="48"/>
      <c r="M189" s="48"/>
      <c r="N189" s="48"/>
      <c r="O189" s="48"/>
      <c r="P189" s="48"/>
      <c r="Q189" s="48"/>
      <c r="R189" s="48"/>
      <c r="S189" s="48"/>
      <c r="T189" s="48"/>
      <c r="U189" s="48"/>
      <c r="V189" s="48"/>
      <c r="W189" s="48"/>
      <c r="X189" s="48"/>
      <c r="Y189" s="48"/>
      <c r="Z189" s="48"/>
      <c r="AA189" s="48"/>
    </row>
    <row r="190" spans="1:27" ht="15.75" customHeight="1" x14ac:dyDescent="0.2">
      <c r="A190" s="48"/>
      <c r="B190" s="48"/>
      <c r="C190" s="48"/>
      <c r="D190" s="48"/>
      <c r="E190" s="48"/>
      <c r="F190" s="48"/>
      <c r="G190" s="48"/>
      <c r="H190" s="48"/>
      <c r="I190" s="48"/>
      <c r="J190" s="48"/>
      <c r="K190" s="48"/>
      <c r="L190" s="48"/>
      <c r="M190" s="48"/>
      <c r="N190" s="48"/>
      <c r="O190" s="48"/>
      <c r="P190" s="48"/>
      <c r="Q190" s="48"/>
      <c r="R190" s="48"/>
      <c r="S190" s="48"/>
      <c r="T190" s="48"/>
      <c r="U190" s="48"/>
      <c r="V190" s="48"/>
      <c r="W190" s="48"/>
      <c r="X190" s="48"/>
      <c r="Y190" s="48"/>
      <c r="Z190" s="48"/>
      <c r="AA190" s="48"/>
    </row>
    <row r="191" spans="1:27" ht="15.75" customHeight="1" x14ac:dyDescent="0.2">
      <c r="A191" s="48"/>
      <c r="B191" s="48"/>
      <c r="C191" s="48"/>
      <c r="D191" s="48"/>
      <c r="E191" s="48"/>
      <c r="F191" s="48"/>
      <c r="G191" s="48"/>
      <c r="H191" s="48"/>
      <c r="I191" s="48"/>
      <c r="J191" s="48"/>
      <c r="K191" s="48"/>
      <c r="L191" s="48"/>
      <c r="M191" s="48"/>
      <c r="N191" s="48"/>
      <c r="O191" s="48"/>
      <c r="P191" s="48"/>
      <c r="Q191" s="48"/>
      <c r="R191" s="48"/>
      <c r="S191" s="48"/>
      <c r="T191" s="48"/>
      <c r="U191" s="48"/>
      <c r="V191" s="48"/>
      <c r="W191" s="48"/>
      <c r="X191" s="48"/>
      <c r="Y191" s="48"/>
      <c r="Z191" s="48"/>
      <c r="AA191" s="48"/>
    </row>
    <row r="192" spans="1:27" ht="15.75" customHeight="1" x14ac:dyDescent="0.2">
      <c r="A192" s="48"/>
      <c r="B192" s="48"/>
      <c r="C192" s="48"/>
      <c r="D192" s="48"/>
      <c r="E192" s="48"/>
      <c r="F192" s="48"/>
      <c r="G192" s="48"/>
      <c r="H192" s="48"/>
      <c r="I192" s="48"/>
      <c r="J192" s="48"/>
      <c r="K192" s="48"/>
      <c r="L192" s="48"/>
      <c r="M192" s="48"/>
      <c r="N192" s="48"/>
      <c r="O192" s="48"/>
      <c r="P192" s="48"/>
      <c r="Q192" s="48"/>
      <c r="R192" s="48"/>
      <c r="S192" s="48"/>
      <c r="T192" s="48"/>
      <c r="U192" s="48"/>
      <c r="V192" s="48"/>
      <c r="W192" s="48"/>
      <c r="X192" s="48"/>
      <c r="Y192" s="48"/>
      <c r="Z192" s="48"/>
      <c r="AA192" s="48"/>
    </row>
    <row r="193" spans="1:27" ht="15.75" customHeight="1" x14ac:dyDescent="0.2">
      <c r="A193" s="48"/>
      <c r="B193" s="48"/>
      <c r="C193" s="48"/>
      <c r="D193" s="48"/>
      <c r="E193" s="48"/>
      <c r="F193" s="48"/>
      <c r="G193" s="48"/>
      <c r="H193" s="48"/>
      <c r="I193" s="48"/>
      <c r="J193" s="48"/>
      <c r="K193" s="48"/>
      <c r="L193" s="48"/>
      <c r="M193" s="48"/>
      <c r="N193" s="48"/>
      <c r="O193" s="48"/>
      <c r="P193" s="48"/>
      <c r="Q193" s="48"/>
      <c r="R193" s="48"/>
      <c r="S193" s="48"/>
      <c r="T193" s="48"/>
      <c r="U193" s="48"/>
      <c r="V193" s="48"/>
      <c r="W193" s="48"/>
      <c r="X193" s="48"/>
      <c r="Y193" s="48"/>
      <c r="Z193" s="48"/>
      <c r="AA193" s="48"/>
    </row>
    <row r="194" spans="1:27" ht="15.75" customHeight="1" x14ac:dyDescent="0.2">
      <c r="A194" s="48"/>
      <c r="B194" s="48"/>
      <c r="C194" s="48"/>
      <c r="D194" s="48"/>
      <c r="E194" s="48"/>
      <c r="F194" s="48"/>
      <c r="G194" s="48"/>
      <c r="H194" s="48"/>
      <c r="I194" s="48"/>
      <c r="J194" s="48"/>
      <c r="K194" s="48"/>
      <c r="L194" s="48"/>
      <c r="M194" s="48"/>
      <c r="N194" s="48"/>
      <c r="O194" s="48"/>
      <c r="P194" s="48"/>
      <c r="Q194" s="48"/>
      <c r="R194" s="48"/>
      <c r="S194" s="48"/>
      <c r="T194" s="48"/>
      <c r="U194" s="48"/>
      <c r="V194" s="48"/>
      <c r="W194" s="48"/>
      <c r="X194" s="48"/>
      <c r="Y194" s="48"/>
      <c r="Z194" s="48"/>
      <c r="AA194" s="48"/>
    </row>
    <row r="195" spans="1:27" ht="15.75" customHeight="1" x14ac:dyDescent="0.2">
      <c r="A195" s="48"/>
      <c r="B195" s="48"/>
      <c r="C195" s="48"/>
      <c r="D195" s="48"/>
      <c r="E195" s="48"/>
      <c r="F195" s="48"/>
      <c r="G195" s="48"/>
      <c r="H195" s="48"/>
      <c r="I195" s="48"/>
      <c r="J195" s="48"/>
      <c r="K195" s="48"/>
      <c r="L195" s="48"/>
      <c r="M195" s="48"/>
      <c r="N195" s="48"/>
      <c r="O195" s="48"/>
      <c r="P195" s="48"/>
      <c r="Q195" s="48"/>
      <c r="R195" s="48"/>
      <c r="S195" s="48"/>
      <c r="T195" s="48"/>
      <c r="U195" s="48"/>
      <c r="V195" s="48"/>
      <c r="W195" s="48"/>
      <c r="X195" s="48"/>
      <c r="Y195" s="48"/>
      <c r="Z195" s="48"/>
      <c r="AA195" s="48"/>
    </row>
    <row r="196" spans="1:27" ht="15.75" customHeight="1" x14ac:dyDescent="0.2">
      <c r="A196" s="48"/>
      <c r="B196" s="48"/>
      <c r="C196" s="48"/>
      <c r="D196" s="48"/>
      <c r="E196" s="48"/>
      <c r="F196" s="48"/>
      <c r="G196" s="48"/>
      <c r="H196" s="48"/>
      <c r="I196" s="48"/>
      <c r="J196" s="48"/>
      <c r="K196" s="48"/>
      <c r="L196" s="48"/>
      <c r="M196" s="48"/>
      <c r="N196" s="48"/>
      <c r="O196" s="48"/>
      <c r="P196" s="48"/>
      <c r="Q196" s="48"/>
      <c r="R196" s="48"/>
      <c r="S196" s="48"/>
      <c r="T196" s="48"/>
      <c r="U196" s="48"/>
      <c r="V196" s="48"/>
      <c r="W196" s="48"/>
      <c r="X196" s="48"/>
      <c r="Y196" s="48"/>
      <c r="Z196" s="48"/>
      <c r="AA196" s="48"/>
    </row>
    <row r="197" spans="1:27" ht="15.75" customHeight="1" x14ac:dyDescent="0.2">
      <c r="A197" s="48"/>
      <c r="B197" s="48"/>
      <c r="C197" s="48"/>
      <c r="D197" s="48"/>
      <c r="E197" s="48"/>
      <c r="F197" s="48"/>
      <c r="G197" s="48"/>
      <c r="H197" s="48"/>
      <c r="I197" s="48"/>
      <c r="J197" s="48"/>
      <c r="K197" s="48"/>
      <c r="L197" s="48"/>
      <c r="M197" s="48"/>
      <c r="N197" s="48"/>
      <c r="O197" s="48"/>
      <c r="P197" s="48"/>
      <c r="Q197" s="48"/>
      <c r="R197" s="48"/>
      <c r="S197" s="48"/>
      <c r="T197" s="48"/>
      <c r="U197" s="48"/>
      <c r="V197" s="48"/>
      <c r="W197" s="48"/>
      <c r="X197" s="48"/>
      <c r="Y197" s="48"/>
      <c r="Z197" s="48"/>
      <c r="AA197" s="48"/>
    </row>
    <row r="198" spans="1:27" ht="15.75" customHeight="1" x14ac:dyDescent="0.2">
      <c r="A198" s="48"/>
      <c r="B198" s="48"/>
      <c r="C198" s="48"/>
      <c r="D198" s="48"/>
      <c r="E198" s="48"/>
      <c r="F198" s="48"/>
      <c r="G198" s="48"/>
      <c r="H198" s="48"/>
      <c r="I198" s="48"/>
      <c r="J198" s="48"/>
      <c r="K198" s="48"/>
      <c r="L198" s="48"/>
      <c r="M198" s="48"/>
      <c r="N198" s="48"/>
      <c r="O198" s="48"/>
      <c r="P198" s="48"/>
      <c r="Q198" s="48"/>
      <c r="R198" s="48"/>
      <c r="S198" s="48"/>
      <c r="T198" s="48"/>
      <c r="U198" s="48"/>
      <c r="V198" s="48"/>
      <c r="W198" s="48"/>
      <c r="X198" s="48"/>
      <c r="Y198" s="48"/>
      <c r="Z198" s="48"/>
      <c r="AA198" s="48"/>
    </row>
    <row r="199" spans="1:27" ht="15.75" customHeight="1" x14ac:dyDescent="0.2">
      <c r="A199" s="48"/>
      <c r="B199" s="48"/>
      <c r="C199" s="48"/>
      <c r="D199" s="48"/>
      <c r="E199" s="48"/>
      <c r="F199" s="48"/>
      <c r="G199" s="48"/>
      <c r="H199" s="48"/>
      <c r="I199" s="48"/>
      <c r="J199" s="48"/>
      <c r="K199" s="48"/>
      <c r="L199" s="48"/>
      <c r="M199" s="48"/>
      <c r="N199" s="48"/>
      <c r="O199" s="48"/>
      <c r="P199" s="48"/>
      <c r="Q199" s="48"/>
      <c r="R199" s="48"/>
      <c r="S199" s="48"/>
      <c r="T199" s="48"/>
      <c r="U199" s="48"/>
      <c r="V199" s="48"/>
      <c r="W199" s="48"/>
      <c r="X199" s="48"/>
      <c r="Y199" s="48"/>
      <c r="Z199" s="48"/>
      <c r="AA199" s="48"/>
    </row>
    <row r="200" spans="1:27" ht="15.75" customHeight="1" x14ac:dyDescent="0.2">
      <c r="A200" s="48"/>
      <c r="B200" s="48"/>
      <c r="C200" s="48"/>
      <c r="D200" s="48"/>
      <c r="E200" s="48"/>
      <c r="F200" s="48"/>
      <c r="G200" s="48"/>
      <c r="H200" s="48"/>
      <c r="I200" s="48"/>
      <c r="J200" s="48"/>
      <c r="K200" s="48"/>
      <c r="L200" s="48"/>
      <c r="M200" s="48"/>
      <c r="N200" s="48"/>
      <c r="O200" s="48"/>
      <c r="P200" s="48"/>
      <c r="Q200" s="48"/>
      <c r="R200" s="48"/>
      <c r="S200" s="48"/>
      <c r="T200" s="48"/>
      <c r="U200" s="48"/>
      <c r="V200" s="48"/>
      <c r="W200" s="48"/>
      <c r="X200" s="48"/>
      <c r="Y200" s="48"/>
      <c r="Z200" s="48"/>
      <c r="AA200" s="48"/>
    </row>
    <row r="201" spans="1:27" ht="15.75" customHeight="1" x14ac:dyDescent="0.2">
      <c r="A201" s="48"/>
      <c r="B201" s="48"/>
      <c r="C201" s="48"/>
      <c r="D201" s="48"/>
      <c r="E201" s="48"/>
      <c r="F201" s="48"/>
      <c r="G201" s="48"/>
      <c r="H201" s="48"/>
      <c r="I201" s="48"/>
      <c r="J201" s="48"/>
      <c r="K201" s="48"/>
      <c r="L201" s="48"/>
      <c r="M201" s="48"/>
      <c r="N201" s="48"/>
      <c r="O201" s="48"/>
      <c r="P201" s="48"/>
      <c r="Q201" s="48"/>
      <c r="R201" s="48"/>
      <c r="S201" s="48"/>
      <c r="T201" s="48"/>
      <c r="U201" s="48"/>
      <c r="V201" s="48"/>
      <c r="W201" s="48"/>
      <c r="X201" s="48"/>
      <c r="Y201" s="48"/>
      <c r="Z201" s="48"/>
      <c r="AA201" s="48"/>
    </row>
    <row r="202" spans="1:27" ht="15.75" customHeight="1" x14ac:dyDescent="0.2">
      <c r="A202" s="48"/>
      <c r="B202" s="48"/>
      <c r="C202" s="48"/>
      <c r="D202" s="48"/>
      <c r="E202" s="48"/>
      <c r="F202" s="48"/>
      <c r="G202" s="48"/>
      <c r="H202" s="48"/>
      <c r="I202" s="48"/>
      <c r="J202" s="48"/>
      <c r="K202" s="48"/>
      <c r="L202" s="48"/>
      <c r="M202" s="48"/>
      <c r="N202" s="48"/>
      <c r="O202" s="48"/>
      <c r="P202" s="48"/>
      <c r="Q202" s="48"/>
      <c r="R202" s="48"/>
      <c r="S202" s="48"/>
      <c r="T202" s="48"/>
      <c r="U202" s="48"/>
      <c r="V202" s="48"/>
      <c r="W202" s="48"/>
      <c r="X202" s="48"/>
      <c r="Y202" s="48"/>
      <c r="Z202" s="48"/>
      <c r="AA202" s="48"/>
    </row>
    <row r="203" spans="1:27" ht="15.75" customHeight="1" x14ac:dyDescent="0.2">
      <c r="A203" s="48"/>
      <c r="B203" s="48"/>
      <c r="C203" s="48"/>
      <c r="D203" s="48"/>
      <c r="E203" s="48"/>
      <c r="F203" s="48"/>
      <c r="G203" s="48"/>
      <c r="H203" s="48"/>
      <c r="I203" s="48"/>
      <c r="J203" s="48"/>
      <c r="K203" s="48"/>
      <c r="L203" s="48"/>
      <c r="M203" s="48"/>
      <c r="N203" s="48"/>
      <c r="O203" s="48"/>
      <c r="P203" s="48"/>
      <c r="Q203" s="48"/>
      <c r="R203" s="48"/>
      <c r="S203" s="48"/>
      <c r="T203" s="48"/>
      <c r="U203" s="48"/>
      <c r="V203" s="48"/>
      <c r="W203" s="48"/>
      <c r="X203" s="48"/>
      <c r="Y203" s="48"/>
      <c r="Z203" s="48"/>
      <c r="AA203" s="48"/>
    </row>
    <row r="204" spans="1:27" ht="15.75" customHeight="1" x14ac:dyDescent="0.2">
      <c r="A204" s="48"/>
      <c r="B204" s="48"/>
      <c r="C204" s="48"/>
      <c r="D204" s="48"/>
      <c r="E204" s="48"/>
      <c r="F204" s="48"/>
      <c r="G204" s="48"/>
      <c r="H204" s="48"/>
      <c r="I204" s="48"/>
      <c r="J204" s="48"/>
      <c r="K204" s="48"/>
      <c r="L204" s="48"/>
      <c r="M204" s="48"/>
      <c r="N204" s="48"/>
      <c r="O204" s="48"/>
      <c r="P204" s="48"/>
      <c r="Q204" s="48"/>
      <c r="R204" s="48"/>
      <c r="S204" s="48"/>
      <c r="T204" s="48"/>
      <c r="U204" s="48"/>
      <c r="V204" s="48"/>
      <c r="W204" s="48"/>
      <c r="X204" s="48"/>
      <c r="Y204" s="48"/>
      <c r="Z204" s="48"/>
      <c r="AA204" s="48"/>
    </row>
    <row r="205" spans="1:27" ht="15.75" customHeight="1" x14ac:dyDescent="0.2">
      <c r="A205" s="48"/>
      <c r="B205" s="48"/>
      <c r="C205" s="48"/>
      <c r="D205" s="48"/>
      <c r="E205" s="48"/>
      <c r="F205" s="48"/>
      <c r="G205" s="48"/>
      <c r="H205" s="48"/>
      <c r="I205" s="48"/>
      <c r="J205" s="48"/>
      <c r="K205" s="48"/>
      <c r="L205" s="48"/>
      <c r="M205" s="48"/>
      <c r="N205" s="48"/>
      <c r="O205" s="48"/>
      <c r="P205" s="48"/>
      <c r="Q205" s="48"/>
      <c r="R205" s="48"/>
      <c r="S205" s="48"/>
      <c r="T205" s="48"/>
      <c r="U205" s="48"/>
      <c r="V205" s="48"/>
      <c r="W205" s="48"/>
      <c r="X205" s="48"/>
      <c r="Y205" s="48"/>
      <c r="Z205" s="48"/>
      <c r="AA205" s="48"/>
    </row>
    <row r="206" spans="1:27" ht="15.75" customHeight="1" x14ac:dyDescent="0.2">
      <c r="A206" s="48"/>
      <c r="B206" s="48"/>
      <c r="C206" s="48"/>
      <c r="D206" s="48"/>
      <c r="E206" s="48"/>
      <c r="F206" s="48"/>
      <c r="G206" s="48"/>
      <c r="H206" s="48"/>
      <c r="I206" s="48"/>
      <c r="J206" s="48"/>
      <c r="K206" s="48"/>
      <c r="L206" s="48"/>
      <c r="M206" s="48"/>
      <c r="N206" s="48"/>
      <c r="O206" s="48"/>
      <c r="P206" s="48"/>
      <c r="Q206" s="48"/>
      <c r="R206" s="48"/>
      <c r="S206" s="48"/>
      <c r="T206" s="48"/>
      <c r="U206" s="48"/>
      <c r="V206" s="48"/>
      <c r="W206" s="48"/>
      <c r="X206" s="48"/>
      <c r="Y206" s="48"/>
      <c r="Z206" s="48"/>
      <c r="AA206" s="48"/>
    </row>
    <row r="207" spans="1:27" ht="15.75" customHeight="1" x14ac:dyDescent="0.2">
      <c r="A207" s="48"/>
      <c r="B207" s="48"/>
      <c r="C207" s="48"/>
      <c r="D207" s="48"/>
      <c r="E207" s="48"/>
      <c r="F207" s="48"/>
      <c r="G207" s="48"/>
      <c r="H207" s="48"/>
      <c r="I207" s="48"/>
      <c r="J207" s="48"/>
      <c r="K207" s="48"/>
      <c r="L207" s="48"/>
      <c r="M207" s="48"/>
      <c r="N207" s="48"/>
      <c r="O207" s="48"/>
      <c r="P207" s="48"/>
      <c r="Q207" s="48"/>
      <c r="R207" s="48"/>
      <c r="S207" s="48"/>
      <c r="T207" s="48"/>
      <c r="U207" s="48"/>
      <c r="V207" s="48"/>
      <c r="W207" s="48"/>
      <c r="X207" s="48"/>
      <c r="Y207" s="48"/>
      <c r="Z207" s="48"/>
      <c r="AA207" s="48"/>
    </row>
    <row r="208" spans="1:27" ht="15.75" customHeight="1" x14ac:dyDescent="0.2">
      <c r="A208" s="48"/>
      <c r="B208" s="48"/>
      <c r="C208" s="48"/>
      <c r="D208" s="48"/>
      <c r="E208" s="48"/>
      <c r="F208" s="48"/>
      <c r="G208" s="48"/>
      <c r="H208" s="48"/>
      <c r="I208" s="48"/>
      <c r="J208" s="48"/>
      <c r="K208" s="48"/>
      <c r="L208" s="48"/>
      <c r="M208" s="48"/>
      <c r="N208" s="48"/>
      <c r="O208" s="48"/>
      <c r="P208" s="48"/>
      <c r="Q208" s="48"/>
      <c r="R208" s="48"/>
      <c r="S208" s="48"/>
      <c r="T208" s="48"/>
      <c r="U208" s="48"/>
      <c r="V208" s="48"/>
      <c r="W208" s="48"/>
      <c r="X208" s="48"/>
      <c r="Y208" s="48"/>
      <c r="Z208" s="48"/>
      <c r="AA208" s="48"/>
    </row>
    <row r="209" spans="1:27" ht="15.75" customHeight="1" x14ac:dyDescent="0.2">
      <c r="A209" s="48"/>
      <c r="B209" s="48"/>
      <c r="C209" s="48"/>
      <c r="D209" s="48"/>
      <c r="E209" s="48"/>
      <c r="F209" s="48"/>
      <c r="G209" s="48"/>
      <c r="H209" s="48"/>
      <c r="I209" s="48"/>
      <c r="J209" s="48"/>
      <c r="K209" s="48"/>
      <c r="L209" s="48"/>
      <c r="M209" s="48"/>
      <c r="N209" s="48"/>
      <c r="O209" s="48"/>
      <c r="P209" s="48"/>
      <c r="Q209" s="48"/>
      <c r="R209" s="48"/>
      <c r="S209" s="48"/>
      <c r="T209" s="48"/>
      <c r="U209" s="48"/>
      <c r="V209" s="48"/>
      <c r="W209" s="48"/>
      <c r="X209" s="48"/>
      <c r="Y209" s="48"/>
      <c r="Z209" s="48"/>
      <c r="AA209" s="48"/>
    </row>
    <row r="210" spans="1:27" ht="15.75" customHeight="1" x14ac:dyDescent="0.2">
      <c r="A210" s="48"/>
      <c r="B210" s="48"/>
      <c r="C210" s="48"/>
      <c r="D210" s="48"/>
      <c r="E210" s="48"/>
      <c r="F210" s="48"/>
      <c r="G210" s="48"/>
      <c r="H210" s="48"/>
      <c r="I210" s="48"/>
      <c r="J210" s="48"/>
      <c r="K210" s="48"/>
      <c r="L210" s="48"/>
      <c r="M210" s="48"/>
      <c r="N210" s="48"/>
      <c r="O210" s="48"/>
      <c r="P210" s="48"/>
      <c r="Q210" s="48"/>
      <c r="R210" s="48"/>
      <c r="S210" s="48"/>
      <c r="T210" s="48"/>
      <c r="U210" s="48"/>
      <c r="V210" s="48"/>
      <c r="W210" s="48"/>
      <c r="X210" s="48"/>
      <c r="Y210" s="48"/>
      <c r="Z210" s="48"/>
      <c r="AA210" s="48"/>
    </row>
    <row r="211" spans="1:27" ht="15.75" customHeight="1" x14ac:dyDescent="0.2">
      <c r="A211" s="48"/>
      <c r="B211" s="48"/>
      <c r="C211" s="48"/>
      <c r="D211" s="48"/>
      <c r="E211" s="48"/>
      <c r="F211" s="48"/>
      <c r="G211" s="48"/>
      <c r="H211" s="48"/>
      <c r="I211" s="48"/>
      <c r="J211" s="48"/>
      <c r="K211" s="48"/>
      <c r="L211" s="48"/>
      <c r="M211" s="48"/>
      <c r="N211" s="48"/>
      <c r="O211" s="48"/>
      <c r="P211" s="48"/>
      <c r="Q211" s="48"/>
      <c r="R211" s="48"/>
      <c r="S211" s="48"/>
      <c r="T211" s="48"/>
      <c r="U211" s="48"/>
      <c r="V211" s="48"/>
      <c r="W211" s="48"/>
      <c r="X211" s="48"/>
      <c r="Y211" s="48"/>
      <c r="Z211" s="48"/>
      <c r="AA211" s="48"/>
    </row>
    <row r="212" spans="1:27" ht="15.75" customHeight="1" x14ac:dyDescent="0.2">
      <c r="A212" s="48"/>
      <c r="B212" s="48"/>
      <c r="C212" s="48"/>
      <c r="D212" s="48"/>
      <c r="E212" s="48"/>
      <c r="F212" s="48"/>
      <c r="G212" s="48"/>
      <c r="H212" s="48"/>
      <c r="I212" s="48"/>
      <c r="J212" s="48"/>
      <c r="K212" s="48"/>
      <c r="L212" s="48"/>
      <c r="M212" s="48"/>
      <c r="N212" s="48"/>
      <c r="O212" s="48"/>
      <c r="P212" s="48"/>
      <c r="Q212" s="48"/>
      <c r="R212" s="48"/>
      <c r="S212" s="48"/>
      <c r="T212" s="48"/>
      <c r="U212" s="48"/>
      <c r="V212" s="48"/>
      <c r="W212" s="48"/>
      <c r="X212" s="48"/>
      <c r="Y212" s="48"/>
      <c r="Z212" s="48"/>
      <c r="AA212" s="48"/>
    </row>
    <row r="213" spans="1:27" ht="15.75" customHeight="1" x14ac:dyDescent="0.2">
      <c r="A213" s="48"/>
      <c r="B213" s="48"/>
      <c r="C213" s="48"/>
      <c r="D213" s="48"/>
      <c r="E213" s="48"/>
      <c r="F213" s="48"/>
      <c r="G213" s="48"/>
      <c r="H213" s="48"/>
      <c r="I213" s="48"/>
      <c r="J213" s="48"/>
      <c r="K213" s="48"/>
      <c r="L213" s="48"/>
      <c r="M213" s="48"/>
      <c r="N213" s="48"/>
      <c r="O213" s="48"/>
      <c r="P213" s="48"/>
      <c r="Q213" s="48"/>
      <c r="R213" s="48"/>
      <c r="S213" s="48"/>
      <c r="T213" s="48"/>
      <c r="U213" s="48"/>
      <c r="V213" s="48"/>
      <c r="W213" s="48"/>
      <c r="X213" s="48"/>
      <c r="Y213" s="48"/>
      <c r="Z213" s="48"/>
      <c r="AA213" s="48"/>
    </row>
    <row r="214" spans="1:27" ht="15.75" customHeight="1" x14ac:dyDescent="0.2">
      <c r="A214" s="48"/>
      <c r="B214" s="48"/>
      <c r="C214" s="48"/>
      <c r="D214" s="48"/>
      <c r="E214" s="48"/>
      <c r="F214" s="48"/>
      <c r="G214" s="48"/>
      <c r="H214" s="48"/>
      <c r="I214" s="48"/>
      <c r="J214" s="48"/>
      <c r="K214" s="48"/>
      <c r="L214" s="48"/>
      <c r="M214" s="48"/>
      <c r="N214" s="48"/>
      <c r="O214" s="48"/>
      <c r="P214" s="48"/>
      <c r="Q214" s="48"/>
      <c r="R214" s="48"/>
      <c r="S214" s="48"/>
      <c r="T214" s="48"/>
      <c r="U214" s="48"/>
      <c r="V214" s="48"/>
      <c r="W214" s="48"/>
      <c r="X214" s="48"/>
      <c r="Y214" s="48"/>
      <c r="Z214" s="48"/>
      <c r="AA214" s="48"/>
    </row>
    <row r="215" spans="1:27" ht="15.75" customHeight="1" x14ac:dyDescent="0.2">
      <c r="A215" s="48"/>
      <c r="B215" s="48"/>
      <c r="C215" s="48"/>
      <c r="D215" s="48"/>
      <c r="E215" s="48"/>
      <c r="F215" s="48"/>
      <c r="G215" s="48"/>
      <c r="H215" s="48"/>
      <c r="I215" s="48"/>
      <c r="J215" s="48"/>
      <c r="K215" s="48"/>
      <c r="L215" s="48"/>
      <c r="M215" s="48"/>
      <c r="N215" s="48"/>
      <c r="O215" s="48"/>
      <c r="P215" s="48"/>
      <c r="Q215" s="48"/>
      <c r="R215" s="48"/>
      <c r="S215" s="48"/>
      <c r="T215" s="48"/>
      <c r="U215" s="48"/>
      <c r="V215" s="48"/>
      <c r="W215" s="48"/>
      <c r="X215" s="48"/>
      <c r="Y215" s="48"/>
      <c r="Z215" s="48"/>
      <c r="AA215" s="48"/>
    </row>
    <row r="216" spans="1:27" ht="15.75" customHeight="1" x14ac:dyDescent="0.2">
      <c r="A216" s="48"/>
      <c r="B216" s="48"/>
      <c r="C216" s="48"/>
      <c r="D216" s="48"/>
      <c r="E216" s="48"/>
      <c r="F216" s="48"/>
      <c r="G216" s="48"/>
      <c r="H216" s="48"/>
      <c r="I216" s="48"/>
      <c r="J216" s="48"/>
      <c r="K216" s="48"/>
      <c r="L216" s="48"/>
      <c r="M216" s="48"/>
      <c r="N216" s="48"/>
      <c r="O216" s="48"/>
      <c r="P216" s="48"/>
      <c r="Q216" s="48"/>
      <c r="R216" s="48"/>
      <c r="S216" s="48"/>
      <c r="T216" s="48"/>
      <c r="U216" s="48"/>
      <c r="V216" s="48"/>
      <c r="W216" s="48"/>
      <c r="X216" s="48"/>
      <c r="Y216" s="48"/>
      <c r="Z216" s="48"/>
      <c r="AA216" s="48"/>
    </row>
    <row r="217" spans="1:27" ht="15.75" customHeight="1" x14ac:dyDescent="0.2">
      <c r="A217" s="48"/>
      <c r="B217" s="48"/>
      <c r="C217" s="48"/>
      <c r="D217" s="48"/>
      <c r="E217" s="48"/>
      <c r="F217" s="48"/>
      <c r="G217" s="48"/>
      <c r="H217" s="48"/>
      <c r="I217" s="48"/>
      <c r="J217" s="48"/>
      <c r="K217" s="48"/>
      <c r="L217" s="48"/>
      <c r="M217" s="48"/>
      <c r="N217" s="48"/>
      <c r="O217" s="48"/>
      <c r="P217" s="48"/>
      <c r="Q217" s="48"/>
      <c r="R217" s="48"/>
      <c r="S217" s="48"/>
      <c r="T217" s="48"/>
      <c r="U217" s="48"/>
      <c r="V217" s="48"/>
      <c r="W217" s="48"/>
      <c r="X217" s="48"/>
      <c r="Y217" s="48"/>
      <c r="Z217" s="48"/>
      <c r="AA217" s="48"/>
    </row>
    <row r="218" spans="1:27" ht="15.75" customHeight="1" x14ac:dyDescent="0.2">
      <c r="A218" s="48"/>
      <c r="B218" s="48"/>
      <c r="C218" s="48"/>
      <c r="D218" s="48"/>
      <c r="E218" s="48"/>
      <c r="F218" s="48"/>
      <c r="G218" s="48"/>
      <c r="H218" s="48"/>
      <c r="I218" s="48"/>
      <c r="J218" s="48"/>
      <c r="K218" s="48"/>
      <c r="L218" s="48"/>
      <c r="M218" s="48"/>
      <c r="N218" s="48"/>
      <c r="O218" s="48"/>
      <c r="P218" s="48"/>
      <c r="Q218" s="48"/>
      <c r="R218" s="48"/>
      <c r="S218" s="48"/>
      <c r="T218" s="48"/>
      <c r="U218" s="48"/>
      <c r="V218" s="48"/>
      <c r="W218" s="48"/>
      <c r="X218" s="48"/>
      <c r="Y218" s="48"/>
      <c r="Z218" s="48"/>
      <c r="AA218" s="48"/>
    </row>
    <row r="219" spans="1:27" ht="15.75" customHeight="1" x14ac:dyDescent="0.2">
      <c r="A219" s="48"/>
      <c r="B219" s="48"/>
      <c r="C219" s="48"/>
      <c r="D219" s="48"/>
      <c r="E219" s="48"/>
      <c r="F219" s="48"/>
      <c r="G219" s="48"/>
      <c r="H219" s="48"/>
      <c r="I219" s="48"/>
      <c r="J219" s="48"/>
      <c r="K219" s="48"/>
      <c r="L219" s="48"/>
      <c r="M219" s="48"/>
      <c r="N219" s="48"/>
      <c r="O219" s="48"/>
      <c r="P219" s="48"/>
      <c r="Q219" s="48"/>
      <c r="R219" s="48"/>
      <c r="S219" s="48"/>
      <c r="T219" s="48"/>
      <c r="U219" s="48"/>
      <c r="V219" s="48"/>
      <c r="W219" s="48"/>
      <c r="X219" s="48"/>
      <c r="Y219" s="48"/>
      <c r="Z219" s="48"/>
      <c r="AA219" s="48"/>
    </row>
    <row r="220" spans="1:27" ht="15.75" customHeight="1" x14ac:dyDescent="0.2">
      <c r="A220" s="48"/>
      <c r="B220" s="48"/>
      <c r="C220" s="48"/>
      <c r="D220" s="48"/>
      <c r="E220" s="48"/>
      <c r="F220" s="48"/>
      <c r="G220" s="48"/>
      <c r="H220" s="48"/>
      <c r="I220" s="48"/>
      <c r="J220" s="48"/>
      <c r="K220" s="48"/>
      <c r="L220" s="48"/>
      <c r="M220" s="48"/>
      <c r="N220" s="48"/>
      <c r="O220" s="48"/>
      <c r="P220" s="48"/>
      <c r="Q220" s="48"/>
      <c r="R220" s="48"/>
      <c r="S220" s="48"/>
      <c r="T220" s="48"/>
      <c r="U220" s="48"/>
      <c r="V220" s="48"/>
      <c r="W220" s="48"/>
      <c r="X220" s="48"/>
      <c r="Y220" s="48"/>
      <c r="Z220" s="48"/>
      <c r="AA220" s="48"/>
    </row>
    <row r="221" spans="1:27" ht="15.75" customHeight="1" x14ac:dyDescent="0.2"/>
    <row r="222" spans="1:27" ht="15.75" customHeight="1" x14ac:dyDescent="0.2"/>
    <row r="223" spans="1:27" ht="15.75" customHeight="1" x14ac:dyDescent="0.2"/>
    <row r="224" spans="1:27"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4">
    <mergeCell ref="B2:F3"/>
    <mergeCell ref="H2:L3"/>
    <mergeCell ref="B5:D5"/>
    <mergeCell ref="H5:J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S1000"/>
  <sheetViews>
    <sheetView workbookViewId="0">
      <selection sqref="A1:S1000"/>
    </sheetView>
  </sheetViews>
  <sheetFormatPr defaultColWidth="12.5703125" defaultRowHeight="15" customHeight="1" x14ac:dyDescent="0.2"/>
  <cols>
    <col min="1" max="1" width="16.7109375" customWidth="1"/>
    <col min="2" max="6" width="12.5703125" customWidth="1"/>
    <col min="10" max="10" width="25.42578125" customWidth="1"/>
    <col min="11" max="11" width="9" customWidth="1"/>
  </cols>
  <sheetData>
    <row r="1" spans="1:19" ht="15.75" customHeight="1" x14ac:dyDescent="0.25">
      <c r="A1" s="92" t="s">
        <v>20</v>
      </c>
      <c r="B1" s="92">
        <v>60</v>
      </c>
      <c r="E1" s="92"/>
      <c r="F1" s="92" t="s">
        <v>21</v>
      </c>
      <c r="H1" s="93"/>
      <c r="I1" s="26"/>
    </row>
    <row r="2" spans="1:19" ht="15.75" customHeight="1" x14ac:dyDescent="0.2"/>
    <row r="3" spans="1:19" ht="15.75" customHeight="1" x14ac:dyDescent="0.2"/>
    <row r="4" spans="1:19" ht="15.75" customHeight="1" x14ac:dyDescent="0.25">
      <c r="B4" s="270" t="s">
        <v>20</v>
      </c>
      <c r="C4" s="271"/>
      <c r="D4" s="271"/>
      <c r="E4" s="95"/>
      <c r="F4" s="95"/>
      <c r="G4" s="270" t="s">
        <v>22</v>
      </c>
      <c r="H4" s="271"/>
      <c r="I4" s="271"/>
    </row>
    <row r="5" spans="1:19" ht="15.75" customHeight="1" x14ac:dyDescent="0.25">
      <c r="B5" s="96" t="s">
        <v>6</v>
      </c>
      <c r="C5" s="93" t="s">
        <v>11</v>
      </c>
      <c r="D5" s="97"/>
      <c r="E5" s="98"/>
      <c r="F5" s="97"/>
      <c r="G5" s="96" t="s">
        <v>6</v>
      </c>
      <c r="H5" s="93" t="s">
        <v>11</v>
      </c>
      <c r="I5" s="97"/>
      <c r="J5" s="97"/>
      <c r="L5" s="272" t="s">
        <v>22</v>
      </c>
      <c r="M5" s="271"/>
      <c r="N5" s="271"/>
      <c r="O5" s="94"/>
      <c r="P5" s="270" t="s">
        <v>20</v>
      </c>
      <c r="Q5" s="271"/>
      <c r="R5" s="271"/>
    </row>
    <row r="6" spans="1:19" ht="15.75" customHeight="1" x14ac:dyDescent="0.25">
      <c r="B6" s="26">
        <v>12819</v>
      </c>
      <c r="C6" s="26">
        <v>13578</v>
      </c>
      <c r="D6" s="99"/>
      <c r="E6" s="99"/>
      <c r="F6" s="99"/>
      <c r="G6" s="26">
        <v>12819</v>
      </c>
      <c r="H6" s="26">
        <v>13578</v>
      </c>
      <c r="I6" s="99"/>
      <c r="J6" s="99"/>
      <c r="L6" s="96" t="s">
        <v>6</v>
      </c>
      <c r="M6" s="93" t="s">
        <v>11</v>
      </c>
      <c r="N6" s="100"/>
      <c r="O6" s="100"/>
      <c r="P6" s="96" t="s">
        <v>6</v>
      </c>
      <c r="Q6" s="93" t="s">
        <v>11</v>
      </c>
      <c r="R6" s="101"/>
    </row>
    <row r="7" spans="1:19" ht="15.75" customHeight="1" x14ac:dyDescent="0.25">
      <c r="A7" s="102">
        <v>46235.25</v>
      </c>
      <c r="B7" s="97">
        <v>0.84851122299830117</v>
      </c>
      <c r="C7" s="97">
        <v>0.5798209904446433</v>
      </c>
      <c r="D7" s="97"/>
      <c r="E7" s="97"/>
      <c r="F7" s="102">
        <v>46235.25</v>
      </c>
      <c r="G7" s="97">
        <v>62.207380358378089</v>
      </c>
      <c r="H7" s="97">
        <v>26.509624925997887</v>
      </c>
      <c r="I7" s="97"/>
      <c r="J7" s="97"/>
      <c r="K7" s="103">
        <v>46235</v>
      </c>
      <c r="L7" s="104">
        <v>112.05319722493491</v>
      </c>
      <c r="M7" s="104">
        <v>42.65779559131667</v>
      </c>
      <c r="N7" s="104"/>
      <c r="O7" s="104"/>
      <c r="P7" s="105">
        <v>0.84783442256351316</v>
      </c>
      <c r="Q7" s="105">
        <v>0.59359759896777675</v>
      </c>
      <c r="R7" s="105"/>
      <c r="S7" s="105"/>
    </row>
    <row r="8" spans="1:19" ht="15.75" customHeight="1" x14ac:dyDescent="0.25">
      <c r="A8" s="102">
        <v>46235.291666666664</v>
      </c>
      <c r="B8" s="97">
        <v>0.88244204719861352</v>
      </c>
      <c r="C8" s="97">
        <v>0.80088746883416828</v>
      </c>
      <c r="D8" s="97"/>
      <c r="E8" s="97"/>
      <c r="F8" s="106">
        <v>46235.291666666664</v>
      </c>
      <c r="G8" s="97">
        <v>73.301853307088223</v>
      </c>
      <c r="H8" s="97">
        <v>34.588595485498779</v>
      </c>
      <c r="I8" s="97"/>
      <c r="J8" s="97"/>
      <c r="K8" s="103">
        <v>46236</v>
      </c>
      <c r="L8" s="104">
        <v>76.295998700459791</v>
      </c>
      <c r="M8" s="104">
        <v>23.708431786699258</v>
      </c>
      <c r="N8" s="104"/>
      <c r="O8" s="104"/>
      <c r="P8" s="105">
        <v>0.77261555317397934</v>
      </c>
      <c r="Q8" s="105">
        <v>0.18212069908859049</v>
      </c>
      <c r="R8" s="105"/>
      <c r="S8" s="105"/>
    </row>
    <row r="9" spans="1:19" ht="15.75" customHeight="1" x14ac:dyDescent="0.25">
      <c r="A9" s="102">
        <v>46235.333333333336</v>
      </c>
      <c r="B9" s="97">
        <v>0.8951567629973094</v>
      </c>
      <c r="C9" s="97">
        <v>0.4533794144161134</v>
      </c>
      <c r="D9" s="97"/>
      <c r="E9" s="97"/>
      <c r="F9" s="106">
        <v>46235.333333333336</v>
      </c>
      <c r="G9" s="97">
        <v>76.345452626546233</v>
      </c>
      <c r="H9" s="97">
        <v>24.859421354979865</v>
      </c>
      <c r="I9" s="97"/>
      <c r="J9" s="97"/>
      <c r="K9" s="103">
        <v>46237</v>
      </c>
      <c r="L9" s="104">
        <v>123.1890809649513</v>
      </c>
      <c r="M9" s="104">
        <v>40.136758065506399</v>
      </c>
      <c r="N9" s="104"/>
      <c r="O9" s="104"/>
      <c r="P9" s="105">
        <v>0.87607034366163949</v>
      </c>
      <c r="Q9" s="105">
        <v>0.58194993851566512</v>
      </c>
      <c r="R9" s="105"/>
      <c r="S9" s="105"/>
    </row>
    <row r="10" spans="1:19" ht="15.75" customHeight="1" x14ac:dyDescent="0.25">
      <c r="A10" s="102">
        <v>46235.375</v>
      </c>
      <c r="B10" s="97">
        <v>0.88473322192827863</v>
      </c>
      <c r="C10" s="97">
        <v>0.43602632015590137</v>
      </c>
      <c r="D10" s="97"/>
      <c r="E10" s="97"/>
      <c r="F10" s="106">
        <v>46235.375</v>
      </c>
      <c r="G10" s="97">
        <v>73.10061365763346</v>
      </c>
      <c r="H10" s="97">
        <v>26.084224145874206</v>
      </c>
      <c r="I10" s="97"/>
      <c r="J10" s="97"/>
      <c r="K10" s="103">
        <v>46238</v>
      </c>
      <c r="L10" s="104">
        <v>129.0901158650716</v>
      </c>
      <c r="M10" s="104">
        <v>38.796130829649009</v>
      </c>
      <c r="N10" s="104"/>
      <c r="O10" s="104"/>
      <c r="P10" s="105">
        <v>0.87294765971009702</v>
      </c>
      <c r="Q10" s="105">
        <v>0.60167714431194785</v>
      </c>
      <c r="R10" s="105"/>
      <c r="S10" s="105"/>
    </row>
    <row r="11" spans="1:19" ht="15.75" customHeight="1" x14ac:dyDescent="0.25">
      <c r="A11" s="102">
        <v>46235.416666666664</v>
      </c>
      <c r="B11" s="97">
        <v>0.88897634347279864</v>
      </c>
      <c r="C11" s="97">
        <v>0.3552108249763255</v>
      </c>
      <c r="D11" s="97"/>
      <c r="E11" s="97"/>
      <c r="F11" s="106">
        <v>46235.416666666664</v>
      </c>
      <c r="G11" s="97">
        <v>75.138669204711917</v>
      </c>
      <c r="H11" s="97">
        <v>23.38589098802197</v>
      </c>
      <c r="I11" s="97"/>
      <c r="J11" s="97"/>
      <c r="K11" s="103">
        <v>46239</v>
      </c>
      <c r="L11" s="104">
        <v>122.94877355893453</v>
      </c>
      <c r="M11" s="104">
        <v>32.979511847137935</v>
      </c>
      <c r="N11" s="104"/>
      <c r="O11" s="104"/>
      <c r="P11" s="105">
        <v>0.85601659511850292</v>
      </c>
      <c r="Q11" s="105">
        <v>0.57748045407638082</v>
      </c>
      <c r="R11" s="105"/>
      <c r="S11" s="105"/>
    </row>
    <row r="12" spans="1:19" ht="15.75" customHeight="1" x14ac:dyDescent="0.25">
      <c r="A12" s="102">
        <v>46235.458333333336</v>
      </c>
      <c r="B12" s="97">
        <v>0.91191456913948066</v>
      </c>
      <c r="C12" s="97">
        <v>0.41247754717768415</v>
      </c>
      <c r="D12" s="97"/>
      <c r="E12" s="97"/>
      <c r="F12" s="106">
        <v>46235.458333333336</v>
      </c>
      <c r="G12" s="97">
        <v>78.968970235188806</v>
      </c>
      <c r="H12" s="97">
        <v>24.327397435078979</v>
      </c>
      <c r="I12" s="97"/>
      <c r="J12" s="97"/>
      <c r="K12" s="103">
        <v>46240</v>
      </c>
      <c r="L12" s="104">
        <v>127.12431920369467</v>
      </c>
      <c r="M12" s="104">
        <v>38.033062867967509</v>
      </c>
      <c r="N12" s="104"/>
      <c r="O12" s="104"/>
      <c r="P12" s="105">
        <v>0.87955678626894951</v>
      </c>
      <c r="Q12" s="105">
        <v>0.57283868458077847</v>
      </c>
      <c r="R12" s="105"/>
      <c r="S12" s="105"/>
    </row>
    <row r="13" spans="1:19" ht="15.75" customHeight="1" x14ac:dyDescent="0.25">
      <c r="A13" s="102">
        <v>46235.5</v>
      </c>
      <c r="B13" s="97">
        <v>0.93851879934469862</v>
      </c>
      <c r="C13" s="97">
        <v>0.44203690513084998</v>
      </c>
      <c r="D13" s="97"/>
      <c r="E13" s="97"/>
      <c r="F13" s="106">
        <v>46235.5</v>
      </c>
      <c r="G13" s="97">
        <v>112.05319722493491</v>
      </c>
      <c r="H13" s="97">
        <v>23.931033608470507</v>
      </c>
      <c r="I13" s="97"/>
      <c r="J13" s="97"/>
      <c r="K13" s="103">
        <v>46241</v>
      </c>
      <c r="L13" s="104">
        <v>129.96989351908368</v>
      </c>
      <c r="M13" s="104">
        <v>38.343732760357767</v>
      </c>
      <c r="N13" s="104"/>
      <c r="O13" s="104"/>
      <c r="P13" s="105">
        <v>0.86841195866110799</v>
      </c>
      <c r="Q13" s="105">
        <v>0.57657176603186433</v>
      </c>
      <c r="R13" s="105"/>
      <c r="S13" s="105"/>
    </row>
    <row r="14" spans="1:19" ht="15.75" customHeight="1" x14ac:dyDescent="0.25">
      <c r="A14" s="102">
        <v>46235.541666666664</v>
      </c>
      <c r="B14" s="97">
        <v>0.93473974466323861</v>
      </c>
      <c r="C14" s="97">
        <v>0.46419891137850611</v>
      </c>
      <c r="D14" s="97"/>
      <c r="E14" s="97"/>
      <c r="F14" s="106">
        <v>46235.541666666664</v>
      </c>
      <c r="G14" s="97">
        <v>103.72416763305664</v>
      </c>
      <c r="H14" s="97">
        <v>25.20293469297085</v>
      </c>
      <c r="I14" s="97"/>
      <c r="J14" s="97"/>
      <c r="K14" s="103">
        <v>46242</v>
      </c>
      <c r="L14" s="104">
        <v>78.55820032755534</v>
      </c>
      <c r="M14" s="104">
        <v>42.408223747735903</v>
      </c>
      <c r="N14" s="104"/>
      <c r="O14" s="104"/>
      <c r="P14" s="105">
        <v>0.76037314407645706</v>
      </c>
      <c r="Q14" s="105">
        <v>0.55593355223463803</v>
      </c>
      <c r="R14" s="105"/>
      <c r="S14" s="105"/>
    </row>
    <row r="15" spans="1:19" ht="15.75" customHeight="1" x14ac:dyDescent="0.25">
      <c r="A15" s="102">
        <v>46235.583333333336</v>
      </c>
      <c r="B15" s="97">
        <v>0.94230536023775735</v>
      </c>
      <c r="C15" s="97">
        <v>0.42627761433482636</v>
      </c>
      <c r="D15" s="97"/>
      <c r="E15" s="97"/>
      <c r="F15" s="106">
        <v>46235.583333333336</v>
      </c>
      <c r="G15" s="97">
        <v>109.33861045837403</v>
      </c>
      <c r="H15" s="97">
        <v>24.320942664806083</v>
      </c>
      <c r="I15" s="97"/>
      <c r="J15" s="97"/>
      <c r="K15" s="103">
        <v>46243</v>
      </c>
      <c r="L15" s="104">
        <v>60.146386786869591</v>
      </c>
      <c r="M15" s="104">
        <v>24.165905887430362</v>
      </c>
      <c r="N15" s="104"/>
      <c r="O15" s="104"/>
      <c r="P15" s="105">
        <v>0.74644520806651282</v>
      </c>
      <c r="Q15" s="105">
        <v>0.16378728235054549</v>
      </c>
      <c r="R15" s="105"/>
      <c r="S15" s="105"/>
    </row>
    <row r="16" spans="1:19" ht="15.75" customHeight="1" x14ac:dyDescent="0.25">
      <c r="A16" s="102">
        <v>46235.625</v>
      </c>
      <c r="B16" s="97">
        <v>0.93293920556704202</v>
      </c>
      <c r="C16" s="97">
        <v>0.31628384862257086</v>
      </c>
      <c r="D16" s="97"/>
      <c r="E16" s="97"/>
      <c r="F16" s="106">
        <v>46235.625</v>
      </c>
      <c r="G16" s="97">
        <v>106.36911646525066</v>
      </c>
      <c r="H16" s="97">
        <v>23.849785336392671</v>
      </c>
      <c r="I16" s="97"/>
      <c r="J16" s="97"/>
      <c r="K16" s="103">
        <v>46244</v>
      </c>
      <c r="L16" s="104">
        <v>136.17963892618815</v>
      </c>
      <c r="M16" s="104">
        <v>47.546789112769574</v>
      </c>
      <c r="N16" s="104"/>
      <c r="O16" s="104"/>
      <c r="P16" s="105">
        <v>0.88424689205710127</v>
      </c>
      <c r="Q16" s="105">
        <v>0.60358640242844075</v>
      </c>
      <c r="R16" s="105"/>
      <c r="S16" s="105"/>
    </row>
    <row r="17" spans="1:19" ht="15.75" customHeight="1" x14ac:dyDescent="0.25">
      <c r="A17" s="102">
        <v>46235.666666666664</v>
      </c>
      <c r="B17" s="97">
        <v>0.9084424376487733</v>
      </c>
      <c r="C17" s="97">
        <v>0.47619573371448065</v>
      </c>
      <c r="D17" s="97"/>
      <c r="E17" s="97"/>
      <c r="F17" s="106">
        <v>46235.666666666664</v>
      </c>
      <c r="G17" s="97">
        <v>96.298438771565742</v>
      </c>
      <c r="H17" s="97">
        <v>25.597197072779238</v>
      </c>
      <c r="I17" s="97"/>
      <c r="J17" s="97"/>
      <c r="K17" s="103">
        <v>46245</v>
      </c>
      <c r="L17" s="104">
        <v>139.60378023783369</v>
      </c>
      <c r="M17" s="104">
        <v>45.186539450181797</v>
      </c>
      <c r="N17" s="104"/>
      <c r="O17" s="104"/>
      <c r="P17" s="105">
        <v>0.89309464979562014</v>
      </c>
      <c r="Q17" s="105">
        <v>0.60768106060252269</v>
      </c>
      <c r="R17" s="105"/>
      <c r="S17" s="105"/>
    </row>
    <row r="18" spans="1:19" ht="15.75" customHeight="1" x14ac:dyDescent="0.25">
      <c r="A18" s="102">
        <v>46235.708333333336</v>
      </c>
      <c r="B18" s="97">
        <v>0.90704152981440223</v>
      </c>
      <c r="C18" s="97">
        <v>0.57919086669037934</v>
      </c>
      <c r="D18" s="97"/>
      <c r="E18" s="97"/>
      <c r="F18" s="106">
        <v>46235.708333333336</v>
      </c>
      <c r="G18" s="97">
        <v>96.822976430257171</v>
      </c>
      <c r="H18" s="97">
        <v>24.183489160575412</v>
      </c>
      <c r="I18" s="97"/>
      <c r="J18" s="97"/>
      <c r="K18" s="103">
        <v>46246</v>
      </c>
      <c r="L18" s="104">
        <v>139.75594189961748</v>
      </c>
      <c r="M18" s="104">
        <v>40.521267604450934</v>
      </c>
      <c r="N18" s="104"/>
      <c r="O18" s="104"/>
      <c r="P18" s="105">
        <v>0.80730728646096106</v>
      </c>
      <c r="Q18" s="105">
        <v>0.62115087310803285</v>
      </c>
      <c r="R18" s="105"/>
      <c r="S18" s="105"/>
    </row>
    <row r="19" spans="1:19" ht="15.75" customHeight="1" x14ac:dyDescent="0.25">
      <c r="A19" s="102">
        <v>46235.75</v>
      </c>
      <c r="B19" s="97">
        <v>0.87667820056279488</v>
      </c>
      <c r="C19" s="97">
        <v>0.63524072308078583</v>
      </c>
      <c r="D19" s="97"/>
      <c r="E19" s="97"/>
      <c r="F19" s="106">
        <v>46235.75</v>
      </c>
      <c r="G19" s="97">
        <v>68.209697977701808</v>
      </c>
      <c r="H19" s="97">
        <v>24.75622542479293</v>
      </c>
      <c r="I19" s="97"/>
      <c r="J19" s="97"/>
      <c r="K19" s="103">
        <v>46247</v>
      </c>
      <c r="L19" s="104">
        <v>131.74943695068359</v>
      </c>
      <c r="M19" s="104">
        <v>49.015617333718573</v>
      </c>
      <c r="N19" s="104"/>
      <c r="O19" s="104"/>
      <c r="P19" s="105">
        <v>0.87664737146761684</v>
      </c>
      <c r="Q19" s="105">
        <v>0.62936219793616033</v>
      </c>
      <c r="R19" s="105"/>
      <c r="S19" s="105"/>
    </row>
    <row r="20" spans="1:19" ht="15.75" customHeight="1" x14ac:dyDescent="0.25">
      <c r="A20" s="102">
        <v>46235.791666666664</v>
      </c>
      <c r="B20" s="97">
        <v>0.8612749516963959</v>
      </c>
      <c r="C20" s="97">
        <v>0.69979684084300464</v>
      </c>
      <c r="D20" s="97"/>
      <c r="E20" s="97"/>
      <c r="F20" s="106">
        <v>46235.791666666664</v>
      </c>
      <c r="G20" s="97">
        <v>65.387338701883948</v>
      </c>
      <c r="H20" s="97">
        <v>27.330702210603498</v>
      </c>
      <c r="I20" s="97"/>
      <c r="J20" s="97"/>
      <c r="K20" s="103">
        <v>46248</v>
      </c>
      <c r="L20" s="104">
        <v>133.90465749104817</v>
      </c>
      <c r="M20" s="104">
        <v>38.831551226702601</v>
      </c>
      <c r="N20" s="104"/>
      <c r="O20" s="104"/>
      <c r="P20" s="105">
        <v>0.88022739271973327</v>
      </c>
      <c r="Q20" s="105">
        <v>0.62416125419150859</v>
      </c>
      <c r="R20" s="105"/>
      <c r="S20" s="105"/>
    </row>
    <row r="21" spans="1:19" ht="15.75" customHeight="1" x14ac:dyDescent="0.25">
      <c r="A21" s="102">
        <v>46235.833333333336</v>
      </c>
      <c r="B21" s="97">
        <v>0.83031166990598049</v>
      </c>
      <c r="C21" s="97">
        <v>0.82853796583390515</v>
      </c>
      <c r="D21" s="97"/>
      <c r="E21" s="97"/>
      <c r="F21" s="106">
        <v>46235.833333333336</v>
      </c>
      <c r="G21" s="97">
        <v>61.805075391133627</v>
      </c>
      <c r="H21" s="97">
        <v>38.30706106721177</v>
      </c>
      <c r="I21" s="97"/>
      <c r="J21" s="97"/>
      <c r="K21" s="103">
        <v>46249</v>
      </c>
      <c r="L21" s="104">
        <v>68.457201321919754</v>
      </c>
      <c r="M21" s="104">
        <v>23.914750874749284</v>
      </c>
      <c r="N21" s="104"/>
      <c r="O21" s="104"/>
      <c r="P21" s="105">
        <v>0.78108866769997842</v>
      </c>
      <c r="Q21" s="105">
        <v>0.17899705436232846</v>
      </c>
      <c r="R21" s="105"/>
      <c r="S21" s="105"/>
    </row>
    <row r="22" spans="1:19" ht="15.75" customHeight="1" x14ac:dyDescent="0.25">
      <c r="A22" s="102">
        <v>46235.875</v>
      </c>
      <c r="B22" s="97">
        <v>0.82586346268653865</v>
      </c>
      <c r="C22" s="97">
        <v>0.79006740338953119</v>
      </c>
      <c r="D22" s="97"/>
      <c r="E22" s="97"/>
      <c r="F22" s="106">
        <v>46235.875</v>
      </c>
      <c r="G22" s="97">
        <v>61.490093612670897</v>
      </c>
      <c r="H22" s="97">
        <v>36.4538310271478</v>
      </c>
      <c r="I22" s="97"/>
      <c r="J22" s="97"/>
      <c r="K22" s="103">
        <v>46250</v>
      </c>
      <c r="L22" s="104">
        <v>60.091320419311522</v>
      </c>
      <c r="M22" s="104">
        <v>28.693708584713839</v>
      </c>
      <c r="N22" s="104"/>
      <c r="O22" s="104"/>
      <c r="P22" s="105">
        <v>0.76207401042301504</v>
      </c>
      <c r="Q22" s="105">
        <v>0.31796602678900276</v>
      </c>
      <c r="R22" s="105"/>
      <c r="S22" s="105"/>
    </row>
    <row r="23" spans="1:19" ht="15.75" customHeight="1" x14ac:dyDescent="0.25">
      <c r="A23" s="102">
        <v>46235.916666666664</v>
      </c>
      <c r="B23" s="97">
        <v>0.8266249219576518</v>
      </c>
      <c r="C23" s="97">
        <v>0.65346336983173736</v>
      </c>
      <c r="D23" s="97"/>
      <c r="E23" s="97"/>
      <c r="F23" s="106">
        <v>46235.916666666664</v>
      </c>
      <c r="G23" s="97">
        <v>59.487653132847377</v>
      </c>
      <c r="H23" s="97">
        <v>26.492286044147175</v>
      </c>
      <c r="I23" s="97"/>
      <c r="J23" s="97"/>
      <c r="K23" s="103">
        <v>46251</v>
      </c>
      <c r="L23" s="104">
        <v>125.46830447968981</v>
      </c>
      <c r="M23" s="104">
        <v>47.371320117603652</v>
      </c>
      <c r="N23" s="104"/>
      <c r="O23" s="104"/>
      <c r="P23" s="105">
        <v>0.86724487798575212</v>
      </c>
      <c r="Q23" s="105">
        <v>0.65485071339086198</v>
      </c>
      <c r="R23" s="105"/>
      <c r="S23" s="105"/>
    </row>
    <row r="24" spans="1:19" ht="15.75" customHeight="1" x14ac:dyDescent="0.25">
      <c r="A24" s="102">
        <v>46235.958333333336</v>
      </c>
      <c r="B24" s="97">
        <v>0.76721875667572015</v>
      </c>
      <c r="C24" s="97">
        <v>0.74839275645408709</v>
      </c>
      <c r="D24" s="97"/>
      <c r="E24" s="97"/>
      <c r="F24" s="106">
        <v>46235.958333333336</v>
      </c>
      <c r="G24" s="97">
        <v>55.335439936319986</v>
      </c>
      <c r="H24" s="97">
        <v>30.783160097514216</v>
      </c>
      <c r="I24" s="97"/>
      <c r="J24" s="97"/>
      <c r="K24" s="103">
        <v>46252</v>
      </c>
      <c r="L24" s="104">
        <v>122.10032602945964</v>
      </c>
      <c r="M24" s="104">
        <v>24.466744291923735</v>
      </c>
      <c r="N24" s="104"/>
      <c r="O24" s="104"/>
      <c r="P24" s="105">
        <v>0.84935057856006846</v>
      </c>
      <c r="Q24" s="105">
        <v>0.87893275085748312</v>
      </c>
      <c r="R24" s="105"/>
      <c r="S24" s="105"/>
    </row>
    <row r="25" spans="1:19" ht="15.75" customHeight="1" x14ac:dyDescent="0.25">
      <c r="A25" s="102">
        <v>46236</v>
      </c>
      <c r="B25" s="97">
        <v>0.77380733092625942</v>
      </c>
      <c r="C25" s="97">
        <v>0.86178502416893432</v>
      </c>
      <c r="D25" s="97"/>
      <c r="E25" s="97"/>
      <c r="F25" s="106">
        <v>46236</v>
      </c>
      <c r="G25" s="97">
        <v>55.975963846842447</v>
      </c>
      <c r="H25" s="97">
        <v>42.65779559131667</v>
      </c>
      <c r="I25" s="97"/>
      <c r="J25" s="97"/>
      <c r="K25" s="103">
        <v>46253</v>
      </c>
      <c r="L25" s="104">
        <v>62.867057164510094</v>
      </c>
      <c r="M25" s="104">
        <v>21.77832698445075</v>
      </c>
      <c r="N25" s="104"/>
      <c r="O25" s="104"/>
      <c r="P25" s="105">
        <v>0.78508405025206107</v>
      </c>
      <c r="Q25" s="105">
        <v>0.87317518485349244</v>
      </c>
      <c r="R25" s="105"/>
      <c r="S25" s="105"/>
    </row>
    <row r="26" spans="1:19" ht="15.75" customHeight="1" x14ac:dyDescent="0.25">
      <c r="A26" s="102">
        <v>46236.041666666664</v>
      </c>
      <c r="B26" s="97">
        <v>0.74876044193903613</v>
      </c>
      <c r="C26" s="97">
        <v>0.65838268575932191</v>
      </c>
      <c r="D26" s="97"/>
      <c r="E26" s="97"/>
      <c r="F26" s="106">
        <v>46236.041666666664</v>
      </c>
      <c r="G26" s="97">
        <v>55.316936492919922</v>
      </c>
      <c r="H26" s="97">
        <v>28.998573392747417</v>
      </c>
      <c r="I26" s="97"/>
      <c r="J26" s="97"/>
      <c r="K26" s="103">
        <v>46254</v>
      </c>
      <c r="L26" s="104">
        <v>43.285339291890466</v>
      </c>
      <c r="M26" s="104">
        <v>12.375701148519402</v>
      </c>
      <c r="N26" s="104"/>
      <c r="O26" s="104"/>
      <c r="P26" s="105">
        <v>0.48514364807420784</v>
      </c>
      <c r="Q26" s="105">
        <v>0.7085141030487474</v>
      </c>
      <c r="R26" s="105"/>
      <c r="S26" s="105"/>
    </row>
    <row r="27" spans="1:19" ht="15.75" customHeight="1" x14ac:dyDescent="0.25">
      <c r="A27" s="102">
        <v>46236.083333333336</v>
      </c>
      <c r="B27" s="97">
        <v>0.74198113878568006</v>
      </c>
      <c r="C27" s="97">
        <v>0.77568576682226453</v>
      </c>
      <c r="D27" s="97"/>
      <c r="E27" s="97"/>
      <c r="F27" s="106">
        <v>46236.083333333336</v>
      </c>
      <c r="G27" s="97">
        <v>55.865615272521971</v>
      </c>
      <c r="H27" s="97">
        <v>34.287370864581689</v>
      </c>
      <c r="I27" s="97"/>
      <c r="J27" s="97"/>
      <c r="K27" s="103">
        <v>46255</v>
      </c>
      <c r="L27" s="104">
        <v>0</v>
      </c>
      <c r="M27" s="104">
        <v>0</v>
      </c>
      <c r="N27" s="104"/>
      <c r="O27" s="104"/>
      <c r="P27" s="105" t="s">
        <v>339</v>
      </c>
      <c r="Q27" s="105" t="s">
        <v>339</v>
      </c>
      <c r="R27" s="105"/>
      <c r="S27" s="105"/>
    </row>
    <row r="28" spans="1:19" ht="15.75" customHeight="1" x14ac:dyDescent="0.25">
      <c r="A28" s="102">
        <v>46236.125</v>
      </c>
      <c r="B28" s="97">
        <v>0.73551853497823072</v>
      </c>
      <c r="C28" s="97">
        <v>0.71771831109589745</v>
      </c>
      <c r="D28" s="97"/>
      <c r="E28" s="97"/>
      <c r="F28" s="106">
        <v>46236.125</v>
      </c>
      <c r="G28" s="97">
        <v>53.39604765574137</v>
      </c>
      <c r="H28" s="97">
        <v>31.827394488300733</v>
      </c>
      <c r="I28" s="97"/>
      <c r="J28" s="97"/>
      <c r="K28" s="103">
        <v>46256</v>
      </c>
      <c r="L28" s="104">
        <v>0</v>
      </c>
      <c r="M28" s="104">
        <v>0</v>
      </c>
      <c r="N28" s="104"/>
      <c r="O28" s="104"/>
      <c r="P28" s="105" t="s">
        <v>339</v>
      </c>
      <c r="Q28" s="105" t="s">
        <v>339</v>
      </c>
      <c r="R28" s="105"/>
      <c r="S28" s="105"/>
    </row>
    <row r="29" spans="1:19" ht="15.75" customHeight="1" x14ac:dyDescent="0.25">
      <c r="A29" s="102">
        <v>46236.166666666664</v>
      </c>
      <c r="B29" s="97">
        <v>0.73340651392936707</v>
      </c>
      <c r="C29" s="97">
        <v>0.61218923948734638</v>
      </c>
      <c r="D29" s="97"/>
      <c r="E29" s="97"/>
      <c r="F29" s="106">
        <v>46236.166666666664</v>
      </c>
      <c r="G29" s="97">
        <v>52.864372762044269</v>
      </c>
      <c r="H29" s="97">
        <v>25.693151915968642</v>
      </c>
      <c r="I29" s="97"/>
      <c r="J29" s="97"/>
      <c r="K29" s="103">
        <v>46257</v>
      </c>
      <c r="L29" s="104">
        <v>0</v>
      </c>
      <c r="M29" s="104">
        <v>0</v>
      </c>
      <c r="N29" s="104"/>
      <c r="O29" s="104"/>
      <c r="P29" s="105" t="s">
        <v>339</v>
      </c>
      <c r="Q29" s="105" t="s">
        <v>339</v>
      </c>
      <c r="R29" s="105"/>
      <c r="S29" s="105"/>
    </row>
    <row r="30" spans="1:19" ht="15.75" customHeight="1" x14ac:dyDescent="0.25">
      <c r="A30" s="102">
        <v>46236.208333333336</v>
      </c>
      <c r="B30" s="97">
        <v>0.75085897246996569</v>
      </c>
      <c r="C30" s="97">
        <v>0.52309584258337738</v>
      </c>
      <c r="D30" s="97"/>
      <c r="E30" s="97"/>
      <c r="F30" s="106">
        <v>46236.208333333336</v>
      </c>
      <c r="G30" s="97">
        <v>52.456552950541173</v>
      </c>
      <c r="H30" s="97">
        <v>25.472605792901259</v>
      </c>
      <c r="I30" s="97"/>
      <c r="J30" s="97"/>
      <c r="K30" s="103">
        <v>46258</v>
      </c>
      <c r="L30" s="104">
        <v>0</v>
      </c>
      <c r="M30" s="104">
        <v>0</v>
      </c>
      <c r="N30" s="104"/>
      <c r="O30" s="104"/>
      <c r="P30" s="105" t="s">
        <v>339</v>
      </c>
      <c r="Q30" s="105" t="s">
        <v>339</v>
      </c>
      <c r="R30" s="105"/>
      <c r="S30" s="105"/>
    </row>
    <row r="31" spans="1:19" ht="15.75" customHeight="1" x14ac:dyDescent="0.25">
      <c r="A31" s="102">
        <v>46236.25</v>
      </c>
      <c r="B31" s="97">
        <v>0.76990927656491592</v>
      </c>
      <c r="C31" s="97">
        <v>0.14237905066946277</v>
      </c>
      <c r="D31" s="97"/>
      <c r="E31" s="97"/>
      <c r="F31" s="106">
        <v>46236.25</v>
      </c>
      <c r="G31" s="97">
        <v>52.213047917683923</v>
      </c>
      <c r="H31" s="97">
        <v>22.616057053856228</v>
      </c>
      <c r="I31" s="97"/>
      <c r="J31" s="97"/>
      <c r="K31" s="103">
        <v>46259</v>
      </c>
      <c r="L31" s="104">
        <v>0</v>
      </c>
      <c r="M31" s="104">
        <v>0</v>
      </c>
      <c r="N31" s="104"/>
      <c r="O31" s="104"/>
      <c r="P31" s="105" t="s">
        <v>339</v>
      </c>
      <c r="Q31" s="105" t="s">
        <v>339</v>
      </c>
      <c r="R31" s="105"/>
      <c r="S31" s="105"/>
    </row>
    <row r="32" spans="1:19" ht="15.75" customHeight="1" x14ac:dyDescent="0.25">
      <c r="A32" s="102">
        <v>46236.291666666664</v>
      </c>
      <c r="B32" s="97">
        <v>0.77699549794197087</v>
      </c>
      <c r="C32" s="97">
        <v>0.12255486133305923</v>
      </c>
      <c r="D32" s="97"/>
      <c r="E32" s="97"/>
      <c r="F32" s="106">
        <v>46236.291666666664</v>
      </c>
      <c r="G32" s="97">
        <v>53.307747650146482</v>
      </c>
      <c r="H32" s="97">
        <v>22.410185334239554</v>
      </c>
      <c r="I32" s="97"/>
      <c r="J32" s="97"/>
      <c r="K32" s="103">
        <v>46260</v>
      </c>
      <c r="L32" s="104">
        <v>0</v>
      </c>
      <c r="M32" s="104">
        <v>0</v>
      </c>
      <c r="N32" s="104"/>
      <c r="O32" s="104"/>
      <c r="P32" s="105" t="s">
        <v>339</v>
      </c>
      <c r="Q32" s="105" t="s">
        <v>339</v>
      </c>
      <c r="R32" s="105"/>
      <c r="S32" s="105"/>
    </row>
    <row r="33" spans="1:19" ht="15.75" customHeight="1" x14ac:dyDescent="0.25">
      <c r="A33" s="102">
        <v>46236.333333333336</v>
      </c>
      <c r="B33" s="97">
        <v>0.7906260550022125</v>
      </c>
      <c r="C33" s="97">
        <v>0.11903468174896692</v>
      </c>
      <c r="D33" s="97"/>
      <c r="E33" s="97"/>
      <c r="F33" s="106">
        <v>46236.333333333336</v>
      </c>
      <c r="G33" s="97">
        <v>53.58689047495524</v>
      </c>
      <c r="H33" s="97">
        <v>22.386842809646968</v>
      </c>
      <c r="I33" s="97"/>
      <c r="J33" s="97"/>
      <c r="K33" s="103">
        <v>46261</v>
      </c>
      <c r="L33" s="104">
        <v>0</v>
      </c>
      <c r="M33" s="104">
        <v>0</v>
      </c>
      <c r="N33" s="104"/>
      <c r="O33" s="104"/>
      <c r="P33" s="105" t="s">
        <v>339</v>
      </c>
      <c r="Q33" s="105" t="s">
        <v>339</v>
      </c>
      <c r="R33" s="105"/>
      <c r="S33" s="105"/>
    </row>
    <row r="34" spans="1:19" ht="15.75" customHeight="1" x14ac:dyDescent="0.25">
      <c r="A34" s="102">
        <v>46236.375</v>
      </c>
      <c r="B34" s="97">
        <v>0.76947473684946699</v>
      </c>
      <c r="C34" s="97">
        <v>0.13279548746795053</v>
      </c>
      <c r="D34" s="97"/>
      <c r="E34" s="97"/>
      <c r="F34" s="106">
        <v>46236.375</v>
      </c>
      <c r="G34" s="97">
        <v>52.830306561787921</v>
      </c>
      <c r="H34" s="97">
        <v>22.2030159805132</v>
      </c>
      <c r="I34" s="97"/>
      <c r="J34" s="97"/>
      <c r="K34" s="103">
        <v>46262</v>
      </c>
      <c r="L34" s="104">
        <v>0</v>
      </c>
      <c r="M34" s="104">
        <v>0</v>
      </c>
      <c r="N34" s="104"/>
      <c r="O34" s="104"/>
      <c r="P34" s="105" t="s">
        <v>339</v>
      </c>
      <c r="Q34" s="105" t="s">
        <v>339</v>
      </c>
      <c r="R34" s="105"/>
      <c r="S34" s="105"/>
    </row>
    <row r="35" spans="1:19" ht="15.75" customHeight="1" x14ac:dyDescent="0.25">
      <c r="A35" s="102">
        <v>46236.416666666664</v>
      </c>
      <c r="B35" s="97">
        <v>0.72652218994640161</v>
      </c>
      <c r="C35" s="97">
        <v>0.11964607945543976</v>
      </c>
      <c r="D35" s="97"/>
      <c r="E35" s="97"/>
      <c r="F35" s="106">
        <v>46236.416666666664</v>
      </c>
      <c r="G35" s="97">
        <v>50.817820190248035</v>
      </c>
      <c r="H35" s="97">
        <v>22.380436484521557</v>
      </c>
      <c r="I35" s="97"/>
      <c r="J35" s="97"/>
      <c r="K35" s="103">
        <v>46263</v>
      </c>
      <c r="L35" s="104">
        <v>0</v>
      </c>
      <c r="M35" s="104">
        <v>0</v>
      </c>
      <c r="N35" s="104"/>
      <c r="O35" s="104"/>
      <c r="P35" s="105" t="s">
        <v>339</v>
      </c>
      <c r="Q35" s="105" t="s">
        <v>339</v>
      </c>
      <c r="R35" s="105"/>
      <c r="S35" s="105"/>
    </row>
    <row r="36" spans="1:19" ht="15.75" customHeight="1" x14ac:dyDescent="0.25">
      <c r="A36" s="102">
        <v>46236.458333333336</v>
      </c>
      <c r="B36" s="97">
        <v>0.78851297696431477</v>
      </c>
      <c r="C36" s="97">
        <v>0.12995012809228954</v>
      </c>
      <c r="D36" s="97"/>
      <c r="E36" s="97"/>
      <c r="F36" s="106">
        <v>46236.458333333336</v>
      </c>
      <c r="G36" s="97">
        <v>58.129556655883789</v>
      </c>
      <c r="H36" s="97">
        <v>19.669999927624502</v>
      </c>
      <c r="I36" s="97"/>
      <c r="J36" s="97"/>
      <c r="K36" s="103">
        <v>46264</v>
      </c>
      <c r="L36" s="104">
        <v>0</v>
      </c>
      <c r="M36" s="104">
        <v>0</v>
      </c>
      <c r="N36" s="104"/>
      <c r="O36" s="104"/>
      <c r="P36" s="105" t="s">
        <v>339</v>
      </c>
      <c r="Q36" s="105" t="s">
        <v>339</v>
      </c>
      <c r="R36" s="105"/>
      <c r="S36" s="105"/>
    </row>
    <row r="37" spans="1:19" ht="15.75" customHeight="1" x14ac:dyDescent="0.25">
      <c r="A37" s="102">
        <v>46236.5</v>
      </c>
      <c r="B37" s="97">
        <v>0.72794369061787922</v>
      </c>
      <c r="C37" s="97">
        <v>0.15081355694254395</v>
      </c>
      <c r="D37" s="97"/>
      <c r="E37" s="97"/>
      <c r="F37" s="106">
        <v>46236.5</v>
      </c>
      <c r="G37" s="97">
        <v>51.987044843037921</v>
      </c>
      <c r="H37" s="97">
        <v>22.265796824406259</v>
      </c>
      <c r="I37" s="97"/>
      <c r="J37" s="97"/>
      <c r="K37" s="103">
        <v>46265</v>
      </c>
      <c r="L37" s="104">
        <v>0</v>
      </c>
      <c r="M37" s="104">
        <v>0</v>
      </c>
      <c r="N37" s="104"/>
      <c r="O37" s="104"/>
      <c r="P37" s="105" t="s">
        <v>339</v>
      </c>
      <c r="Q37" s="105" t="s">
        <v>339</v>
      </c>
      <c r="R37" s="105"/>
      <c r="S37" s="105"/>
    </row>
    <row r="38" spans="1:19" ht="15.75" customHeight="1" x14ac:dyDescent="0.25">
      <c r="A38" s="102">
        <v>46236.541666666664</v>
      </c>
      <c r="B38" s="97">
        <v>0.7736301084359487</v>
      </c>
      <c r="C38" s="97">
        <v>0.15366532203001465</v>
      </c>
      <c r="D38" s="97"/>
      <c r="E38" s="97"/>
      <c r="F38" s="106">
        <v>46236.541666666664</v>
      </c>
      <c r="G38" s="97">
        <v>56.227272860209148</v>
      </c>
      <c r="H38" s="97">
        <v>22.387550738489203</v>
      </c>
      <c r="I38" s="97"/>
      <c r="J38" s="97"/>
    </row>
    <row r="39" spans="1:19" ht="15.75" customHeight="1" x14ac:dyDescent="0.25">
      <c r="A39" s="102">
        <v>46236.583333333336</v>
      </c>
      <c r="B39" s="97">
        <v>0.75149900118509927</v>
      </c>
      <c r="C39" s="97">
        <v>0.17181208983004798</v>
      </c>
      <c r="D39" s="97"/>
      <c r="E39" s="97"/>
      <c r="F39" s="106">
        <v>46236.583333333336</v>
      </c>
      <c r="G39" s="97">
        <v>54.254706192016599</v>
      </c>
      <c r="H39" s="97">
        <v>22.051897833941013</v>
      </c>
      <c r="I39" s="97"/>
      <c r="J39" s="97"/>
    </row>
    <row r="40" spans="1:19" ht="15.75" customHeight="1" x14ac:dyDescent="0.25">
      <c r="A40" s="102">
        <v>46236.625</v>
      </c>
      <c r="B40" s="97">
        <v>0.77733403046925864</v>
      </c>
      <c r="C40" s="97">
        <v>0.15279333393564337</v>
      </c>
      <c r="D40" s="97"/>
      <c r="E40" s="97"/>
      <c r="F40" s="106">
        <v>46236.625</v>
      </c>
      <c r="G40" s="97">
        <v>58.360308901468912</v>
      </c>
      <c r="H40" s="97">
        <v>22.447508891109422</v>
      </c>
      <c r="I40" s="97"/>
      <c r="J40" s="97"/>
    </row>
    <row r="41" spans="1:19" ht="15.75" customHeight="1" x14ac:dyDescent="0.25">
      <c r="A41" s="102">
        <v>46236.666666666664</v>
      </c>
      <c r="B41" s="97">
        <v>0.78938740690549214</v>
      </c>
      <c r="C41" s="97">
        <v>0.16201074185814313</v>
      </c>
      <c r="D41" s="97"/>
      <c r="E41" s="97"/>
      <c r="F41" s="106">
        <v>46236.666666666664</v>
      </c>
      <c r="G41" s="97">
        <v>58.600137329101557</v>
      </c>
      <c r="H41" s="97">
        <v>22.303378854344484</v>
      </c>
      <c r="I41" s="97"/>
      <c r="J41" s="97"/>
    </row>
    <row r="42" spans="1:19" ht="15.75" customHeight="1" x14ac:dyDescent="0.25">
      <c r="A42" s="102">
        <v>46236.708333333336</v>
      </c>
      <c r="B42" s="97">
        <v>0.84787004590034476</v>
      </c>
      <c r="C42" s="97">
        <v>0.16232612334456842</v>
      </c>
      <c r="D42" s="97"/>
      <c r="E42" s="97"/>
      <c r="F42" s="106">
        <v>46236.708333333336</v>
      </c>
      <c r="G42" s="97">
        <v>76.295998700459791</v>
      </c>
      <c r="H42" s="97">
        <v>22.179263347693585</v>
      </c>
      <c r="I42" s="97"/>
      <c r="J42" s="97"/>
    </row>
    <row r="43" spans="1:19" ht="15.75" customHeight="1" x14ac:dyDescent="0.25">
      <c r="A43" s="102">
        <v>46236.75</v>
      </c>
      <c r="B43" s="97">
        <v>0.85558548172314963</v>
      </c>
      <c r="C43" s="97">
        <v>0.17428647959420804</v>
      </c>
      <c r="D43" s="97"/>
      <c r="E43" s="97"/>
      <c r="F43" s="106">
        <v>46236.75</v>
      </c>
      <c r="G43" s="97">
        <v>75.824653244018563</v>
      </c>
      <c r="H43" s="97">
        <v>22.278196099247385</v>
      </c>
      <c r="I43" s="97"/>
      <c r="J43" s="97"/>
    </row>
    <row r="44" spans="1:19" ht="15.75" customHeight="1" x14ac:dyDescent="0.25">
      <c r="A44" s="102">
        <v>46236.791666666664</v>
      </c>
      <c r="B44" s="97">
        <v>0.80948998133341465</v>
      </c>
      <c r="C44" s="97">
        <v>0.23543907171888312</v>
      </c>
      <c r="D44" s="97"/>
      <c r="E44" s="97"/>
      <c r="F44" s="106">
        <v>46236.791666666664</v>
      </c>
      <c r="G44" s="97">
        <v>60.510063298543294</v>
      </c>
      <c r="H44" s="97">
        <v>23.170705600218341</v>
      </c>
      <c r="I44" s="97"/>
      <c r="J44" s="97"/>
    </row>
    <row r="45" spans="1:19" ht="15.75" customHeight="1" x14ac:dyDescent="0.25">
      <c r="A45" s="102">
        <v>46236.833333333336</v>
      </c>
      <c r="B45" s="97">
        <v>0.79252409934997559</v>
      </c>
      <c r="C45" s="97">
        <v>0.23238823783727505</v>
      </c>
      <c r="D45" s="97"/>
      <c r="E45" s="97"/>
      <c r="F45" s="106">
        <v>46236.833333333336</v>
      </c>
      <c r="G45" s="97">
        <v>57.595721108572825</v>
      </c>
      <c r="H45" s="97">
        <v>23.317925210055627</v>
      </c>
      <c r="I45" s="97"/>
      <c r="J45" s="97"/>
    </row>
    <row r="46" spans="1:19" ht="15.75" customHeight="1" x14ac:dyDescent="0.25">
      <c r="A46" s="102">
        <v>46236.875</v>
      </c>
      <c r="B46" s="97">
        <v>0</v>
      </c>
      <c r="C46" s="97">
        <v>0.23189202598903488</v>
      </c>
      <c r="D46" s="97"/>
      <c r="E46" s="97"/>
      <c r="F46" s="106">
        <v>46236.875</v>
      </c>
      <c r="G46" s="97">
        <v>0</v>
      </c>
      <c r="H46" s="97">
        <v>23.331430470048204</v>
      </c>
      <c r="I46" s="97"/>
      <c r="J46" s="97"/>
    </row>
    <row r="47" spans="1:19" ht="15.75" customHeight="1" x14ac:dyDescent="0.25">
      <c r="A47" s="102">
        <v>46236.916666666664</v>
      </c>
      <c r="B47" s="97">
        <v>0</v>
      </c>
      <c r="C47" s="97">
        <v>0.22434941841208414</v>
      </c>
      <c r="D47" s="97"/>
      <c r="E47" s="97"/>
      <c r="F47" s="106">
        <v>46236.916666666664</v>
      </c>
      <c r="G47" s="97">
        <v>0</v>
      </c>
      <c r="H47" s="97">
        <v>23.472690125227913</v>
      </c>
      <c r="I47" s="97"/>
      <c r="J47" s="97"/>
    </row>
    <row r="48" spans="1:19" ht="15.75" customHeight="1" x14ac:dyDescent="0.25">
      <c r="A48" s="102">
        <v>46236.958333333336</v>
      </c>
      <c r="B48" s="97">
        <v>0</v>
      </c>
      <c r="C48" s="97">
        <v>0.2260858221605361</v>
      </c>
      <c r="D48" s="97"/>
      <c r="E48" s="97"/>
      <c r="F48" s="106">
        <v>46236.958333333336</v>
      </c>
      <c r="G48" s="97">
        <v>0</v>
      </c>
      <c r="H48" s="97">
        <v>23.418883738310441</v>
      </c>
      <c r="I48" s="97"/>
      <c r="J48" s="97"/>
    </row>
    <row r="49" spans="1:10" ht="15.75" customHeight="1" x14ac:dyDescent="0.25">
      <c r="A49" s="102">
        <v>46237</v>
      </c>
      <c r="B49" s="97">
        <v>0.69318466716342497</v>
      </c>
      <c r="C49" s="97">
        <v>0.22458032456782495</v>
      </c>
      <c r="D49" s="97"/>
      <c r="E49" s="97"/>
      <c r="F49" s="106">
        <v>46237</v>
      </c>
      <c r="G49" s="97">
        <v>47.834810256958008</v>
      </c>
      <c r="H49" s="97">
        <v>23.253348024466295</v>
      </c>
      <c r="I49" s="97"/>
      <c r="J49" s="97"/>
    </row>
    <row r="50" spans="1:10" ht="15.75" customHeight="1" x14ac:dyDescent="0.25">
      <c r="A50" s="102">
        <v>46237.041666666664</v>
      </c>
      <c r="B50" s="97">
        <v>0.76312786142031352</v>
      </c>
      <c r="C50" s="97">
        <v>0.22713609481517505</v>
      </c>
      <c r="D50" s="97"/>
      <c r="E50" s="97"/>
      <c r="F50" s="106">
        <v>46237.041666666664</v>
      </c>
      <c r="G50" s="97">
        <v>55.659820556640625</v>
      </c>
      <c r="H50" s="97">
        <v>23.425769159445174</v>
      </c>
      <c r="I50" s="97"/>
      <c r="J50" s="97"/>
    </row>
    <row r="51" spans="1:10" ht="15.75" customHeight="1" x14ac:dyDescent="0.25">
      <c r="A51" s="102">
        <v>46237.083333333336</v>
      </c>
      <c r="B51" s="97">
        <v>0.75705156326293954</v>
      </c>
      <c r="C51" s="97">
        <v>0.21406636943694632</v>
      </c>
      <c r="D51" s="97"/>
      <c r="E51" s="97"/>
      <c r="F51" s="106">
        <v>46237.083333333336</v>
      </c>
      <c r="G51" s="97">
        <v>55.61202208201091</v>
      </c>
      <c r="H51" s="97">
        <v>23.678783434652999</v>
      </c>
      <c r="I51" s="97"/>
      <c r="J51" s="97"/>
    </row>
    <row r="52" spans="1:10" ht="15.75" customHeight="1" x14ac:dyDescent="0.25">
      <c r="A52" s="102">
        <v>46237.125</v>
      </c>
      <c r="B52" s="97">
        <v>0.74736319382985439</v>
      </c>
      <c r="C52" s="97">
        <v>0.21227372929512747</v>
      </c>
      <c r="D52" s="97"/>
      <c r="E52" s="97"/>
      <c r="F52" s="106">
        <v>46237.125</v>
      </c>
      <c r="G52" s="97">
        <v>55.432597796122238</v>
      </c>
      <c r="H52" s="97">
        <v>23.708431786699258</v>
      </c>
      <c r="I52" s="97"/>
      <c r="J52" s="97"/>
    </row>
    <row r="53" spans="1:10" ht="15.75" customHeight="1" x14ac:dyDescent="0.25">
      <c r="A53" s="102">
        <v>46237.166666666664</v>
      </c>
      <c r="B53" s="97">
        <v>0.74445289373397827</v>
      </c>
      <c r="C53" s="97">
        <v>0.22661626327179166</v>
      </c>
      <c r="D53" s="97"/>
      <c r="E53" s="97"/>
      <c r="F53" s="106">
        <v>46237.166666666664</v>
      </c>
      <c r="G53" s="97">
        <v>54.336556243896482</v>
      </c>
      <c r="H53" s="97">
        <v>23.369986071416982</v>
      </c>
      <c r="I53" s="97"/>
      <c r="J53" s="97"/>
    </row>
    <row r="54" spans="1:10" ht="15.75" customHeight="1" x14ac:dyDescent="0.25">
      <c r="A54" s="102">
        <v>46237.208333333336</v>
      </c>
      <c r="B54" s="97">
        <v>0.77244185805320731</v>
      </c>
      <c r="C54" s="97">
        <v>0.2220014843191554</v>
      </c>
      <c r="D54" s="97"/>
      <c r="E54" s="97"/>
      <c r="F54" s="106">
        <v>46237.208333333336</v>
      </c>
      <c r="G54" s="97">
        <v>54.84437370300293</v>
      </c>
      <c r="H54" s="97">
        <v>23.104108338299476</v>
      </c>
      <c r="I54" s="97"/>
      <c r="J54" s="97"/>
    </row>
    <row r="55" spans="1:10" ht="15.75" customHeight="1" x14ac:dyDescent="0.25">
      <c r="A55" s="102">
        <v>46237.25</v>
      </c>
      <c r="B55" s="97">
        <v>0.87896587451299024</v>
      </c>
      <c r="C55" s="97">
        <v>0.66945626136106939</v>
      </c>
      <c r="D55" s="97"/>
      <c r="E55" s="97"/>
      <c r="F55" s="106">
        <v>46237.25</v>
      </c>
      <c r="G55" s="97">
        <v>76.389862187703457</v>
      </c>
      <c r="H55" s="97">
        <v>24.653019566780962</v>
      </c>
      <c r="I55" s="97"/>
      <c r="J55" s="97"/>
    </row>
    <row r="56" spans="1:10" ht="15.75" customHeight="1" x14ac:dyDescent="0.25">
      <c r="A56" s="102">
        <v>46237.291666666664</v>
      </c>
      <c r="B56" s="97">
        <v>0.90831302007039383</v>
      </c>
      <c r="C56" s="97">
        <v>0.53613067250477942</v>
      </c>
      <c r="D56" s="97"/>
      <c r="E56" s="97"/>
      <c r="F56" s="106">
        <v>46237.291666666664</v>
      </c>
      <c r="G56" s="97">
        <v>91.876695632934585</v>
      </c>
      <c r="H56" s="97">
        <v>23.624783461272951</v>
      </c>
      <c r="I56" s="97"/>
      <c r="J56" s="97"/>
    </row>
    <row r="57" spans="1:10" ht="15.75" customHeight="1" x14ac:dyDescent="0.25">
      <c r="A57" s="102">
        <v>46237.333333333336</v>
      </c>
      <c r="B57" s="97">
        <v>0.93532402714093521</v>
      </c>
      <c r="C57" s="97">
        <v>0.66995912507588695</v>
      </c>
      <c r="D57" s="97"/>
      <c r="E57" s="97"/>
      <c r="F57" s="106">
        <v>46237.333333333336</v>
      </c>
      <c r="G57" s="97">
        <v>105.3415724436442</v>
      </c>
      <c r="H57" s="97">
        <v>25.183225103046581</v>
      </c>
      <c r="I57" s="97"/>
      <c r="J57" s="97"/>
    </row>
    <row r="58" spans="1:10" ht="15.75" customHeight="1" x14ac:dyDescent="0.25">
      <c r="A58" s="102">
        <v>46237.375</v>
      </c>
      <c r="B58" s="97">
        <v>0.95709686477979017</v>
      </c>
      <c r="C58" s="97">
        <v>0.46770747335767554</v>
      </c>
      <c r="D58" s="97"/>
      <c r="E58" s="97"/>
      <c r="F58" s="106">
        <v>46237.375</v>
      </c>
      <c r="G58" s="97">
        <v>117.12521591186524</v>
      </c>
      <c r="H58" s="97">
        <v>25.087635437961623</v>
      </c>
      <c r="I58" s="97"/>
      <c r="J58" s="97"/>
    </row>
    <row r="59" spans="1:10" ht="15.75" customHeight="1" x14ac:dyDescent="0.25">
      <c r="A59" s="102">
        <v>46237.416666666664</v>
      </c>
      <c r="B59" s="97">
        <v>0.95640594959259029</v>
      </c>
      <c r="C59" s="97">
        <v>0.33935541326820617</v>
      </c>
      <c r="D59" s="97"/>
      <c r="E59" s="97"/>
      <c r="F59" s="106">
        <v>46237.416666666664</v>
      </c>
      <c r="G59" s="97">
        <v>122.72025146484374</v>
      </c>
      <c r="H59" s="97">
        <v>24.1691458564502</v>
      </c>
      <c r="I59" s="97"/>
      <c r="J59" s="97"/>
    </row>
    <row r="60" spans="1:10" ht="15.75" customHeight="1" x14ac:dyDescent="0.25">
      <c r="A60" s="102">
        <v>46237.458333333336</v>
      </c>
      <c r="B60" s="97">
        <v>0.95018498301506038</v>
      </c>
      <c r="C60" s="97">
        <v>0.38859249616093317</v>
      </c>
      <c r="D60" s="97"/>
      <c r="E60" s="97"/>
      <c r="F60" s="106">
        <v>46237.458333333336</v>
      </c>
      <c r="G60" s="97">
        <v>117.42734349568686</v>
      </c>
      <c r="H60" s="97">
        <v>25.036682373921391</v>
      </c>
      <c r="I60" s="97"/>
      <c r="J60" s="97"/>
    </row>
    <row r="61" spans="1:10" ht="15.75" customHeight="1" x14ac:dyDescent="0.25">
      <c r="A61" s="102">
        <v>46237.5</v>
      </c>
      <c r="B61" s="97">
        <v>0.96149103442827866</v>
      </c>
      <c r="C61" s="97">
        <v>0.40739499792279932</v>
      </c>
      <c r="D61" s="97"/>
      <c r="E61" s="97"/>
      <c r="F61" s="106">
        <v>46237.5</v>
      </c>
      <c r="G61" s="97">
        <v>119.84335924784342</v>
      </c>
      <c r="H61" s="97">
        <v>25.722317432697583</v>
      </c>
      <c r="I61" s="97"/>
      <c r="J61" s="97"/>
    </row>
    <row r="62" spans="1:10" ht="15.75" customHeight="1" x14ac:dyDescent="0.25">
      <c r="A62" s="102">
        <v>46237.541666666664</v>
      </c>
      <c r="B62" s="97">
        <v>0.9611072475001925</v>
      </c>
      <c r="C62" s="97">
        <v>0.41064078493316181</v>
      </c>
      <c r="D62" s="97"/>
      <c r="E62" s="97"/>
      <c r="F62" s="106">
        <v>46237.541666666664</v>
      </c>
      <c r="G62" s="97">
        <v>123.1890809649513</v>
      </c>
      <c r="H62" s="97">
        <v>24.79914484382147</v>
      </c>
      <c r="I62" s="97"/>
      <c r="J62" s="97"/>
    </row>
    <row r="63" spans="1:10" ht="15.75" customHeight="1" x14ac:dyDescent="0.25">
      <c r="A63" s="102">
        <v>46237.583333333336</v>
      </c>
      <c r="B63" s="97">
        <v>0.96055540243784576</v>
      </c>
      <c r="C63" s="97">
        <v>0.40222561117924249</v>
      </c>
      <c r="D63" s="97"/>
      <c r="E63" s="97"/>
      <c r="F63" s="106">
        <v>46237.583333333336</v>
      </c>
      <c r="G63" s="97">
        <v>119.25539830525716</v>
      </c>
      <c r="H63" s="97">
        <v>24.828433299724292</v>
      </c>
      <c r="I63" s="97"/>
      <c r="J63" s="97"/>
    </row>
    <row r="64" spans="1:10" ht="15.75" customHeight="1" x14ac:dyDescent="0.25">
      <c r="A64" s="102">
        <v>46237.625</v>
      </c>
      <c r="B64" s="97">
        <v>0.95515470703442884</v>
      </c>
      <c r="C64" s="97">
        <v>0.46381871384594281</v>
      </c>
      <c r="D64" s="97"/>
      <c r="E64" s="97"/>
      <c r="F64" s="106">
        <v>46237.625</v>
      </c>
      <c r="G64" s="97">
        <v>117.49659614562988</v>
      </c>
      <c r="H64" s="97">
        <v>24.483511506333183</v>
      </c>
      <c r="I64" s="97"/>
      <c r="J64" s="97"/>
    </row>
    <row r="65" spans="1:10" ht="15.75" customHeight="1" x14ac:dyDescent="0.25">
      <c r="A65" s="102">
        <v>46237.666666666664</v>
      </c>
      <c r="B65" s="97">
        <v>0.94192619125048316</v>
      </c>
      <c r="C65" s="97">
        <v>0.47016047848307574</v>
      </c>
      <c r="D65" s="97"/>
      <c r="E65" s="97"/>
      <c r="F65" s="106">
        <v>46237.666666666664</v>
      </c>
      <c r="G65" s="97">
        <v>110.64529698689779</v>
      </c>
      <c r="H65" s="97">
        <v>25.926213770515833</v>
      </c>
      <c r="I65" s="97"/>
      <c r="J65" s="97"/>
    </row>
    <row r="66" spans="1:10" ht="15.75" customHeight="1" x14ac:dyDescent="0.25">
      <c r="A66" s="102">
        <v>46237.708333333336</v>
      </c>
      <c r="B66" s="97">
        <v>0.93591507077217106</v>
      </c>
      <c r="C66" s="97">
        <v>0.58585445170581574</v>
      </c>
      <c r="D66" s="97"/>
      <c r="E66" s="97"/>
      <c r="F66" s="106">
        <v>46237.708333333336</v>
      </c>
      <c r="G66" s="97">
        <v>103.4370174407959</v>
      </c>
      <c r="H66" s="97">
        <v>26.541696899022035</v>
      </c>
      <c r="I66" s="97"/>
      <c r="J66" s="97"/>
    </row>
    <row r="67" spans="1:10" ht="15.75" customHeight="1" x14ac:dyDescent="0.25">
      <c r="A67" s="102">
        <v>46237.75</v>
      </c>
      <c r="B67" s="97">
        <v>0.93194131453831985</v>
      </c>
      <c r="C67" s="97">
        <v>0.58901882701711694</v>
      </c>
      <c r="D67" s="97"/>
      <c r="E67" s="97"/>
      <c r="F67" s="106">
        <v>46237.75</v>
      </c>
      <c r="G67" s="97">
        <v>101.13154385884604</v>
      </c>
      <c r="H67" s="97">
        <v>23.510388551493406</v>
      </c>
      <c r="I67" s="97"/>
      <c r="J67" s="97"/>
    </row>
    <row r="68" spans="1:10" ht="15.75" customHeight="1" x14ac:dyDescent="0.25">
      <c r="A68" s="102">
        <v>46237.791666666664</v>
      </c>
      <c r="B68" s="97">
        <v>0.90131500760714223</v>
      </c>
      <c r="C68" s="97">
        <v>0.65563565086234699</v>
      </c>
      <c r="D68" s="97"/>
      <c r="E68" s="97"/>
      <c r="F68" s="106">
        <v>46237.791666666664</v>
      </c>
      <c r="G68" s="97">
        <v>84.281896845499674</v>
      </c>
      <c r="H68" s="97">
        <v>26.964954297061965</v>
      </c>
      <c r="I68" s="97"/>
      <c r="J68" s="97"/>
    </row>
    <row r="69" spans="1:10" ht="15.75" customHeight="1" x14ac:dyDescent="0.25">
      <c r="A69" s="102">
        <v>46237.833333333336</v>
      </c>
      <c r="B69" s="97">
        <v>0.85928549170494073</v>
      </c>
      <c r="C69" s="97">
        <v>0.76328824360380065</v>
      </c>
      <c r="D69" s="97"/>
      <c r="E69" s="97"/>
      <c r="F69" s="106">
        <v>46237.833333333336</v>
      </c>
      <c r="G69" s="97">
        <v>71.662209701538075</v>
      </c>
      <c r="H69" s="97">
        <v>36.58692622090517</v>
      </c>
      <c r="I69" s="97"/>
      <c r="J69" s="97"/>
    </row>
    <row r="70" spans="1:10" ht="15.75" customHeight="1" x14ac:dyDescent="0.25">
      <c r="A70" s="102">
        <v>46237.875</v>
      </c>
      <c r="B70" s="97">
        <v>0.79906373421351118</v>
      </c>
      <c r="C70" s="97">
        <v>0.82035657775260706</v>
      </c>
      <c r="D70" s="97"/>
      <c r="E70" s="97"/>
      <c r="F70" s="106">
        <v>46237.875</v>
      </c>
      <c r="G70" s="97">
        <v>59.336048316955569</v>
      </c>
      <c r="H70" s="97">
        <v>40.136758065506399</v>
      </c>
      <c r="I70" s="97"/>
      <c r="J70" s="97"/>
    </row>
    <row r="71" spans="1:10" ht="15.75" customHeight="1" x14ac:dyDescent="0.25">
      <c r="A71" s="102">
        <v>46237.916666666664</v>
      </c>
      <c r="B71" s="97">
        <v>0.78974408507347116</v>
      </c>
      <c r="C71" s="97">
        <v>0.72585927191459143</v>
      </c>
      <c r="D71" s="97"/>
      <c r="E71" s="97"/>
      <c r="F71" s="106">
        <v>46237.916666666664</v>
      </c>
      <c r="G71" s="97">
        <v>59.662405141194661</v>
      </c>
      <c r="H71" s="97">
        <v>32.52852643714121</v>
      </c>
      <c r="I71" s="97"/>
      <c r="J71" s="97"/>
    </row>
    <row r="72" spans="1:10" ht="15.75" customHeight="1" x14ac:dyDescent="0.25">
      <c r="A72" s="102">
        <v>46237.958333333336</v>
      </c>
      <c r="B72" s="97">
        <v>0.77837712963422134</v>
      </c>
      <c r="C72" s="97">
        <v>0.66574572439014679</v>
      </c>
      <c r="D72" s="97"/>
      <c r="E72" s="97"/>
      <c r="F72" s="106">
        <v>46237.958333333336</v>
      </c>
      <c r="G72" s="97">
        <v>58.546579043070473</v>
      </c>
      <c r="H72" s="97">
        <v>29.403762341488019</v>
      </c>
      <c r="I72" s="97"/>
      <c r="J72" s="97"/>
    </row>
    <row r="73" spans="1:10" ht="15.75" customHeight="1" x14ac:dyDescent="0.25">
      <c r="A73" s="102">
        <v>46238</v>
      </c>
      <c r="B73" s="97">
        <v>0.77176497578620906</v>
      </c>
      <c r="C73" s="97">
        <v>0.59687170686693536</v>
      </c>
      <c r="D73" s="97"/>
      <c r="E73" s="97"/>
      <c r="F73" s="106">
        <v>46238</v>
      </c>
      <c r="G73" s="97">
        <v>57.032836532592775</v>
      </c>
      <c r="H73" s="97">
        <v>25.470737003055014</v>
      </c>
      <c r="I73" s="97"/>
      <c r="J73" s="97"/>
    </row>
    <row r="74" spans="1:10" ht="15.75" customHeight="1" x14ac:dyDescent="0.25">
      <c r="A74" s="102">
        <v>46238.041666666664</v>
      </c>
      <c r="B74" s="97">
        <v>0.79336262941360469</v>
      </c>
      <c r="C74" s="97">
        <v>0.59578257121823053</v>
      </c>
      <c r="D74" s="97"/>
      <c r="E74" s="97"/>
      <c r="F74" s="106">
        <v>46238.041666666664</v>
      </c>
      <c r="G74" s="97">
        <v>59.699964618682863</v>
      </c>
      <c r="H74" s="97">
        <v>25.745704767732281</v>
      </c>
      <c r="I74" s="97"/>
      <c r="J74" s="97"/>
    </row>
    <row r="75" spans="1:10" ht="15.75" customHeight="1" x14ac:dyDescent="0.25">
      <c r="A75" s="102">
        <v>46238.083333333336</v>
      </c>
      <c r="B75" s="97">
        <v>0.76979890664418538</v>
      </c>
      <c r="C75" s="97">
        <v>0.63328170399420824</v>
      </c>
      <c r="D75" s="97"/>
      <c r="E75" s="97"/>
      <c r="F75" s="106">
        <v>46238.083333333336</v>
      </c>
      <c r="G75" s="97">
        <v>58.671340052286787</v>
      </c>
      <c r="H75" s="97">
        <v>26.75948247419516</v>
      </c>
      <c r="I75" s="97"/>
      <c r="J75" s="97"/>
    </row>
    <row r="76" spans="1:10" ht="15.75" customHeight="1" x14ac:dyDescent="0.25">
      <c r="A76" s="102">
        <v>46238.125</v>
      </c>
      <c r="B76" s="97">
        <v>0.76664280848843713</v>
      </c>
      <c r="C76" s="97">
        <v>0.58190858364105225</v>
      </c>
      <c r="D76" s="97"/>
      <c r="E76" s="97"/>
      <c r="F76" s="106">
        <v>46238.125</v>
      </c>
      <c r="G76" s="97">
        <v>56.905356193724131</v>
      </c>
      <c r="H76" s="97">
        <v>25.224038716832638</v>
      </c>
      <c r="I76" s="97"/>
      <c r="J76" s="97"/>
    </row>
    <row r="77" spans="1:10" ht="15.75" customHeight="1" x14ac:dyDescent="0.25">
      <c r="A77" s="102">
        <v>46238.166666666664</v>
      </c>
      <c r="B77" s="97">
        <v>0.77206045389175415</v>
      </c>
      <c r="C77" s="97">
        <v>0.77403975822944415</v>
      </c>
      <c r="D77" s="97"/>
      <c r="E77" s="97"/>
      <c r="F77" s="106">
        <v>46238.166666666664</v>
      </c>
      <c r="G77" s="97">
        <v>57.050167465209967</v>
      </c>
      <c r="H77" s="97">
        <v>34.550872991207562</v>
      </c>
      <c r="I77" s="97"/>
      <c r="J77" s="97"/>
    </row>
    <row r="78" spans="1:10" ht="15.75" customHeight="1" x14ac:dyDescent="0.25">
      <c r="A78" s="102">
        <v>46238.208333333336</v>
      </c>
      <c r="B78" s="97">
        <v>0.78989133834838865</v>
      </c>
      <c r="C78" s="97">
        <v>0.75371342508689221</v>
      </c>
      <c r="D78" s="97"/>
      <c r="E78" s="97"/>
      <c r="F78" s="106">
        <v>46238.208333333336</v>
      </c>
      <c r="G78" s="97">
        <v>57.467784500122065</v>
      </c>
      <c r="H78" s="97">
        <v>33.608077954869024</v>
      </c>
      <c r="I78" s="97"/>
      <c r="J78" s="97"/>
    </row>
    <row r="79" spans="1:10" ht="15.75" customHeight="1" x14ac:dyDescent="0.25">
      <c r="A79" s="102">
        <v>46238.25</v>
      </c>
      <c r="B79" s="97">
        <v>0.89697709679603577</v>
      </c>
      <c r="C79" s="97">
        <v>0.64449950887751672</v>
      </c>
      <c r="D79" s="97"/>
      <c r="E79" s="97"/>
      <c r="F79" s="106">
        <v>46238.25</v>
      </c>
      <c r="G79" s="97">
        <v>83.007296053568524</v>
      </c>
      <c r="H79" s="97">
        <v>24.855316476859592</v>
      </c>
      <c r="I79" s="97"/>
      <c r="J79" s="97"/>
    </row>
    <row r="80" spans="1:10" ht="15.75" customHeight="1" x14ac:dyDescent="0.25">
      <c r="A80" s="102">
        <v>46238.291666666664</v>
      </c>
      <c r="B80" s="97">
        <v>0.9267610251903533</v>
      </c>
      <c r="C80" s="97">
        <v>0.5227830809331222</v>
      </c>
      <c r="D80" s="97"/>
      <c r="E80" s="97"/>
      <c r="F80" s="106">
        <v>46238.291666666664</v>
      </c>
      <c r="G80" s="97">
        <v>96.28830134073894</v>
      </c>
      <c r="H80" s="97">
        <v>23.526818355552763</v>
      </c>
      <c r="I80" s="97"/>
      <c r="J80" s="97"/>
    </row>
    <row r="81" spans="1:10" ht="15.75" customHeight="1" x14ac:dyDescent="0.25">
      <c r="A81" s="102">
        <v>46238.333333333336</v>
      </c>
      <c r="B81" s="97">
        <v>0.93791327079137166</v>
      </c>
      <c r="C81" s="97">
        <v>0.59731250730427832</v>
      </c>
      <c r="D81" s="97"/>
      <c r="E81" s="97"/>
      <c r="F81" s="106">
        <v>46238.333333333336</v>
      </c>
      <c r="G81" s="97">
        <v>101.18727429707845</v>
      </c>
      <c r="H81" s="97">
        <v>25.583610943654779</v>
      </c>
      <c r="I81" s="97"/>
      <c r="J81" s="97"/>
    </row>
    <row r="82" spans="1:10" ht="15.75" customHeight="1" x14ac:dyDescent="0.25">
      <c r="A82" s="102">
        <v>46238.375</v>
      </c>
      <c r="B82" s="97">
        <v>0.9551305691401164</v>
      </c>
      <c r="C82" s="97">
        <v>0.44032943914294714</v>
      </c>
      <c r="D82" s="97"/>
      <c r="E82" s="97"/>
      <c r="F82" s="106">
        <v>46238.375</v>
      </c>
      <c r="G82" s="97">
        <v>119.83655853271483</v>
      </c>
      <c r="H82" s="97">
        <v>25.552812968318168</v>
      </c>
      <c r="I82" s="97"/>
      <c r="J82" s="97"/>
    </row>
    <row r="83" spans="1:10" ht="15.75" customHeight="1" x14ac:dyDescent="0.25">
      <c r="A83" s="102">
        <v>46238.416666666664</v>
      </c>
      <c r="B83" s="97">
        <v>0.95000052650769551</v>
      </c>
      <c r="C83" s="97">
        <v>0.39148627421837079</v>
      </c>
      <c r="D83" s="97"/>
      <c r="E83" s="97"/>
      <c r="F83" s="106">
        <v>46238.416666666664</v>
      </c>
      <c r="G83" s="97">
        <v>125.16714248657226</v>
      </c>
      <c r="H83" s="97">
        <v>23.879390791942008</v>
      </c>
      <c r="I83" s="97"/>
      <c r="J83" s="97"/>
    </row>
    <row r="84" spans="1:10" ht="15.75" customHeight="1" x14ac:dyDescent="0.25">
      <c r="A84" s="102">
        <v>46238.458333333336</v>
      </c>
      <c r="B84" s="97">
        <v>0.9517193535963695</v>
      </c>
      <c r="C84" s="97">
        <v>0.51474127738843323</v>
      </c>
      <c r="D84" s="97"/>
      <c r="E84" s="97"/>
      <c r="F84" s="106">
        <v>46238.458333333336</v>
      </c>
      <c r="G84" s="97">
        <v>125.43543167114257</v>
      </c>
      <c r="H84" s="97">
        <v>26.928466108005509</v>
      </c>
      <c r="I84" s="97"/>
      <c r="J84" s="97"/>
    </row>
    <row r="85" spans="1:10" ht="15.75" customHeight="1" x14ac:dyDescent="0.25">
      <c r="A85" s="102">
        <v>46238.5</v>
      </c>
      <c r="B85" s="97">
        <v>0.94546503822008776</v>
      </c>
      <c r="C85" s="97">
        <v>0.5511504300969392</v>
      </c>
      <c r="D85" s="97"/>
      <c r="E85" s="97"/>
      <c r="F85" s="106">
        <v>46238.5</v>
      </c>
      <c r="G85" s="97">
        <v>115.65332476298015</v>
      </c>
      <c r="H85" s="97">
        <v>29.807102308914125</v>
      </c>
      <c r="I85" s="97"/>
      <c r="J85" s="97"/>
    </row>
    <row r="86" spans="1:10" ht="15.75" customHeight="1" x14ac:dyDescent="0.25">
      <c r="A86" s="102">
        <v>46238.541666666664</v>
      </c>
      <c r="B86" s="97">
        <v>0.95524091323216753</v>
      </c>
      <c r="C86" s="97">
        <v>0.50014143051366089</v>
      </c>
      <c r="D86" s="97"/>
      <c r="E86" s="97"/>
      <c r="F86" s="106">
        <v>46238.541666666664</v>
      </c>
      <c r="G86" s="97">
        <v>122.85978240966796</v>
      </c>
      <c r="H86" s="97">
        <v>25.043527460852161</v>
      </c>
      <c r="I86" s="97"/>
      <c r="J86" s="97"/>
    </row>
    <row r="87" spans="1:10" ht="15.75" customHeight="1" x14ac:dyDescent="0.25">
      <c r="A87" s="102">
        <v>46238.583333333336</v>
      </c>
      <c r="B87" s="97">
        <v>0.96222356756528216</v>
      </c>
      <c r="C87" s="97">
        <v>0.44331885544443322</v>
      </c>
      <c r="D87" s="97"/>
      <c r="E87" s="97"/>
      <c r="F87" s="106">
        <v>46238.583333333336</v>
      </c>
      <c r="G87" s="97">
        <v>129.0901158650716</v>
      </c>
      <c r="H87" s="97">
        <v>25.207325982482065</v>
      </c>
      <c r="I87" s="97"/>
      <c r="J87" s="97"/>
    </row>
    <row r="88" spans="1:10" ht="15.75" customHeight="1" x14ac:dyDescent="0.25">
      <c r="A88" s="102">
        <v>46238.625</v>
      </c>
      <c r="B88" s="97">
        <v>0.94731591939926152</v>
      </c>
      <c r="C88" s="97">
        <v>0.41673773739177722</v>
      </c>
      <c r="D88" s="97"/>
      <c r="E88" s="97"/>
      <c r="F88" s="106">
        <v>46238.625</v>
      </c>
      <c r="G88" s="97">
        <v>120.74484621683757</v>
      </c>
      <c r="H88" s="97">
        <v>25.870988598925322</v>
      </c>
      <c r="I88" s="97"/>
      <c r="J88" s="97"/>
    </row>
    <row r="89" spans="1:10" ht="15.75" customHeight="1" x14ac:dyDescent="0.25">
      <c r="A89" s="102">
        <v>46238.666666666664</v>
      </c>
      <c r="B89" s="97">
        <v>0.9579050462870371</v>
      </c>
      <c r="C89" s="97">
        <v>0.45686147105788055</v>
      </c>
      <c r="D89" s="97"/>
      <c r="E89" s="97"/>
      <c r="F89" s="106">
        <v>46238.666666666664</v>
      </c>
      <c r="G89" s="97">
        <v>119.97858000255766</v>
      </c>
      <c r="H89" s="97">
        <v>25.134467941027857</v>
      </c>
      <c r="I89" s="97"/>
      <c r="J89" s="97"/>
    </row>
    <row r="90" spans="1:10" ht="15.75" customHeight="1" x14ac:dyDescent="0.25">
      <c r="A90" s="102">
        <v>46238.708333333336</v>
      </c>
      <c r="B90" s="97">
        <v>0.93028005560239158</v>
      </c>
      <c r="C90" s="97">
        <v>0.56316401918415027</v>
      </c>
      <c r="D90" s="97"/>
      <c r="E90" s="97"/>
      <c r="F90" s="106">
        <v>46238.708333333336</v>
      </c>
      <c r="G90" s="97">
        <v>104.18245964050293</v>
      </c>
      <c r="H90" s="97">
        <v>24.645906660396591</v>
      </c>
      <c r="I90" s="97"/>
      <c r="J90" s="97"/>
    </row>
    <row r="91" spans="1:10" ht="15.75" customHeight="1" x14ac:dyDescent="0.25">
      <c r="A91" s="102">
        <v>46238.75</v>
      </c>
      <c r="B91" s="97">
        <v>0.92226192156473807</v>
      </c>
      <c r="C91" s="97">
        <v>0.61698267499919934</v>
      </c>
      <c r="D91" s="97"/>
      <c r="E91" s="97"/>
      <c r="F91" s="106">
        <v>46238.75</v>
      </c>
      <c r="G91" s="97">
        <v>93.782442092895508</v>
      </c>
      <c r="H91" s="97">
        <v>24.679369405324284</v>
      </c>
      <c r="I91" s="97"/>
      <c r="J91" s="97"/>
    </row>
    <row r="92" spans="1:10" ht="15.75" customHeight="1" x14ac:dyDescent="0.25">
      <c r="A92" s="102">
        <v>46238.791666666664</v>
      </c>
      <c r="B92" s="97">
        <v>0.90349423289299002</v>
      </c>
      <c r="C92" s="97">
        <v>0.69007241396093555</v>
      </c>
      <c r="D92" s="97"/>
      <c r="E92" s="97"/>
      <c r="F92" s="106">
        <v>46238.791666666664</v>
      </c>
      <c r="G92" s="97">
        <v>84.104585266113276</v>
      </c>
      <c r="H92" s="97">
        <v>26.698852525869377</v>
      </c>
      <c r="I92" s="97"/>
      <c r="J92" s="97"/>
    </row>
    <row r="93" spans="1:10" ht="15.75" customHeight="1" x14ac:dyDescent="0.25">
      <c r="A93" s="102">
        <v>46238.833333333336</v>
      </c>
      <c r="B93" s="97">
        <v>0.8648431797822318</v>
      </c>
      <c r="C93" s="97">
        <v>0.7027339396387221</v>
      </c>
      <c r="D93" s="97"/>
      <c r="E93" s="97"/>
      <c r="F93" s="106">
        <v>46238.833333333336</v>
      </c>
      <c r="G93" s="97">
        <v>71.962256368001306</v>
      </c>
      <c r="H93" s="97">
        <v>29.245863114421077</v>
      </c>
      <c r="I93" s="97"/>
      <c r="J93" s="97"/>
    </row>
    <row r="94" spans="1:10" ht="15.75" customHeight="1" x14ac:dyDescent="0.25">
      <c r="A94" s="102">
        <v>46238.875</v>
      </c>
      <c r="B94" s="97">
        <v>0.80901201566060388</v>
      </c>
      <c r="C94" s="97">
        <v>0.68155200214018463</v>
      </c>
      <c r="D94" s="97"/>
      <c r="E94" s="97"/>
      <c r="F94" s="106">
        <v>46238.875</v>
      </c>
      <c r="G94" s="97">
        <v>61.489524141947427</v>
      </c>
      <c r="H94" s="97">
        <v>27.73825631970945</v>
      </c>
      <c r="I94" s="97"/>
      <c r="J94" s="97"/>
    </row>
    <row r="95" spans="1:10" ht="15.75" customHeight="1" x14ac:dyDescent="0.25">
      <c r="A95" s="102">
        <v>46238.916666666664</v>
      </c>
      <c r="B95" s="97">
        <v>0.78728670279184976</v>
      </c>
      <c r="C95" s="97">
        <v>0.60650739462479297</v>
      </c>
      <c r="D95" s="97"/>
      <c r="E95" s="97"/>
      <c r="F95" s="106">
        <v>46238.916666666664</v>
      </c>
      <c r="G95" s="97">
        <v>58.173978487650551</v>
      </c>
      <c r="H95" s="97">
        <v>25.604643646436248</v>
      </c>
      <c r="I95" s="97"/>
      <c r="J95" s="97"/>
    </row>
    <row r="96" spans="1:10" ht="15.75" customHeight="1" x14ac:dyDescent="0.25">
      <c r="A96" s="102">
        <v>46238.958333333336</v>
      </c>
      <c r="B96" s="97">
        <v>0.76962849497795116</v>
      </c>
      <c r="C96" s="97">
        <v>0.68236720114357396</v>
      </c>
      <c r="D96" s="97"/>
      <c r="E96" s="97"/>
      <c r="F96" s="106">
        <v>46238.958333333336</v>
      </c>
      <c r="G96" s="97">
        <v>56.304973602294922</v>
      </c>
      <c r="H96" s="97">
        <v>29.184537389061667</v>
      </c>
      <c r="I96" s="97"/>
      <c r="J96" s="97"/>
    </row>
    <row r="97" spans="1:10" ht="15.75" customHeight="1" x14ac:dyDescent="0.25">
      <c r="A97" s="102">
        <v>46239</v>
      </c>
      <c r="B97" s="97">
        <v>0.76873170804409752</v>
      </c>
      <c r="C97" s="97">
        <v>0.59672514493521966</v>
      </c>
      <c r="D97" s="97"/>
      <c r="E97" s="97"/>
      <c r="F97" s="106">
        <v>46239</v>
      </c>
      <c r="G97" s="97">
        <v>55.068078536079042</v>
      </c>
      <c r="H97" s="97">
        <v>25.505048910148531</v>
      </c>
      <c r="I97" s="97"/>
      <c r="J97" s="97"/>
    </row>
    <row r="98" spans="1:10" ht="15.75" customHeight="1" x14ac:dyDescent="0.25">
      <c r="A98" s="102">
        <v>46239.041666666664</v>
      </c>
      <c r="B98" s="97">
        <v>0.76972179810206087</v>
      </c>
      <c r="C98" s="97">
        <v>0.72615965835661755</v>
      </c>
      <c r="D98" s="97"/>
      <c r="E98" s="97"/>
      <c r="F98" s="106">
        <v>46239.041666666664</v>
      </c>
      <c r="G98" s="97">
        <v>56.380315717061364</v>
      </c>
      <c r="H98" s="97">
        <v>33.695316398567833</v>
      </c>
      <c r="I98" s="97"/>
      <c r="J98" s="97"/>
    </row>
    <row r="99" spans="1:10" ht="15.75" customHeight="1" x14ac:dyDescent="0.25">
      <c r="A99" s="102">
        <v>46239.083333333336</v>
      </c>
      <c r="B99" s="97">
        <v>0.75926809112230931</v>
      </c>
      <c r="C99" s="97">
        <v>0.72590723150803638</v>
      </c>
      <c r="D99" s="97"/>
      <c r="E99" s="97"/>
      <c r="F99" s="106">
        <v>46239.083333333336</v>
      </c>
      <c r="G99" s="97">
        <v>55.850946617126468</v>
      </c>
      <c r="H99" s="97">
        <v>32.721432151530571</v>
      </c>
      <c r="I99" s="97"/>
      <c r="J99" s="97"/>
    </row>
    <row r="100" spans="1:10" ht="15.75" customHeight="1" x14ac:dyDescent="0.25">
      <c r="A100" s="102">
        <v>46239.125</v>
      </c>
      <c r="B100" s="97">
        <v>0.75737642645835879</v>
      </c>
      <c r="C100" s="97">
        <v>0.82483472695699322</v>
      </c>
      <c r="D100" s="97"/>
      <c r="E100" s="97"/>
      <c r="F100" s="106">
        <v>46239.125</v>
      </c>
      <c r="G100" s="97">
        <v>55.586164665222164</v>
      </c>
      <c r="H100" s="97">
        <v>37.397865632777155</v>
      </c>
      <c r="I100" s="97"/>
      <c r="J100" s="97"/>
    </row>
    <row r="101" spans="1:10" ht="15.75" customHeight="1" x14ac:dyDescent="0.25">
      <c r="A101" s="102">
        <v>46239.166666666664</v>
      </c>
      <c r="B101" s="97">
        <v>0.74218412836392722</v>
      </c>
      <c r="C101" s="97">
        <v>0.72361990497281903</v>
      </c>
      <c r="D101" s="97"/>
      <c r="E101" s="97"/>
      <c r="F101" s="106">
        <v>46239.166666666664</v>
      </c>
      <c r="G101" s="97">
        <v>54.498395284016922</v>
      </c>
      <c r="H101" s="97">
        <v>30.948028882972807</v>
      </c>
      <c r="I101" s="97"/>
      <c r="J101" s="97"/>
    </row>
    <row r="102" spans="1:10" ht="15.75" customHeight="1" x14ac:dyDescent="0.25">
      <c r="A102" s="102">
        <v>46239.208333333336</v>
      </c>
      <c r="B102" s="97">
        <v>0.7800027509530385</v>
      </c>
      <c r="C102" s="97">
        <v>0.82026313869613909</v>
      </c>
      <c r="D102" s="97"/>
      <c r="E102" s="97"/>
      <c r="F102" s="106">
        <v>46239.208333333336</v>
      </c>
      <c r="G102" s="97">
        <v>55.41974220275879</v>
      </c>
      <c r="H102" s="97">
        <v>38.796130829649009</v>
      </c>
      <c r="I102" s="97"/>
      <c r="J102" s="97"/>
    </row>
    <row r="103" spans="1:10" ht="15.75" customHeight="1" x14ac:dyDescent="0.25">
      <c r="A103" s="102">
        <v>46239.25</v>
      </c>
      <c r="B103" s="97">
        <v>0.88780515193939213</v>
      </c>
      <c r="C103" s="97">
        <v>0.61182688853957434</v>
      </c>
      <c r="D103" s="97"/>
      <c r="E103" s="97"/>
      <c r="F103" s="106">
        <v>46239.25</v>
      </c>
      <c r="G103" s="97">
        <v>81.011219851175952</v>
      </c>
      <c r="H103" s="97">
        <v>25.323878857458062</v>
      </c>
      <c r="I103" s="97"/>
      <c r="J103" s="97"/>
    </row>
    <row r="104" spans="1:10" ht="15.75" customHeight="1" x14ac:dyDescent="0.25">
      <c r="A104" s="102">
        <v>46239.291666666664</v>
      </c>
      <c r="B104" s="97">
        <v>0.91881428360939033</v>
      </c>
      <c r="C104" s="97">
        <v>0.50323381224875385</v>
      </c>
      <c r="D104" s="97"/>
      <c r="E104" s="97"/>
      <c r="F104" s="106">
        <v>46239.291666666664</v>
      </c>
      <c r="G104" s="97">
        <v>91.106778081258142</v>
      </c>
      <c r="H104" s="97">
        <v>23.11399092881576</v>
      </c>
      <c r="I104" s="97"/>
      <c r="J104" s="97"/>
    </row>
    <row r="105" spans="1:10" ht="15.75" customHeight="1" x14ac:dyDescent="0.25">
      <c r="A105" s="102">
        <v>46239.333333333336</v>
      </c>
      <c r="B105" s="97">
        <v>0.93486738602320352</v>
      </c>
      <c r="C105" s="97">
        <v>0.5628096463651997</v>
      </c>
      <c r="D105" s="97"/>
      <c r="E105" s="97"/>
      <c r="F105" s="106">
        <v>46239.333333333336</v>
      </c>
      <c r="G105" s="97">
        <v>104.47620798746746</v>
      </c>
      <c r="H105" s="97">
        <v>25.302092731234584</v>
      </c>
      <c r="I105" s="97"/>
      <c r="J105" s="97"/>
    </row>
    <row r="106" spans="1:10" ht="15.75" customHeight="1" x14ac:dyDescent="0.25">
      <c r="A106" s="102">
        <v>46239.375</v>
      </c>
      <c r="B106" s="97">
        <v>0.93378471533457441</v>
      </c>
      <c r="C106" s="97">
        <v>0.42015640472941718</v>
      </c>
      <c r="D106" s="97"/>
      <c r="E106" s="97"/>
      <c r="F106" s="106">
        <v>46239.375</v>
      </c>
      <c r="G106" s="97">
        <v>113.82080357869465</v>
      </c>
      <c r="H106" s="97">
        <v>25.433722849419937</v>
      </c>
      <c r="I106" s="97"/>
      <c r="J106" s="97"/>
    </row>
    <row r="107" spans="1:10" ht="15.75" customHeight="1" x14ac:dyDescent="0.25">
      <c r="A107" s="102">
        <v>46239.416666666664</v>
      </c>
      <c r="B107" s="97">
        <v>0.95653167565663666</v>
      </c>
      <c r="C107" s="97">
        <v>0.40356316832685657</v>
      </c>
      <c r="D107" s="97"/>
      <c r="E107" s="97"/>
      <c r="F107" s="106">
        <v>46239.416666666664</v>
      </c>
      <c r="G107" s="97">
        <v>122.80501708984374</v>
      </c>
      <c r="H107" s="97">
        <v>23.44313208482011</v>
      </c>
      <c r="I107" s="97"/>
      <c r="J107" s="97"/>
    </row>
    <row r="108" spans="1:10" ht="15.75" customHeight="1" x14ac:dyDescent="0.25">
      <c r="A108" s="102">
        <v>46239.458333333336</v>
      </c>
      <c r="B108" s="97">
        <v>0.9536850690841675</v>
      </c>
      <c r="C108" s="97">
        <v>0.36167203408220538</v>
      </c>
      <c r="D108" s="97"/>
      <c r="E108" s="97"/>
      <c r="F108" s="106">
        <v>46239.458333333336</v>
      </c>
      <c r="G108" s="97">
        <v>120.07799733479818</v>
      </c>
      <c r="H108" s="97">
        <v>24.813033129386753</v>
      </c>
      <c r="I108" s="97"/>
      <c r="J108" s="97"/>
    </row>
    <row r="109" spans="1:10" ht="15.75" customHeight="1" x14ac:dyDescent="0.25">
      <c r="A109" s="102">
        <v>46239.5</v>
      </c>
      <c r="B109" s="97">
        <v>0.94904155277070545</v>
      </c>
      <c r="C109" s="97">
        <v>0.44692681011239532</v>
      </c>
      <c r="D109" s="97"/>
      <c r="E109" s="97"/>
      <c r="F109" s="106">
        <v>46239.5</v>
      </c>
      <c r="G109" s="97">
        <v>110.21545888809931</v>
      </c>
      <c r="H109" s="97">
        <v>25.521545051114835</v>
      </c>
      <c r="I109" s="97"/>
      <c r="J109" s="97"/>
    </row>
    <row r="110" spans="1:10" ht="15.75" customHeight="1" x14ac:dyDescent="0.25">
      <c r="A110" s="102">
        <v>46239.541666666664</v>
      </c>
      <c r="B110" s="97">
        <v>0.95529509584108996</v>
      </c>
      <c r="C110" s="97">
        <v>0.46219882934460993</v>
      </c>
      <c r="D110" s="97"/>
      <c r="E110" s="97"/>
      <c r="F110" s="106">
        <v>46239.541666666664</v>
      </c>
      <c r="G110" s="97">
        <v>115.68652839660645</v>
      </c>
      <c r="H110" s="97">
        <v>25.610662094689172</v>
      </c>
      <c r="I110" s="97"/>
      <c r="J110" s="97"/>
    </row>
    <row r="111" spans="1:10" ht="15.75" customHeight="1" x14ac:dyDescent="0.25">
      <c r="A111" s="102">
        <v>46239.583333333336</v>
      </c>
      <c r="B111" s="97">
        <v>0.96292903435726962</v>
      </c>
      <c r="C111" s="97">
        <v>0.45482628524539026</v>
      </c>
      <c r="D111" s="97"/>
      <c r="E111" s="97"/>
      <c r="F111" s="106">
        <v>46239.583333333336</v>
      </c>
      <c r="G111" s="97">
        <v>122.94877355893453</v>
      </c>
      <c r="H111" s="97">
        <v>26.444282962399509</v>
      </c>
      <c r="I111" s="97"/>
      <c r="J111" s="97"/>
    </row>
    <row r="112" spans="1:10" ht="15.75" customHeight="1" x14ac:dyDescent="0.25">
      <c r="A112" s="102">
        <v>46239.625</v>
      </c>
      <c r="B112" s="97">
        <v>0.95304896164508102</v>
      </c>
      <c r="C112" s="97">
        <v>0.47212463717451209</v>
      </c>
      <c r="D112" s="97"/>
      <c r="E112" s="97"/>
      <c r="F112" s="106">
        <v>46239.625</v>
      </c>
      <c r="G112" s="97">
        <v>118.14157170795259</v>
      </c>
      <c r="H112" s="97">
        <v>23.916857846640788</v>
      </c>
      <c r="I112" s="97"/>
      <c r="J112" s="97"/>
    </row>
    <row r="113" spans="1:10" ht="15.75" customHeight="1" x14ac:dyDescent="0.25">
      <c r="A113" s="102">
        <v>46239.666666666664</v>
      </c>
      <c r="B113" s="97">
        <v>0.95393825372060148</v>
      </c>
      <c r="C113" s="97">
        <v>0.49935218821401184</v>
      </c>
      <c r="D113" s="97"/>
      <c r="E113" s="97"/>
      <c r="F113" s="106">
        <v>46239.666666666664</v>
      </c>
      <c r="G113" s="97">
        <v>118.16100896199545</v>
      </c>
      <c r="H113" s="97">
        <v>25.34730883455088</v>
      </c>
      <c r="I113" s="97"/>
      <c r="J113" s="97"/>
    </row>
    <row r="114" spans="1:10" ht="15.75" customHeight="1" x14ac:dyDescent="0.25">
      <c r="A114" s="102">
        <v>46239.708333333336</v>
      </c>
      <c r="B114" s="97">
        <v>0.93960716724395743</v>
      </c>
      <c r="C114" s="97">
        <v>0.54990824138222949</v>
      </c>
      <c r="D114" s="97"/>
      <c r="E114" s="97"/>
      <c r="F114" s="106">
        <v>46239.708333333336</v>
      </c>
      <c r="G114" s="97">
        <v>105.9177370707194</v>
      </c>
      <c r="H114" s="97">
        <v>24.270359551011339</v>
      </c>
      <c r="I114" s="97"/>
      <c r="J114" s="97"/>
    </row>
    <row r="115" spans="1:10" ht="15.75" customHeight="1" x14ac:dyDescent="0.25">
      <c r="A115" s="102">
        <v>46239.75</v>
      </c>
      <c r="B115" s="97">
        <v>0.63721781291744928</v>
      </c>
      <c r="C115" s="97">
        <v>0.64264049890484265</v>
      </c>
      <c r="D115" s="97"/>
      <c r="E115" s="97"/>
      <c r="F115" s="106">
        <v>46239.75</v>
      </c>
      <c r="G115" s="97">
        <v>70.286587689139623</v>
      </c>
      <c r="H115" s="97">
        <v>26.828842204550035</v>
      </c>
      <c r="I115" s="97"/>
      <c r="J115" s="97"/>
    </row>
    <row r="116" spans="1:10" ht="15.75" customHeight="1" x14ac:dyDescent="0.25">
      <c r="A116" s="102">
        <v>46239.791666666664</v>
      </c>
      <c r="B116" s="97">
        <v>0.91276842157046001</v>
      </c>
      <c r="C116" s="97">
        <v>0.70125925558593438</v>
      </c>
      <c r="D116" s="97"/>
      <c r="E116" s="97"/>
      <c r="F116" s="106">
        <v>46239.791666666664</v>
      </c>
      <c r="G116" s="97">
        <v>87.475397618611652</v>
      </c>
      <c r="H116" s="97">
        <v>30.049916880875237</v>
      </c>
      <c r="I116" s="97"/>
      <c r="J116" s="97"/>
    </row>
    <row r="117" spans="1:10" ht="15.75" customHeight="1" x14ac:dyDescent="0.25">
      <c r="A117" s="102">
        <v>46239.833333333336</v>
      </c>
      <c r="B117" s="97">
        <v>0.83543984691301987</v>
      </c>
      <c r="C117" s="97">
        <v>0.6931577632314132</v>
      </c>
      <c r="D117" s="97"/>
      <c r="E117" s="97"/>
      <c r="F117" s="106">
        <v>46239.833333333336</v>
      </c>
      <c r="G117" s="97">
        <v>63.459610748291013</v>
      </c>
      <c r="H117" s="97">
        <v>29.353025097149633</v>
      </c>
      <c r="I117" s="97"/>
      <c r="J117" s="97"/>
    </row>
    <row r="118" spans="1:10" ht="15.75" customHeight="1" x14ac:dyDescent="0.25">
      <c r="A118" s="102">
        <v>46239.875</v>
      </c>
      <c r="B118" s="97">
        <v>0.79788612922032676</v>
      </c>
      <c r="C118" s="97">
        <v>0.77582749453457911</v>
      </c>
      <c r="D118" s="97"/>
      <c r="E118" s="97"/>
      <c r="F118" s="106">
        <v>46239.875</v>
      </c>
      <c r="G118" s="97">
        <v>58.223980394999188</v>
      </c>
      <c r="H118" s="97">
        <v>30.845038672209725</v>
      </c>
      <c r="I118" s="97"/>
      <c r="J118" s="97"/>
    </row>
    <row r="119" spans="1:10" ht="15.75" customHeight="1" x14ac:dyDescent="0.25">
      <c r="A119" s="102">
        <v>46239.916666666664</v>
      </c>
      <c r="B119" s="97">
        <v>0.78110496004422503</v>
      </c>
      <c r="C119" s="97">
        <v>0.7448090864382243</v>
      </c>
      <c r="D119" s="97"/>
      <c r="E119" s="97"/>
      <c r="F119" s="106">
        <v>46239.916666666664</v>
      </c>
      <c r="G119" s="97">
        <v>57.710003407796222</v>
      </c>
      <c r="H119" s="97">
        <v>32.872610508688823</v>
      </c>
      <c r="I119" s="97"/>
      <c r="J119" s="97"/>
    </row>
    <row r="120" spans="1:10" ht="15.75" customHeight="1" x14ac:dyDescent="0.25">
      <c r="A120" s="102">
        <v>46239.958333333336</v>
      </c>
      <c r="B120" s="97">
        <v>0.77273326118787122</v>
      </c>
      <c r="C120" s="97">
        <v>0.70532374278358789</v>
      </c>
      <c r="D120" s="97"/>
      <c r="E120" s="97"/>
      <c r="F120" s="106">
        <v>46239.958333333336</v>
      </c>
      <c r="G120" s="97">
        <v>57.718212254842122</v>
      </c>
      <c r="H120" s="97">
        <v>32.021248392436817</v>
      </c>
      <c r="I120" s="97"/>
      <c r="J120" s="97"/>
    </row>
    <row r="121" spans="1:10" ht="15.75" customHeight="1" x14ac:dyDescent="0.25">
      <c r="A121" s="102">
        <v>46240</v>
      </c>
      <c r="B121" s="97">
        <v>0.75834752917289727</v>
      </c>
      <c r="C121" s="97">
        <v>0.57328532000068622</v>
      </c>
      <c r="D121" s="97"/>
      <c r="E121" s="97"/>
      <c r="F121" s="106">
        <v>46240</v>
      </c>
      <c r="G121" s="97">
        <v>56.156209182739261</v>
      </c>
      <c r="H121" s="97">
        <v>25.999977077891234</v>
      </c>
      <c r="I121" s="97"/>
      <c r="J121" s="97"/>
    </row>
    <row r="122" spans="1:10" ht="15.75" customHeight="1" x14ac:dyDescent="0.25">
      <c r="A122" s="102">
        <v>46240.041666666664</v>
      </c>
      <c r="B122" s="97">
        <v>0.74774478872617078</v>
      </c>
      <c r="C122" s="97">
        <v>0.61028230985398357</v>
      </c>
      <c r="D122" s="97"/>
      <c r="E122" s="97"/>
      <c r="F122" s="106">
        <v>46240.041666666664</v>
      </c>
      <c r="G122" s="97">
        <v>55.504715220133463</v>
      </c>
      <c r="H122" s="97">
        <v>27.261377167795956</v>
      </c>
      <c r="I122" s="97"/>
      <c r="J122" s="97"/>
    </row>
    <row r="123" spans="1:10" ht="15.75" customHeight="1" x14ac:dyDescent="0.25">
      <c r="A123" s="102">
        <v>46240.083333333336</v>
      </c>
      <c r="B123" s="97">
        <v>0.74907377958297727</v>
      </c>
      <c r="C123" s="97">
        <v>0.58156734805097687</v>
      </c>
      <c r="D123" s="97"/>
      <c r="E123" s="97"/>
      <c r="F123" s="106">
        <v>46240.083333333336</v>
      </c>
      <c r="G123" s="97">
        <v>55.198441378275554</v>
      </c>
      <c r="H123" s="97">
        <v>26.530188944971137</v>
      </c>
      <c r="I123" s="97"/>
      <c r="J123" s="97"/>
    </row>
    <row r="124" spans="1:10" ht="15.75" customHeight="1" x14ac:dyDescent="0.25">
      <c r="A124" s="102">
        <v>46240.125</v>
      </c>
      <c r="B124" s="97">
        <v>0.73978564341862985</v>
      </c>
      <c r="C124" s="97">
        <v>0.58147002556342853</v>
      </c>
      <c r="D124" s="97"/>
      <c r="E124" s="97"/>
      <c r="F124" s="106">
        <v>46240.125</v>
      </c>
      <c r="G124" s="97">
        <v>54.971738624572758</v>
      </c>
      <c r="H124" s="97">
        <v>25.056068427949086</v>
      </c>
      <c r="I124" s="97"/>
      <c r="J124" s="97"/>
    </row>
    <row r="125" spans="1:10" ht="15.75" customHeight="1" x14ac:dyDescent="0.25">
      <c r="A125" s="102">
        <v>46240.166666666664</v>
      </c>
      <c r="B125" s="97">
        <v>0.74755498852048596</v>
      </c>
      <c r="C125" s="97">
        <v>0.74643776662971661</v>
      </c>
      <c r="D125" s="97"/>
      <c r="E125" s="97"/>
      <c r="F125" s="106">
        <v>46240.166666666664</v>
      </c>
      <c r="G125" s="97">
        <v>54.338547084445047</v>
      </c>
      <c r="H125" s="97">
        <v>32.979511847137935</v>
      </c>
      <c r="I125" s="97"/>
      <c r="J125" s="97"/>
    </row>
    <row r="126" spans="1:10" ht="15.75" customHeight="1" x14ac:dyDescent="0.25">
      <c r="A126" s="102">
        <v>46240.208333333336</v>
      </c>
      <c r="B126" s="97">
        <v>0.76539277434349051</v>
      </c>
      <c r="C126" s="97">
        <v>0.75487134049061266</v>
      </c>
      <c r="D126" s="97"/>
      <c r="E126" s="97"/>
      <c r="F126" s="106">
        <v>46240.208333333336</v>
      </c>
      <c r="G126" s="97">
        <v>53.865158843994145</v>
      </c>
      <c r="H126" s="97">
        <v>32.894624804319598</v>
      </c>
      <c r="I126" s="97"/>
      <c r="J126" s="97"/>
    </row>
    <row r="127" spans="1:10" ht="15.75" customHeight="1" x14ac:dyDescent="0.25">
      <c r="A127" s="102">
        <v>46240.25</v>
      </c>
      <c r="B127" s="97">
        <v>0.88515570163726809</v>
      </c>
      <c r="C127" s="97">
        <v>0.59659780980098853</v>
      </c>
      <c r="D127" s="97"/>
      <c r="E127" s="97"/>
      <c r="F127" s="106">
        <v>46240.25</v>
      </c>
      <c r="G127" s="97">
        <v>76.789061037699383</v>
      </c>
      <c r="H127" s="97">
        <v>23.453631220127754</v>
      </c>
      <c r="I127" s="97"/>
      <c r="J127" s="97"/>
    </row>
    <row r="128" spans="1:10" ht="15.75" customHeight="1" x14ac:dyDescent="0.25">
      <c r="A128" s="102">
        <v>46240.291666666664</v>
      </c>
      <c r="B128" s="97">
        <v>0.91904480854670201</v>
      </c>
      <c r="C128" s="97">
        <v>0.55429698226480151</v>
      </c>
      <c r="D128" s="97"/>
      <c r="E128" s="97"/>
      <c r="F128" s="106">
        <v>46240.291666666664</v>
      </c>
      <c r="G128" s="97">
        <v>88.540279006958002</v>
      </c>
      <c r="H128" s="97">
        <v>23.557556303122297</v>
      </c>
      <c r="I128" s="97"/>
      <c r="J128" s="97"/>
    </row>
    <row r="129" spans="1:10" ht="15.75" customHeight="1" x14ac:dyDescent="0.25">
      <c r="A129" s="102">
        <v>46240.333333333336</v>
      </c>
      <c r="B129" s="97">
        <v>0.92676751812299096</v>
      </c>
      <c r="C129" s="97">
        <v>0.56746516756625054</v>
      </c>
      <c r="D129" s="97"/>
      <c r="E129" s="97"/>
      <c r="F129" s="106">
        <v>46240.333333333336</v>
      </c>
      <c r="G129" s="97">
        <v>95.837892150878901</v>
      </c>
      <c r="H129" s="97">
        <v>24.850296007314689</v>
      </c>
      <c r="I129" s="97"/>
      <c r="J129" s="97"/>
    </row>
    <row r="130" spans="1:10" ht="15.75" customHeight="1" x14ac:dyDescent="0.25">
      <c r="A130" s="102">
        <v>46240.375</v>
      </c>
      <c r="B130" s="97">
        <v>0.93676857153574622</v>
      </c>
      <c r="C130" s="97">
        <v>0.40896784287431964</v>
      </c>
      <c r="D130" s="97"/>
      <c r="E130" s="97"/>
      <c r="F130" s="106">
        <v>46240.375</v>
      </c>
      <c r="G130" s="97">
        <v>109.80305709838868</v>
      </c>
      <c r="H130" s="97">
        <v>24.891384220877185</v>
      </c>
      <c r="I130" s="97"/>
      <c r="J130" s="97"/>
    </row>
    <row r="131" spans="1:10" ht="15.75" customHeight="1" x14ac:dyDescent="0.25">
      <c r="A131" s="102">
        <v>46240.416666666664</v>
      </c>
      <c r="B131" s="97">
        <v>0.94805982311566672</v>
      </c>
      <c r="C131" s="97">
        <v>0.35174339220457868</v>
      </c>
      <c r="D131" s="97"/>
      <c r="E131" s="97"/>
      <c r="F131" s="106">
        <v>46240.416666666664</v>
      </c>
      <c r="G131" s="97">
        <v>127.12431920369467</v>
      </c>
      <c r="H131" s="97">
        <v>23.684835940010458</v>
      </c>
      <c r="I131" s="97"/>
      <c r="J131" s="97"/>
    </row>
    <row r="132" spans="1:10" ht="15.75" customHeight="1" x14ac:dyDescent="0.25">
      <c r="A132" s="102">
        <v>46240.458333333336</v>
      </c>
      <c r="B132" s="97">
        <v>0.94906648794809967</v>
      </c>
      <c r="C132" s="97">
        <v>0.40613125835953967</v>
      </c>
      <c r="D132" s="97"/>
      <c r="E132" s="97"/>
      <c r="F132" s="106">
        <v>46240.458333333336</v>
      </c>
      <c r="G132" s="97">
        <v>120.18522478739422</v>
      </c>
      <c r="H132" s="97">
        <v>24.567141820319556</v>
      </c>
      <c r="I132" s="97"/>
      <c r="J132" s="97"/>
    </row>
    <row r="133" spans="1:10" ht="15.75" customHeight="1" x14ac:dyDescent="0.25">
      <c r="A133" s="102">
        <v>46240.5</v>
      </c>
      <c r="B133" s="97">
        <v>0.93813430468241377</v>
      </c>
      <c r="C133" s="97">
        <v>0.40182590690761688</v>
      </c>
      <c r="D133" s="97"/>
      <c r="E133" s="97"/>
      <c r="F133" s="106">
        <v>46240.5</v>
      </c>
      <c r="G133" s="97">
        <v>112.44153582255046</v>
      </c>
      <c r="H133" s="97">
        <v>25.045622659766156</v>
      </c>
      <c r="I133" s="97"/>
      <c r="J133" s="97"/>
    </row>
    <row r="134" spans="1:10" ht="15.75" customHeight="1" x14ac:dyDescent="0.25">
      <c r="A134" s="102">
        <v>46240.541666666664</v>
      </c>
      <c r="B134" s="97">
        <v>0.94513027071952815</v>
      </c>
      <c r="C134" s="97">
        <v>0.41215795025288354</v>
      </c>
      <c r="D134" s="97"/>
      <c r="E134" s="97"/>
      <c r="F134" s="106">
        <v>46240.541666666664</v>
      </c>
      <c r="G134" s="97">
        <v>113.30376523335775</v>
      </c>
      <c r="H134" s="97">
        <v>25.537484779659465</v>
      </c>
      <c r="I134" s="97"/>
      <c r="J134" s="97"/>
    </row>
    <row r="135" spans="1:10" ht="15.75" customHeight="1" x14ac:dyDescent="0.25">
      <c r="A135" s="102">
        <v>46240.583333333336</v>
      </c>
      <c r="B135" s="97">
        <v>0.94879978100458773</v>
      </c>
      <c r="C135" s="97">
        <v>0.49282249719964655</v>
      </c>
      <c r="D135" s="97"/>
      <c r="E135" s="97"/>
      <c r="F135" s="106">
        <v>46240.583333333336</v>
      </c>
      <c r="G135" s="97">
        <v>117.45326487223306</v>
      </c>
      <c r="H135" s="97">
        <v>25.384010182067811</v>
      </c>
      <c r="I135" s="97"/>
      <c r="J135" s="97"/>
    </row>
    <row r="136" spans="1:10" ht="15.75" customHeight="1" x14ac:dyDescent="0.25">
      <c r="A136" s="102">
        <v>46240.625</v>
      </c>
      <c r="B136" s="97">
        <v>0.94274945656458531</v>
      </c>
      <c r="C136" s="97">
        <v>0.5533970503703407</v>
      </c>
      <c r="D136" s="97"/>
      <c r="E136" s="97"/>
      <c r="F136" s="106">
        <v>46240.625</v>
      </c>
      <c r="G136" s="97">
        <v>115.80160967508951</v>
      </c>
      <c r="H136" s="97">
        <v>25.542401946109273</v>
      </c>
      <c r="I136" s="97"/>
      <c r="J136" s="97"/>
    </row>
    <row r="137" spans="1:10" ht="15.75" customHeight="1" x14ac:dyDescent="0.25">
      <c r="A137" s="102">
        <v>46240.666666666664</v>
      </c>
      <c r="B137" s="97">
        <v>0.94717835670425787</v>
      </c>
      <c r="C137" s="97">
        <v>0.53777490833060071</v>
      </c>
      <c r="D137" s="97"/>
      <c r="E137" s="97"/>
      <c r="F137" s="106">
        <v>46240.666666666664</v>
      </c>
      <c r="G137" s="97">
        <v>117.70682482038225</v>
      </c>
      <c r="H137" s="97">
        <v>25.953619745880246</v>
      </c>
      <c r="I137" s="97"/>
      <c r="J137" s="97"/>
    </row>
    <row r="138" spans="1:10" ht="15.75" customHeight="1" x14ac:dyDescent="0.25">
      <c r="A138" s="102">
        <v>46240.708333333336</v>
      </c>
      <c r="B138" s="97">
        <v>0.92942256728808081</v>
      </c>
      <c r="C138" s="97">
        <v>0.4971283595316966</v>
      </c>
      <c r="D138" s="97"/>
      <c r="E138" s="97"/>
      <c r="F138" s="106">
        <v>46240.708333333336</v>
      </c>
      <c r="G138" s="97">
        <v>107.44783198038738</v>
      </c>
      <c r="H138" s="97">
        <v>24.592450040131219</v>
      </c>
      <c r="I138" s="97"/>
      <c r="J138" s="97"/>
    </row>
    <row r="139" spans="1:10" ht="15.75" customHeight="1" x14ac:dyDescent="0.25">
      <c r="A139" s="102">
        <v>46240.75</v>
      </c>
      <c r="B139" s="97">
        <v>0.92765622337659193</v>
      </c>
      <c r="C139" s="97">
        <v>0.54901552412349719</v>
      </c>
      <c r="D139" s="97"/>
      <c r="E139" s="97"/>
      <c r="F139" s="106">
        <v>46240.75</v>
      </c>
      <c r="G139" s="97">
        <v>103.43029546737671</v>
      </c>
      <c r="H139" s="97">
        <v>25.261216768634178</v>
      </c>
      <c r="I139" s="97"/>
      <c r="J139" s="97"/>
    </row>
    <row r="140" spans="1:10" ht="15.75" customHeight="1" x14ac:dyDescent="0.25">
      <c r="A140" s="102">
        <v>46240.791666666664</v>
      </c>
      <c r="B140" s="97">
        <v>0.89644371469815576</v>
      </c>
      <c r="C140" s="97">
        <v>0.78270051442822908</v>
      </c>
      <c r="D140" s="97"/>
      <c r="E140" s="97"/>
      <c r="F140" s="106">
        <v>46240.791666666664</v>
      </c>
      <c r="G140" s="97">
        <v>84.697281265258781</v>
      </c>
      <c r="H140" s="97">
        <v>34.921821841138154</v>
      </c>
      <c r="I140" s="97"/>
      <c r="J140" s="97"/>
    </row>
    <row r="141" spans="1:10" ht="15.75" customHeight="1" x14ac:dyDescent="0.25">
      <c r="A141" s="102">
        <v>46240.833333333336</v>
      </c>
      <c r="B141" s="97">
        <v>0.89806911860193528</v>
      </c>
      <c r="C141" s="97">
        <v>0.68098466239663447</v>
      </c>
      <c r="D141" s="97"/>
      <c r="E141" s="97"/>
      <c r="F141" s="106">
        <v>46240.833333333336</v>
      </c>
      <c r="G141" s="97">
        <v>78.780160395304364</v>
      </c>
      <c r="H141" s="97">
        <v>29.85835477109012</v>
      </c>
      <c r="I141" s="97"/>
      <c r="J141" s="97"/>
    </row>
    <row r="142" spans="1:10" ht="15.75" customHeight="1" x14ac:dyDescent="0.25">
      <c r="A142" s="102">
        <v>46240.875</v>
      </c>
      <c r="B142" s="97">
        <v>0.8646259744962056</v>
      </c>
      <c r="C142" s="97">
        <v>0.66077716907729278</v>
      </c>
      <c r="D142" s="97"/>
      <c r="E142" s="97"/>
      <c r="F142" s="106">
        <v>46240.875</v>
      </c>
      <c r="G142" s="97">
        <v>70.201298904418948</v>
      </c>
      <c r="H142" s="97">
        <v>27.276563342852082</v>
      </c>
      <c r="I142" s="97"/>
      <c r="J142" s="97"/>
    </row>
    <row r="143" spans="1:10" ht="15.75" customHeight="1" x14ac:dyDescent="0.25">
      <c r="A143" s="102">
        <v>46240.916666666664</v>
      </c>
      <c r="B143" s="97">
        <v>0.80699838399887081</v>
      </c>
      <c r="C143" s="97">
        <v>0.79495570381639502</v>
      </c>
      <c r="D143" s="97"/>
      <c r="E143" s="97"/>
      <c r="F143" s="106">
        <v>46240.916666666664</v>
      </c>
      <c r="G143" s="97">
        <v>61.233195050557455</v>
      </c>
      <c r="H143" s="97">
        <v>38.033062867967509</v>
      </c>
      <c r="I143" s="97"/>
      <c r="J143" s="97"/>
    </row>
    <row r="144" spans="1:10" ht="15.75" customHeight="1" x14ac:dyDescent="0.25">
      <c r="A144" s="102">
        <v>46240.958333333336</v>
      </c>
      <c r="B144" s="97">
        <v>0.79603219429651895</v>
      </c>
      <c r="C144" s="97">
        <v>0.70680978193349053</v>
      </c>
      <c r="D144" s="97"/>
      <c r="E144" s="97"/>
      <c r="F144" s="106">
        <v>46240.958333333336</v>
      </c>
      <c r="G144" s="97">
        <v>60.009669685363775</v>
      </c>
      <c r="H144" s="97">
        <v>31.539942500148367</v>
      </c>
      <c r="I144" s="97"/>
      <c r="J144" s="97"/>
    </row>
    <row r="145" spans="1:10" ht="15.75" customHeight="1" x14ac:dyDescent="0.25">
      <c r="A145" s="102">
        <v>46241</v>
      </c>
      <c r="B145" s="97">
        <v>0.78152700463930758</v>
      </c>
      <c r="C145" s="97">
        <v>0.62998035603125568</v>
      </c>
      <c r="D145" s="97"/>
      <c r="E145" s="97"/>
      <c r="F145" s="106">
        <v>46241</v>
      </c>
      <c r="G145" s="97">
        <v>58.867828432718909</v>
      </c>
      <c r="H145" s="97">
        <v>27.9941471489993</v>
      </c>
      <c r="I145" s="97"/>
      <c r="J145" s="97"/>
    </row>
    <row r="146" spans="1:10" ht="15.75" customHeight="1" x14ac:dyDescent="0.25">
      <c r="A146" s="102">
        <v>46241.041666666664</v>
      </c>
      <c r="B146" s="97">
        <v>0.77977275649706523</v>
      </c>
      <c r="C146" s="97">
        <v>0.60069346551603009</v>
      </c>
      <c r="D146" s="97"/>
      <c r="E146" s="97"/>
      <c r="F146" s="106">
        <v>46241.041666666664</v>
      </c>
      <c r="G146" s="97">
        <v>59.542916997273757</v>
      </c>
      <c r="H146" s="97">
        <v>27.22890677659408</v>
      </c>
      <c r="I146" s="97"/>
      <c r="J146" s="97"/>
    </row>
    <row r="147" spans="1:10" ht="15.75" customHeight="1" x14ac:dyDescent="0.25">
      <c r="A147" s="102">
        <v>46241.083333333336</v>
      </c>
      <c r="B147" s="97">
        <v>0.77800057331720995</v>
      </c>
      <c r="C147" s="97">
        <v>0.59094932698920788</v>
      </c>
      <c r="D147" s="97"/>
      <c r="E147" s="97"/>
      <c r="F147" s="106">
        <v>46241.083333333336</v>
      </c>
      <c r="G147" s="97">
        <v>59.566866683959958</v>
      </c>
      <c r="H147" s="97">
        <v>26.907459455987681</v>
      </c>
      <c r="I147" s="97"/>
      <c r="J147" s="97"/>
    </row>
    <row r="148" spans="1:10" ht="15.75" customHeight="1" x14ac:dyDescent="0.25">
      <c r="A148" s="102">
        <v>46241.125</v>
      </c>
      <c r="B148" s="97">
        <v>0.77737270593643193</v>
      </c>
      <c r="C148" s="97">
        <v>0.5516284442112851</v>
      </c>
      <c r="D148" s="97"/>
      <c r="E148" s="97"/>
      <c r="F148" s="106">
        <v>46241.125</v>
      </c>
      <c r="G148" s="97">
        <v>58.423062578837076</v>
      </c>
      <c r="H148" s="97">
        <v>25.744206836572278</v>
      </c>
      <c r="I148" s="97"/>
      <c r="J148" s="97"/>
    </row>
    <row r="149" spans="1:10" ht="15.75" customHeight="1" x14ac:dyDescent="0.25">
      <c r="A149" s="102">
        <v>46241.166666666664</v>
      </c>
      <c r="B149" s="97">
        <v>0.77825457255045583</v>
      </c>
      <c r="C149" s="97">
        <v>0.80906099204724957</v>
      </c>
      <c r="D149" s="97"/>
      <c r="E149" s="97"/>
      <c r="F149" s="106">
        <v>46241.166666666664</v>
      </c>
      <c r="G149" s="97">
        <v>57.790124638875326</v>
      </c>
      <c r="H149" s="97">
        <v>35.728122500091672</v>
      </c>
      <c r="I149" s="97"/>
      <c r="J149" s="97"/>
    </row>
    <row r="150" spans="1:10" ht="15.75" customHeight="1" x14ac:dyDescent="0.25">
      <c r="A150" s="102">
        <v>46241.208333333336</v>
      </c>
      <c r="B150" s="97">
        <v>0.80833200017611184</v>
      </c>
      <c r="C150" s="97">
        <v>0.61026336370485101</v>
      </c>
      <c r="D150" s="97"/>
      <c r="E150" s="97"/>
      <c r="F150" s="106">
        <v>46241.208333333336</v>
      </c>
      <c r="G150" s="97">
        <v>59.21782817840576</v>
      </c>
      <c r="H150" s="97">
        <v>26.169654111145984</v>
      </c>
      <c r="I150" s="97"/>
      <c r="J150" s="97"/>
    </row>
    <row r="151" spans="1:10" ht="15.75" customHeight="1" x14ac:dyDescent="0.25">
      <c r="A151" s="102">
        <v>46241.25</v>
      </c>
      <c r="B151" s="97">
        <v>0.90130192041397095</v>
      </c>
      <c r="C151" s="97">
        <v>0.53122040246550739</v>
      </c>
      <c r="D151" s="97"/>
      <c r="E151" s="97"/>
      <c r="F151" s="106">
        <v>46241.25</v>
      </c>
      <c r="G151" s="97">
        <v>84.620573806762692</v>
      </c>
      <c r="H151" s="97">
        <v>23.200441290738556</v>
      </c>
      <c r="I151" s="97"/>
      <c r="J151" s="97"/>
    </row>
    <row r="152" spans="1:10" ht="15.75" customHeight="1" x14ac:dyDescent="0.25">
      <c r="A152" s="102">
        <v>46241.291666666664</v>
      </c>
      <c r="B152" s="97">
        <v>0.92551034887631733</v>
      </c>
      <c r="C152" s="97">
        <v>0.61109185424953583</v>
      </c>
      <c r="D152" s="97"/>
      <c r="E152" s="97"/>
      <c r="F152" s="106">
        <v>46241.291666666664</v>
      </c>
      <c r="G152" s="97">
        <v>93.900670750935873</v>
      </c>
      <c r="H152" s="97">
        <v>23.316222897631377</v>
      </c>
      <c r="I152" s="97"/>
      <c r="J152" s="97"/>
    </row>
    <row r="153" spans="1:10" ht="15.75" customHeight="1" x14ac:dyDescent="0.25">
      <c r="A153" s="102">
        <v>46241.333333333336</v>
      </c>
      <c r="B153" s="97">
        <v>0.94140371637684961</v>
      </c>
      <c r="C153" s="97">
        <v>0.6834779676241366</v>
      </c>
      <c r="D153" s="97"/>
      <c r="E153" s="97"/>
      <c r="F153" s="106">
        <v>46241.333333333336</v>
      </c>
      <c r="G153" s="97">
        <v>102.90389230818974</v>
      </c>
      <c r="H153" s="97">
        <v>25.424508189024191</v>
      </c>
      <c r="I153" s="97"/>
      <c r="J153" s="97"/>
    </row>
    <row r="154" spans="1:10" ht="15.75" customHeight="1" x14ac:dyDescent="0.25">
      <c r="A154" s="102">
        <v>46241.375</v>
      </c>
      <c r="B154" s="97">
        <v>0.94928256869316097</v>
      </c>
      <c r="C154" s="97">
        <v>0.51948171594868542</v>
      </c>
      <c r="D154" s="97"/>
      <c r="E154" s="97"/>
      <c r="F154" s="106">
        <v>46241.375</v>
      </c>
      <c r="G154" s="97">
        <v>113.16513201395669</v>
      </c>
      <c r="H154" s="97">
        <v>25.696104894042488</v>
      </c>
      <c r="I154" s="97"/>
      <c r="J154" s="97"/>
    </row>
    <row r="155" spans="1:10" ht="15.75" customHeight="1" x14ac:dyDescent="0.25">
      <c r="A155" s="102">
        <v>46241.416666666664</v>
      </c>
      <c r="B155" s="97">
        <v>0.95636901855468748</v>
      </c>
      <c r="C155" s="97">
        <v>0.34170034533668414</v>
      </c>
      <c r="D155" s="97"/>
      <c r="E155" s="97"/>
      <c r="F155" s="106">
        <v>46241.416666666664</v>
      </c>
      <c r="G155" s="97">
        <v>129.96989351908368</v>
      </c>
      <c r="H155" s="97">
        <v>23.870696441929333</v>
      </c>
      <c r="I155" s="97"/>
      <c r="J155" s="97"/>
    </row>
    <row r="156" spans="1:10" ht="15.75" customHeight="1" x14ac:dyDescent="0.25">
      <c r="A156" s="102">
        <v>46241.458333333336</v>
      </c>
      <c r="B156" s="97">
        <v>0.957446394364039</v>
      </c>
      <c r="C156" s="97">
        <v>0.34426054423270019</v>
      </c>
      <c r="D156" s="97"/>
      <c r="E156" s="97"/>
      <c r="F156" s="106">
        <v>46241.458333333336</v>
      </c>
      <c r="G156" s="97">
        <v>127.45535469055176</v>
      </c>
      <c r="H156" s="97">
        <v>24.275223454939049</v>
      </c>
      <c r="I156" s="97"/>
      <c r="J156" s="97"/>
    </row>
    <row r="157" spans="1:10" ht="15.75" customHeight="1" x14ac:dyDescent="0.25">
      <c r="A157" s="102">
        <v>46241.5</v>
      </c>
      <c r="B157" s="97">
        <v>0.95122731328010557</v>
      </c>
      <c r="C157" s="97">
        <v>0.50487422324687592</v>
      </c>
      <c r="D157" s="97"/>
      <c r="E157" s="97"/>
      <c r="F157" s="106">
        <v>46241.5</v>
      </c>
      <c r="G157" s="97">
        <v>114.44463551839193</v>
      </c>
      <c r="H157" s="97">
        <v>24.348386225493059</v>
      </c>
      <c r="I157" s="97"/>
      <c r="J157" s="97"/>
    </row>
    <row r="158" spans="1:10" ht="15.75" customHeight="1" x14ac:dyDescent="0.25">
      <c r="A158" s="102">
        <v>46241.541666666664</v>
      </c>
      <c r="B158" s="97">
        <v>0.94972643454869587</v>
      </c>
      <c r="C158" s="97">
        <v>0.40079320030721277</v>
      </c>
      <c r="D158" s="97"/>
      <c r="E158" s="97"/>
      <c r="F158" s="106">
        <v>46241.541666666664</v>
      </c>
      <c r="G158" s="97">
        <v>110.01184946695963</v>
      </c>
      <c r="H158" s="97">
        <v>25.525195590121001</v>
      </c>
      <c r="I158" s="97"/>
      <c r="J158" s="97"/>
    </row>
    <row r="159" spans="1:10" ht="15.75" customHeight="1" x14ac:dyDescent="0.25">
      <c r="A159" s="102">
        <v>46241.583333333336</v>
      </c>
      <c r="B159" s="97">
        <v>0.94312354723612457</v>
      </c>
      <c r="C159" s="97">
        <v>0.40577559773865424</v>
      </c>
      <c r="D159" s="97"/>
      <c r="E159" s="97"/>
      <c r="F159" s="106">
        <v>46241.583333333336</v>
      </c>
      <c r="G159" s="97">
        <v>108.62979418436686</v>
      </c>
      <c r="H159" s="97">
        <v>25.520330328243993</v>
      </c>
      <c r="I159" s="97"/>
      <c r="J159" s="97"/>
    </row>
    <row r="160" spans="1:10" ht="15.75" customHeight="1" x14ac:dyDescent="0.25">
      <c r="A160" s="102">
        <v>46241.625</v>
      </c>
      <c r="B160" s="97">
        <v>0.93674137592315676</v>
      </c>
      <c r="C160" s="97">
        <v>0.52723737172929663</v>
      </c>
      <c r="D160" s="97"/>
      <c r="E160" s="97"/>
      <c r="F160" s="106">
        <v>46241.625</v>
      </c>
      <c r="G160" s="97">
        <v>108.82647514343262</v>
      </c>
      <c r="H160" s="97">
        <v>25.312573345282335</v>
      </c>
      <c r="I160" s="97"/>
      <c r="J160" s="97"/>
    </row>
    <row r="161" spans="1:10" ht="15.75" customHeight="1" x14ac:dyDescent="0.25">
      <c r="A161" s="102">
        <v>46241.666666666664</v>
      </c>
      <c r="B161" s="97">
        <v>0.94102002382278449</v>
      </c>
      <c r="C161" s="97">
        <v>0.50521209376602771</v>
      </c>
      <c r="D161" s="97"/>
      <c r="E161" s="97"/>
      <c r="F161" s="106">
        <v>46241.666666666664</v>
      </c>
      <c r="G161" s="97">
        <v>109.96841634114584</v>
      </c>
      <c r="H161" s="97">
        <v>26.000550940102741</v>
      </c>
      <c r="I161" s="97"/>
      <c r="J161" s="97"/>
    </row>
    <row r="162" spans="1:10" ht="15.75" customHeight="1" x14ac:dyDescent="0.25">
      <c r="A162" s="102">
        <v>46241.708333333336</v>
      </c>
      <c r="B162" s="97">
        <v>0.93355338374773655</v>
      </c>
      <c r="C162" s="97">
        <v>0.54747102630468225</v>
      </c>
      <c r="D162" s="97"/>
      <c r="E162" s="97"/>
      <c r="F162" s="106">
        <v>46241.708333333336</v>
      </c>
      <c r="G162" s="97">
        <v>100.51087252298991</v>
      </c>
      <c r="H162" s="97">
        <v>26.781603171420194</v>
      </c>
      <c r="I162" s="97"/>
      <c r="J162" s="97"/>
    </row>
    <row r="163" spans="1:10" ht="15.75" customHeight="1" x14ac:dyDescent="0.25">
      <c r="A163" s="102">
        <v>46241.75</v>
      </c>
      <c r="B163" s="97">
        <v>0.92000037743931729</v>
      </c>
      <c r="C163" s="97">
        <v>0.58325004400943103</v>
      </c>
      <c r="D163" s="97"/>
      <c r="E163" s="97"/>
      <c r="F163" s="106">
        <v>46241.75</v>
      </c>
      <c r="G163" s="97">
        <v>92.278168805440274</v>
      </c>
      <c r="H163" s="97">
        <v>25.428723368248921</v>
      </c>
      <c r="I163" s="97"/>
      <c r="J163" s="97"/>
    </row>
    <row r="164" spans="1:10" ht="15.75" customHeight="1" x14ac:dyDescent="0.25">
      <c r="A164" s="102">
        <v>46241.791666666664</v>
      </c>
      <c r="B164" s="97">
        <v>0.88929947217305494</v>
      </c>
      <c r="C164" s="97">
        <v>0.59613213331803028</v>
      </c>
      <c r="D164" s="97"/>
      <c r="E164" s="97"/>
      <c r="F164" s="106">
        <v>46241.791666666664</v>
      </c>
      <c r="G164" s="97">
        <v>78.491159820556646</v>
      </c>
      <c r="H164" s="97">
        <v>26.630402215384681</v>
      </c>
      <c r="I164" s="97"/>
      <c r="J164" s="97"/>
    </row>
    <row r="165" spans="1:10" ht="15.75" customHeight="1" x14ac:dyDescent="0.25">
      <c r="A165" s="102">
        <v>46241.833333333336</v>
      </c>
      <c r="B165" s="97">
        <v>0.82847734689712516</v>
      </c>
      <c r="C165" s="97">
        <v>0.66540513049236871</v>
      </c>
      <c r="D165" s="97"/>
      <c r="E165" s="97"/>
      <c r="F165" s="106">
        <v>46241.833333333336</v>
      </c>
      <c r="G165" s="97">
        <v>64.528617986043301</v>
      </c>
      <c r="H165" s="97">
        <v>29.919405696891516</v>
      </c>
      <c r="I165" s="97"/>
      <c r="J165" s="97"/>
    </row>
    <row r="166" spans="1:10" ht="15.75" customHeight="1" x14ac:dyDescent="0.25">
      <c r="A166" s="102">
        <v>46241.875</v>
      </c>
      <c r="B166" s="97">
        <v>0.83487049539883929</v>
      </c>
      <c r="C166" s="97">
        <v>0.78544799889264838</v>
      </c>
      <c r="D166" s="97"/>
      <c r="E166" s="97"/>
      <c r="F166" s="106">
        <v>46241.875</v>
      </c>
      <c r="G166" s="97">
        <v>63.613997904459637</v>
      </c>
      <c r="H166" s="97">
        <v>36.410431642306179</v>
      </c>
      <c r="I166" s="97"/>
      <c r="J166" s="97"/>
    </row>
    <row r="167" spans="1:10" ht="15.75" customHeight="1" x14ac:dyDescent="0.25">
      <c r="A167" s="102">
        <v>46241.916666666664</v>
      </c>
      <c r="B167" s="97">
        <v>0.81639397541681924</v>
      </c>
      <c r="C167" s="97">
        <v>0.69962230530887715</v>
      </c>
      <c r="D167" s="97"/>
      <c r="E167" s="97"/>
      <c r="F167" s="106">
        <v>46241.916666666664</v>
      </c>
      <c r="G167" s="97">
        <v>60.864853032430013</v>
      </c>
      <c r="H167" s="97">
        <v>32.010511836515583</v>
      </c>
      <c r="I167" s="97"/>
      <c r="J167" s="97"/>
    </row>
    <row r="168" spans="1:10" ht="15.75" customHeight="1" x14ac:dyDescent="0.25">
      <c r="A168" s="102">
        <v>46241.958333333336</v>
      </c>
      <c r="B168" s="97">
        <v>0.75896008412043248</v>
      </c>
      <c r="C168" s="97">
        <v>0.61464759189149609</v>
      </c>
      <c r="D168" s="97"/>
      <c r="E168" s="97"/>
      <c r="F168" s="106">
        <v>46241.958333333336</v>
      </c>
      <c r="G168" s="97">
        <v>55.676418622334793</v>
      </c>
      <c r="H168" s="97">
        <v>28.906863211643085</v>
      </c>
      <c r="I168" s="97"/>
      <c r="J168" s="97"/>
    </row>
    <row r="169" spans="1:10" ht="15.75" customHeight="1" x14ac:dyDescent="0.25">
      <c r="A169" s="102">
        <v>46242</v>
      </c>
      <c r="B169" s="97">
        <v>0.75130907297134386</v>
      </c>
      <c r="C169" s="97">
        <v>0.60314873667809332</v>
      </c>
      <c r="D169" s="97"/>
      <c r="E169" s="97"/>
      <c r="F169" s="106">
        <v>46242</v>
      </c>
      <c r="G169" s="97">
        <v>55.181475957234696</v>
      </c>
      <c r="H169" s="97">
        <v>27.216562773399204</v>
      </c>
      <c r="I169" s="97"/>
      <c r="J169" s="97"/>
    </row>
    <row r="170" spans="1:10" ht="15.75" customHeight="1" x14ac:dyDescent="0.25">
      <c r="A170" s="102">
        <v>46242.041666666664</v>
      </c>
      <c r="B170" s="97">
        <v>0.7561490257581075</v>
      </c>
      <c r="C170" s="97">
        <v>0.77205718564892944</v>
      </c>
      <c r="D170" s="97"/>
      <c r="E170" s="97"/>
      <c r="F170" s="106">
        <v>46242.041666666664</v>
      </c>
      <c r="G170" s="97">
        <v>55.735549290974944</v>
      </c>
      <c r="H170" s="97">
        <v>37.898743029168472</v>
      </c>
      <c r="I170" s="97"/>
      <c r="J170" s="97"/>
    </row>
    <row r="171" spans="1:10" ht="15.75" customHeight="1" x14ac:dyDescent="0.25">
      <c r="A171" s="102">
        <v>46242.083333333336</v>
      </c>
      <c r="B171" s="97">
        <v>0.74689311782519019</v>
      </c>
      <c r="C171" s="97">
        <v>0.76366816478755639</v>
      </c>
      <c r="D171" s="97"/>
      <c r="E171" s="97"/>
      <c r="F171" s="106">
        <v>46242.083333333336</v>
      </c>
      <c r="G171" s="97">
        <v>56.024167950948083</v>
      </c>
      <c r="H171" s="97">
        <v>38.343732760357767</v>
      </c>
      <c r="I171" s="97"/>
      <c r="J171" s="97"/>
    </row>
    <row r="172" spans="1:10" ht="15.75" customHeight="1" x14ac:dyDescent="0.25">
      <c r="A172" s="102">
        <v>46242.125</v>
      </c>
      <c r="B172" s="97">
        <v>0.74107875823974612</v>
      </c>
      <c r="C172" s="97">
        <v>0.60449709593071765</v>
      </c>
      <c r="D172" s="97"/>
      <c r="E172" s="97"/>
      <c r="F172" s="106">
        <v>46242.125</v>
      </c>
      <c r="G172" s="97">
        <v>55.11079508463542</v>
      </c>
      <c r="H172" s="97">
        <v>28.395516495459635</v>
      </c>
      <c r="I172" s="97"/>
      <c r="J172" s="97"/>
    </row>
    <row r="173" spans="1:10" ht="15.75" customHeight="1" x14ac:dyDescent="0.25">
      <c r="A173" s="102">
        <v>46242.166666666664</v>
      </c>
      <c r="B173" s="97">
        <v>0.73843188087145473</v>
      </c>
      <c r="C173" s="97">
        <v>0.55953079886116064</v>
      </c>
      <c r="D173" s="97"/>
      <c r="E173" s="97"/>
      <c r="F173" s="106">
        <v>46242.166666666664</v>
      </c>
      <c r="G173" s="97">
        <v>54.872616068522142</v>
      </c>
      <c r="H173" s="97">
        <v>26.261968425140076</v>
      </c>
      <c r="I173" s="97"/>
      <c r="J173" s="97"/>
    </row>
    <row r="174" spans="1:10" ht="15.75" customHeight="1" x14ac:dyDescent="0.25">
      <c r="A174" s="102">
        <v>46242.208333333336</v>
      </c>
      <c r="B174" s="97">
        <v>0.77331735491752629</v>
      </c>
      <c r="C174" s="97">
        <v>0.66771885599543457</v>
      </c>
      <c r="D174" s="97"/>
      <c r="E174" s="97"/>
      <c r="F174" s="106">
        <v>46242.208333333336</v>
      </c>
      <c r="G174" s="97">
        <v>56.48123785654704</v>
      </c>
      <c r="H174" s="97">
        <v>28.782743843176618</v>
      </c>
      <c r="I174" s="97"/>
      <c r="J174" s="97"/>
    </row>
    <row r="175" spans="1:10" ht="15.75" customHeight="1" x14ac:dyDescent="0.25">
      <c r="A175" s="102">
        <v>46242.25</v>
      </c>
      <c r="B175" s="97">
        <v>0.78544336358706168</v>
      </c>
      <c r="C175" s="97">
        <v>0.57971258337789844</v>
      </c>
      <c r="D175" s="97"/>
      <c r="E175" s="97"/>
      <c r="F175" s="106">
        <v>46242.25</v>
      </c>
      <c r="G175" s="97">
        <v>55.297412554423012</v>
      </c>
      <c r="H175" s="97">
        <v>25.9367817710982</v>
      </c>
      <c r="I175" s="97"/>
      <c r="J175" s="97"/>
    </row>
    <row r="176" spans="1:10" ht="15.75" customHeight="1" x14ac:dyDescent="0.25">
      <c r="A176" s="102">
        <v>46242.291666666664</v>
      </c>
      <c r="B176" s="97">
        <v>0.86617160609790256</v>
      </c>
      <c r="C176" s="97">
        <v>0.47765735286497785</v>
      </c>
      <c r="D176" s="97"/>
      <c r="E176" s="97"/>
      <c r="F176" s="106">
        <v>46242.291666666664</v>
      </c>
      <c r="G176" s="97">
        <v>72.08497835795086</v>
      </c>
      <c r="H176" s="97">
        <v>23.376531039302055</v>
      </c>
      <c r="I176" s="97"/>
      <c r="J176" s="97"/>
    </row>
    <row r="177" spans="1:10" ht="15.75" customHeight="1" x14ac:dyDescent="0.25">
      <c r="A177" s="102">
        <v>46242.333333333336</v>
      </c>
      <c r="B177" s="97">
        <v>0.89358205596605933</v>
      </c>
      <c r="C177" s="97">
        <v>0.53909695225035248</v>
      </c>
      <c r="D177" s="97"/>
      <c r="E177" s="97"/>
      <c r="F177" s="106">
        <v>46242.333333333336</v>
      </c>
      <c r="G177" s="97">
        <v>78.55820032755534</v>
      </c>
      <c r="H177" s="97">
        <v>24.963653849047635</v>
      </c>
      <c r="I177" s="97"/>
      <c r="J177" s="97"/>
    </row>
    <row r="178" spans="1:10" ht="15.75" customHeight="1" x14ac:dyDescent="0.25">
      <c r="A178" s="102">
        <v>46242.375</v>
      </c>
      <c r="B178" s="97">
        <v>0.88300402959187829</v>
      </c>
      <c r="C178" s="97">
        <v>0.44793749927532062</v>
      </c>
      <c r="D178" s="97"/>
      <c r="E178" s="97"/>
      <c r="F178" s="106">
        <v>46242.375</v>
      </c>
      <c r="G178" s="97">
        <v>73.658355585734043</v>
      </c>
      <c r="H178" s="97">
        <v>25.868053157338984</v>
      </c>
      <c r="I178" s="97"/>
      <c r="J178" s="97"/>
    </row>
    <row r="179" spans="1:10" ht="15.75" customHeight="1" x14ac:dyDescent="0.25">
      <c r="A179" s="102">
        <v>46242.416666666664</v>
      </c>
      <c r="B179" s="97">
        <v>0.87251390020052588</v>
      </c>
      <c r="C179" s="97">
        <v>0.36863648379037506</v>
      </c>
      <c r="D179" s="97"/>
      <c r="E179" s="97"/>
      <c r="F179" s="106">
        <v>46242.416666666664</v>
      </c>
      <c r="G179" s="97">
        <v>72.2559907277425</v>
      </c>
      <c r="H179" s="97">
        <v>23.614913162035432</v>
      </c>
      <c r="I179" s="97"/>
      <c r="J179" s="97"/>
    </row>
    <row r="180" spans="1:10" ht="15.75" customHeight="1" x14ac:dyDescent="0.25">
      <c r="A180" s="102">
        <v>46242.458333333336</v>
      </c>
      <c r="B180" s="97">
        <v>0.88482841054598482</v>
      </c>
      <c r="C180" s="97">
        <v>0.38720039381340088</v>
      </c>
      <c r="D180" s="97"/>
      <c r="E180" s="97"/>
      <c r="F180" s="106">
        <v>46242.458333333336</v>
      </c>
      <c r="G180" s="97">
        <v>74.204858016967776</v>
      </c>
      <c r="H180" s="97">
        <v>23.927344490888093</v>
      </c>
      <c r="I180" s="97"/>
      <c r="J180" s="97"/>
    </row>
    <row r="181" spans="1:10" ht="15.75" customHeight="1" x14ac:dyDescent="0.25">
      <c r="A181" s="102">
        <v>46242.5</v>
      </c>
      <c r="B181" s="97">
        <v>0.86260070403416955</v>
      </c>
      <c r="C181" s="97">
        <v>0.41848658814496198</v>
      </c>
      <c r="D181" s="97"/>
      <c r="E181" s="97"/>
      <c r="F181" s="106">
        <v>46242.5</v>
      </c>
      <c r="G181" s="97">
        <v>71.162012227376295</v>
      </c>
      <c r="H181" s="97">
        <v>26.376586623813797</v>
      </c>
      <c r="I181" s="97"/>
      <c r="J181" s="97"/>
    </row>
    <row r="182" spans="1:10" ht="15.75" customHeight="1" x14ac:dyDescent="0.25">
      <c r="A182" s="102">
        <v>46242.541666666664</v>
      </c>
      <c r="B182" s="97">
        <v>0.83319476445515961</v>
      </c>
      <c r="C182" s="97">
        <v>0.45487103549388086</v>
      </c>
      <c r="D182" s="97"/>
      <c r="E182" s="97"/>
      <c r="F182" s="106">
        <v>46242.541666666664</v>
      </c>
      <c r="G182" s="97">
        <v>65.936587778727215</v>
      </c>
      <c r="H182" s="97">
        <v>24.803356911353912</v>
      </c>
      <c r="I182" s="97"/>
      <c r="J182" s="97"/>
    </row>
    <row r="183" spans="1:10" ht="15.75" customHeight="1" x14ac:dyDescent="0.25">
      <c r="A183" s="102">
        <v>46242.583333333336</v>
      </c>
      <c r="B183" s="97">
        <v>0.85198590159416199</v>
      </c>
      <c r="C183" s="97">
        <v>0.38481076948160708</v>
      </c>
      <c r="D183" s="97"/>
      <c r="E183" s="97"/>
      <c r="F183" s="106">
        <v>46242.583333333336</v>
      </c>
      <c r="G183" s="97">
        <v>67.065388997395843</v>
      </c>
      <c r="H183" s="97">
        <v>20.818012687375983</v>
      </c>
      <c r="I183" s="97"/>
      <c r="J183" s="97"/>
    </row>
    <row r="184" spans="1:10" ht="15.75" customHeight="1" x14ac:dyDescent="0.25">
      <c r="A184" s="102">
        <v>46242.625</v>
      </c>
      <c r="B184" s="97">
        <v>0.824709810813268</v>
      </c>
      <c r="C184" s="97">
        <v>0.27057314508046088</v>
      </c>
      <c r="D184" s="97"/>
      <c r="E184" s="97"/>
      <c r="F184" s="106">
        <v>46242.625</v>
      </c>
      <c r="G184" s="97">
        <v>63.502886962890628</v>
      </c>
      <c r="H184" s="97">
        <v>23.879440334003434</v>
      </c>
      <c r="I184" s="97"/>
      <c r="J184" s="97"/>
    </row>
    <row r="185" spans="1:10" ht="15.75" customHeight="1" x14ac:dyDescent="0.25">
      <c r="A185" s="102">
        <v>46242.666666666664</v>
      </c>
      <c r="B185" s="97">
        <v>0.78171539704004922</v>
      </c>
      <c r="C185" s="97">
        <v>0.53025548990536109</v>
      </c>
      <c r="D185" s="97"/>
      <c r="E185" s="97"/>
      <c r="F185" s="106">
        <v>46242.666666666664</v>
      </c>
      <c r="G185" s="97">
        <v>59.254210154215492</v>
      </c>
      <c r="H185" s="97">
        <v>25.376134195817791</v>
      </c>
      <c r="I185" s="97"/>
      <c r="J185" s="97"/>
    </row>
    <row r="186" spans="1:10" ht="15.75" customHeight="1" x14ac:dyDescent="0.25">
      <c r="A186" s="102">
        <v>46242.708333333336</v>
      </c>
      <c r="B186" s="97">
        <v>0.78738107283910108</v>
      </c>
      <c r="C186" s="97">
        <v>0.46331009669266199</v>
      </c>
      <c r="D186" s="97"/>
      <c r="E186" s="97"/>
      <c r="F186" s="106">
        <v>46242.708333333336</v>
      </c>
      <c r="G186" s="97">
        <v>57.394975153605145</v>
      </c>
      <c r="H186" s="97">
        <v>24.565873474000472</v>
      </c>
      <c r="I186" s="97"/>
      <c r="J186" s="97"/>
    </row>
    <row r="187" spans="1:10" ht="15.75" customHeight="1" x14ac:dyDescent="0.25">
      <c r="A187" s="102">
        <v>46242.75</v>
      </c>
      <c r="B187" s="97">
        <v>6.479499737421672E-3</v>
      </c>
      <c r="C187" s="97">
        <v>0.57322497642322956</v>
      </c>
      <c r="D187" s="97"/>
      <c r="E187" s="97"/>
      <c r="F187" s="106">
        <v>46242.75</v>
      </c>
      <c r="G187" s="97">
        <v>19.761747741699217</v>
      </c>
      <c r="H187" s="97">
        <v>24.560562228025653</v>
      </c>
      <c r="I187" s="97"/>
      <c r="J187" s="97"/>
    </row>
    <row r="188" spans="1:10" ht="15.75" customHeight="1" x14ac:dyDescent="0.25">
      <c r="A188" s="102">
        <v>46242.791666666664</v>
      </c>
      <c r="B188" s="97">
        <v>0.68713244767416093</v>
      </c>
      <c r="C188" s="97">
        <v>0.74748647372006416</v>
      </c>
      <c r="D188" s="97"/>
      <c r="E188" s="97"/>
      <c r="F188" s="106">
        <v>46242.791666666664</v>
      </c>
      <c r="G188" s="97">
        <v>51.674064863295783</v>
      </c>
      <c r="H188" s="97">
        <v>31.517118867678136</v>
      </c>
      <c r="I188" s="97"/>
      <c r="J188" s="97"/>
    </row>
    <row r="189" spans="1:10" ht="15.75" customHeight="1" x14ac:dyDescent="0.25">
      <c r="A189" s="102">
        <v>46242.833333333336</v>
      </c>
      <c r="B189" s="97">
        <v>0.7722180167833963</v>
      </c>
      <c r="C189" s="97">
        <v>0.77305631698827026</v>
      </c>
      <c r="D189" s="97"/>
      <c r="E189" s="97"/>
      <c r="F189" s="106">
        <v>46242.833333333336</v>
      </c>
      <c r="G189" s="97">
        <v>55.681317647298179</v>
      </c>
      <c r="H189" s="97">
        <v>35.209597620568253</v>
      </c>
      <c r="I189" s="97"/>
      <c r="J189" s="97"/>
    </row>
    <row r="190" spans="1:10" ht="15.75" customHeight="1" x14ac:dyDescent="0.25">
      <c r="A190" s="102">
        <v>46242.875</v>
      </c>
      <c r="B190" s="97">
        <v>0.76796323259671528</v>
      </c>
      <c r="C190" s="97">
        <v>0.74184284273814771</v>
      </c>
      <c r="D190" s="97"/>
      <c r="E190" s="97"/>
      <c r="F190" s="106">
        <v>46242.875</v>
      </c>
      <c r="G190" s="97">
        <v>55.511694463094074</v>
      </c>
      <c r="H190" s="97">
        <v>31.475436622446232</v>
      </c>
      <c r="I190" s="97"/>
      <c r="J190" s="97"/>
    </row>
    <row r="191" spans="1:10" ht="15.75" customHeight="1" x14ac:dyDescent="0.25">
      <c r="A191" s="102">
        <v>46242.916666666664</v>
      </c>
      <c r="B191" s="97">
        <v>0.76417945027351375</v>
      </c>
      <c r="C191" s="97">
        <v>0.65532415433834657</v>
      </c>
      <c r="D191" s="97"/>
      <c r="E191" s="97"/>
      <c r="F191" s="106">
        <v>46242.916666666664</v>
      </c>
      <c r="G191" s="97">
        <v>54.066163126627607</v>
      </c>
      <c r="H191" s="97">
        <v>29.031500514788121</v>
      </c>
      <c r="I191" s="97"/>
      <c r="J191" s="97"/>
    </row>
    <row r="192" spans="1:10" ht="15.75" customHeight="1" x14ac:dyDescent="0.25">
      <c r="A192" s="102">
        <v>46242.958333333336</v>
      </c>
      <c r="B192" s="97">
        <v>0.7698058664798737</v>
      </c>
      <c r="C192" s="97">
        <v>0.58009854630519275</v>
      </c>
      <c r="D192" s="97"/>
      <c r="E192" s="97"/>
      <c r="F192" s="106">
        <v>46242.958333333336</v>
      </c>
      <c r="G192" s="97">
        <v>56.65738709767659</v>
      </c>
      <c r="H192" s="97">
        <v>25.719862678776618</v>
      </c>
      <c r="I192" s="97"/>
      <c r="J192" s="97"/>
    </row>
    <row r="193" spans="1:10" ht="15.75" customHeight="1" x14ac:dyDescent="0.25">
      <c r="A193" s="102">
        <v>46243</v>
      </c>
      <c r="B193" s="97">
        <v>0.74013930956522622</v>
      </c>
      <c r="C193" s="97">
        <v>0.57422979299729993</v>
      </c>
      <c r="D193" s="97"/>
      <c r="E193" s="97"/>
      <c r="F193" s="106">
        <v>46243</v>
      </c>
      <c r="G193" s="97">
        <v>55.118622144063316</v>
      </c>
      <c r="H193" s="97">
        <v>25.415057167234156</v>
      </c>
      <c r="I193" s="97"/>
      <c r="J193" s="97"/>
    </row>
    <row r="194" spans="1:10" ht="15.75" customHeight="1" x14ac:dyDescent="0.25">
      <c r="A194" s="102">
        <v>46243.041666666664</v>
      </c>
      <c r="B194" s="97">
        <v>0.7241318603356679</v>
      </c>
      <c r="C194" s="97">
        <v>0.58145606464783661</v>
      </c>
      <c r="D194" s="97"/>
      <c r="E194" s="97"/>
      <c r="F194" s="106">
        <v>46243.041666666664</v>
      </c>
      <c r="G194" s="97">
        <v>54.358168538411462</v>
      </c>
      <c r="H194" s="97">
        <v>25.663791688534584</v>
      </c>
      <c r="I194" s="97"/>
      <c r="J194" s="97"/>
    </row>
    <row r="195" spans="1:10" ht="15.75" customHeight="1" x14ac:dyDescent="0.25">
      <c r="A195" s="102">
        <v>46243.083333333336</v>
      </c>
      <c r="B195" s="97">
        <v>0.7148106773694356</v>
      </c>
      <c r="C195" s="97">
        <v>0.62871577234371845</v>
      </c>
      <c r="D195" s="97"/>
      <c r="E195" s="97"/>
      <c r="F195" s="106">
        <v>46243.083333333336</v>
      </c>
      <c r="G195" s="97">
        <v>53.752103678385417</v>
      </c>
      <c r="H195" s="97">
        <v>26.91610548618754</v>
      </c>
      <c r="I195" s="97"/>
      <c r="J195" s="97"/>
    </row>
    <row r="196" spans="1:10" ht="15.75" customHeight="1" x14ac:dyDescent="0.25">
      <c r="A196" s="102">
        <v>46243.125</v>
      </c>
      <c r="B196" s="97">
        <v>0.72451371749242144</v>
      </c>
      <c r="C196" s="97">
        <v>0.78855504189790948</v>
      </c>
      <c r="D196" s="97"/>
      <c r="E196" s="97"/>
      <c r="F196" s="106">
        <v>46243.125</v>
      </c>
      <c r="G196" s="97">
        <v>54.791619110107419</v>
      </c>
      <c r="H196" s="97">
        <v>37.904177236933954</v>
      </c>
      <c r="I196" s="97"/>
      <c r="J196" s="97"/>
    </row>
    <row r="197" spans="1:10" ht="15.75" customHeight="1" x14ac:dyDescent="0.25">
      <c r="A197" s="102">
        <v>46243.166666666664</v>
      </c>
      <c r="B197" s="97">
        <v>0.72288911739985151</v>
      </c>
      <c r="C197" s="97">
        <v>0.86821365097294678</v>
      </c>
      <c r="D197" s="97"/>
      <c r="E197" s="97"/>
      <c r="F197" s="106">
        <v>46243.166666666664</v>
      </c>
      <c r="G197" s="97">
        <v>54.379321861267087</v>
      </c>
      <c r="H197" s="97">
        <v>42.408223747735903</v>
      </c>
      <c r="I197" s="97"/>
      <c r="J197" s="97"/>
    </row>
    <row r="198" spans="1:10" ht="15.75" customHeight="1" x14ac:dyDescent="0.25">
      <c r="A198" s="102">
        <v>46243.208333333336</v>
      </c>
      <c r="B198" s="97">
        <v>0.72756124536196387</v>
      </c>
      <c r="C198" s="97">
        <v>0.50765323008708796</v>
      </c>
      <c r="D198" s="97"/>
      <c r="E198" s="97"/>
      <c r="F198" s="106">
        <v>46243.208333333336</v>
      </c>
      <c r="G198" s="97">
        <v>53.950601323445639</v>
      </c>
      <c r="H198" s="97">
        <v>27.250266347478028</v>
      </c>
      <c r="I198" s="97"/>
      <c r="J198" s="97"/>
    </row>
    <row r="199" spans="1:10" ht="15.75" customHeight="1" x14ac:dyDescent="0.25">
      <c r="A199" s="102">
        <v>46243.25</v>
      </c>
      <c r="B199" s="97">
        <v>0.74096085954280122</v>
      </c>
      <c r="C199" s="97">
        <v>0.10291383565650156</v>
      </c>
      <c r="D199" s="97"/>
      <c r="E199" s="97"/>
      <c r="F199" s="106">
        <v>46243.25</v>
      </c>
      <c r="G199" s="97">
        <v>52.381227447873073</v>
      </c>
      <c r="H199" s="97">
        <v>22.803197138865475</v>
      </c>
      <c r="I199" s="97"/>
      <c r="J199" s="97"/>
    </row>
    <row r="200" spans="1:10" ht="15.75" customHeight="1" x14ac:dyDescent="0.25">
      <c r="A200" s="102">
        <v>46243.291666666664</v>
      </c>
      <c r="B200" s="97">
        <v>0.75661116639773041</v>
      </c>
      <c r="C200" s="97">
        <v>9.3804267673153169E-2</v>
      </c>
      <c r="D200" s="97"/>
      <c r="E200" s="97"/>
      <c r="F200" s="106">
        <v>46243.291666666664</v>
      </c>
      <c r="G200" s="97">
        <v>54.183458010355629</v>
      </c>
      <c r="H200" s="97">
        <v>22.8580125659822</v>
      </c>
      <c r="I200" s="97"/>
      <c r="J200" s="97"/>
    </row>
    <row r="201" spans="1:10" ht="15.75" customHeight="1" x14ac:dyDescent="0.25">
      <c r="A201" s="102">
        <v>46243.333333333336</v>
      </c>
      <c r="B201" s="97">
        <v>0.74622791608174643</v>
      </c>
      <c r="C201" s="97">
        <v>0.10768057111459288</v>
      </c>
      <c r="D201" s="97"/>
      <c r="E201" s="97"/>
      <c r="F201" s="106">
        <v>46243.333333333336</v>
      </c>
      <c r="G201" s="97">
        <v>52.424485715230311</v>
      </c>
      <c r="H201" s="97">
        <v>22.562335474217832</v>
      </c>
      <c r="I201" s="97"/>
      <c r="J201" s="97"/>
    </row>
    <row r="202" spans="1:10" ht="15.75" customHeight="1" x14ac:dyDescent="0.25">
      <c r="A202" s="102">
        <v>46243.375</v>
      </c>
      <c r="B202" s="97">
        <v>0.71009262005488072</v>
      </c>
      <c r="C202" s="97">
        <v>0.12147425857221655</v>
      </c>
      <c r="D202" s="97"/>
      <c r="E202" s="97"/>
      <c r="F202" s="106">
        <v>46243.375</v>
      </c>
      <c r="G202" s="97">
        <v>49.631258710225424</v>
      </c>
      <c r="H202" s="97">
        <v>22.833704535669014</v>
      </c>
      <c r="I202" s="97"/>
      <c r="J202" s="97"/>
    </row>
    <row r="203" spans="1:10" ht="15.75" customHeight="1" x14ac:dyDescent="0.25">
      <c r="A203" s="102">
        <v>46243.416666666664</v>
      </c>
      <c r="B203" s="97">
        <v>0.72273397246996562</v>
      </c>
      <c r="C203" s="97">
        <v>0.10104838031318347</v>
      </c>
      <c r="D203" s="97"/>
      <c r="E203" s="97"/>
      <c r="F203" s="106">
        <v>46243.416666666664</v>
      </c>
      <c r="G203" s="97">
        <v>49.855312029520668</v>
      </c>
      <c r="H203" s="97">
        <v>22.818578853908736</v>
      </c>
      <c r="I203" s="97"/>
      <c r="J203" s="97"/>
    </row>
    <row r="204" spans="1:10" ht="15.75" customHeight="1" x14ac:dyDescent="0.25">
      <c r="A204" s="102">
        <v>46243.458333333336</v>
      </c>
      <c r="B204" s="97">
        <v>0.71137983798980708</v>
      </c>
      <c r="C204" s="97">
        <v>0.10985849167518465</v>
      </c>
      <c r="D204" s="97"/>
      <c r="E204" s="97"/>
      <c r="F204" s="106">
        <v>46243.458333333336</v>
      </c>
      <c r="G204" s="97">
        <v>49.953309059143059</v>
      </c>
      <c r="H204" s="97">
        <v>22.59174409402689</v>
      </c>
      <c r="I204" s="97"/>
      <c r="J204" s="97"/>
    </row>
    <row r="205" spans="1:10" ht="15.75" customHeight="1" x14ac:dyDescent="0.25">
      <c r="A205" s="102">
        <v>46243.5</v>
      </c>
      <c r="B205" s="97">
        <v>0.69827034870783478</v>
      </c>
      <c r="C205" s="97">
        <v>9.5373855984729278E-2</v>
      </c>
      <c r="D205" s="97"/>
      <c r="E205" s="97"/>
      <c r="F205" s="106">
        <v>46243.5</v>
      </c>
      <c r="G205" s="97">
        <v>49.714821179707847</v>
      </c>
      <c r="H205" s="97">
        <v>22.984695230076909</v>
      </c>
      <c r="I205" s="97"/>
      <c r="J205" s="97"/>
    </row>
    <row r="206" spans="1:10" ht="15.75" customHeight="1" x14ac:dyDescent="0.25">
      <c r="A206" s="102">
        <v>46243.541666666664</v>
      </c>
      <c r="B206" s="97">
        <v>0.73959200580914819</v>
      </c>
      <c r="C206" s="97">
        <v>0.14086408895466168</v>
      </c>
      <c r="D206" s="97"/>
      <c r="E206" s="97"/>
      <c r="F206" s="106">
        <v>46243.541666666664</v>
      </c>
      <c r="G206" s="97">
        <v>52.921029917399089</v>
      </c>
      <c r="H206" s="97">
        <v>22.687169785556112</v>
      </c>
      <c r="I206" s="97"/>
      <c r="J206" s="97"/>
    </row>
    <row r="207" spans="1:10" ht="15.75" customHeight="1" x14ac:dyDescent="0.25">
      <c r="A207" s="102">
        <v>46243.583333333336</v>
      </c>
      <c r="B207" s="97">
        <v>0.72240459124247236</v>
      </c>
      <c r="C207" s="97">
        <v>0.14417119483231555</v>
      </c>
      <c r="D207" s="97"/>
      <c r="E207" s="97"/>
      <c r="F207" s="106">
        <v>46243.583333333336</v>
      </c>
      <c r="G207" s="97">
        <v>49.23735599517822</v>
      </c>
      <c r="H207" s="97">
        <v>22.526997850817654</v>
      </c>
      <c r="I207" s="97"/>
      <c r="J207" s="97"/>
    </row>
    <row r="208" spans="1:10" ht="15.75" customHeight="1" x14ac:dyDescent="0.25">
      <c r="A208" s="102">
        <v>46243.625</v>
      </c>
      <c r="B208" s="97">
        <v>0.72874704102675114</v>
      </c>
      <c r="C208" s="97">
        <v>0.15888850102311539</v>
      </c>
      <c r="D208" s="97"/>
      <c r="E208" s="97"/>
      <c r="F208" s="106">
        <v>46243.625</v>
      </c>
      <c r="G208" s="97">
        <v>50.382624117533368</v>
      </c>
      <c r="H208" s="97">
        <v>22.85512347372153</v>
      </c>
      <c r="I208" s="97"/>
      <c r="J208" s="97"/>
    </row>
    <row r="209" spans="1:10" ht="15.75" customHeight="1" x14ac:dyDescent="0.25">
      <c r="A209" s="102">
        <v>46243.666666666664</v>
      </c>
      <c r="B209" s="97">
        <v>0.78912014166514077</v>
      </c>
      <c r="C209" s="97">
        <v>0.16604376292747</v>
      </c>
      <c r="D209" s="97"/>
      <c r="E209" s="97"/>
      <c r="F209" s="106">
        <v>46243.666666666664</v>
      </c>
      <c r="G209" s="97">
        <v>57.240811093648276</v>
      </c>
      <c r="H209" s="97">
        <v>22.594184247872576</v>
      </c>
      <c r="I209" s="97"/>
      <c r="J209" s="97"/>
    </row>
    <row r="210" spans="1:10" ht="15.75" customHeight="1" x14ac:dyDescent="0.25">
      <c r="A210" s="102">
        <v>46243.708333333336</v>
      </c>
      <c r="B210" s="97">
        <v>0.79378523429234815</v>
      </c>
      <c r="C210" s="97">
        <v>0.18561618477695072</v>
      </c>
      <c r="D210" s="97"/>
      <c r="E210" s="97"/>
      <c r="F210" s="106">
        <v>46243.708333333336</v>
      </c>
      <c r="G210" s="97">
        <v>57.04429817199707</v>
      </c>
      <c r="H210" s="97">
        <v>23.464128731738906</v>
      </c>
      <c r="I210" s="97"/>
      <c r="J210" s="97"/>
    </row>
    <row r="211" spans="1:10" ht="15.75" customHeight="1" x14ac:dyDescent="0.25">
      <c r="A211" s="102">
        <v>46243.75</v>
      </c>
      <c r="B211" s="97">
        <v>0.78730921745300286</v>
      </c>
      <c r="C211" s="97">
        <v>0.21138115015190112</v>
      </c>
      <c r="D211" s="97"/>
      <c r="E211" s="97"/>
      <c r="F211" s="106">
        <v>46243.75</v>
      </c>
      <c r="G211" s="97">
        <v>56.423948542277024</v>
      </c>
      <c r="H211" s="97">
        <v>23.590639921045117</v>
      </c>
      <c r="I211" s="97"/>
      <c r="J211" s="97"/>
    </row>
    <row r="212" spans="1:10" ht="15.75" customHeight="1" x14ac:dyDescent="0.25">
      <c r="A212" s="102">
        <v>46243.791666666664</v>
      </c>
      <c r="B212" s="97">
        <v>0.82577811507951648</v>
      </c>
      <c r="C212" s="97">
        <v>0.21261695386628388</v>
      </c>
      <c r="D212" s="97"/>
      <c r="E212" s="97"/>
      <c r="F212" s="106">
        <v>46243.791666666664</v>
      </c>
      <c r="G212" s="97">
        <v>60.146386786869591</v>
      </c>
      <c r="H212" s="97">
        <v>23.642037071258184</v>
      </c>
      <c r="I212" s="97"/>
      <c r="J212" s="97"/>
    </row>
    <row r="213" spans="1:10" ht="15.75" customHeight="1" x14ac:dyDescent="0.25">
      <c r="A213" s="102">
        <v>46243.833333333336</v>
      </c>
      <c r="B213" s="97">
        <v>0.82485528389612828</v>
      </c>
      <c r="C213" s="97">
        <v>0.20782743058656986</v>
      </c>
      <c r="D213" s="97"/>
      <c r="E213" s="97"/>
      <c r="F213" s="106">
        <v>46243.833333333336</v>
      </c>
      <c r="G213" s="97">
        <v>59.546404202779129</v>
      </c>
      <c r="H213" s="97">
        <v>23.714678275255345</v>
      </c>
      <c r="I213" s="97"/>
      <c r="J213" s="97"/>
    </row>
    <row r="214" spans="1:10" ht="15.75" customHeight="1" x14ac:dyDescent="0.25">
      <c r="A214" s="102">
        <v>46243.875</v>
      </c>
      <c r="B214" s="97">
        <v>0.79273803631464645</v>
      </c>
      <c r="C214" s="97">
        <v>0.20768164575335535</v>
      </c>
      <c r="D214" s="97"/>
      <c r="E214" s="97"/>
      <c r="F214" s="106">
        <v>46243.875</v>
      </c>
      <c r="G214" s="97">
        <v>57.402693812052405</v>
      </c>
      <c r="H214" s="97">
        <v>23.801450983808916</v>
      </c>
      <c r="I214" s="97"/>
      <c r="J214" s="97"/>
    </row>
    <row r="215" spans="1:10" ht="15.75" customHeight="1" x14ac:dyDescent="0.25">
      <c r="A215" s="102">
        <v>46243.916666666664</v>
      </c>
      <c r="B215" s="97">
        <v>0.75582088033358252</v>
      </c>
      <c r="C215" s="97">
        <v>0.19883703926335211</v>
      </c>
      <c r="D215" s="97"/>
      <c r="E215" s="97"/>
      <c r="F215" s="106">
        <v>46243.916666666664</v>
      </c>
      <c r="G215" s="97">
        <v>55.510007476806642</v>
      </c>
      <c r="H215" s="97">
        <v>23.940294362810757</v>
      </c>
      <c r="I215" s="97"/>
      <c r="J215" s="97"/>
    </row>
    <row r="216" spans="1:10" ht="15.75" customHeight="1" x14ac:dyDescent="0.25">
      <c r="A216" s="102">
        <v>46243.958333333336</v>
      </c>
      <c r="B216" s="97">
        <v>0.73250623146692917</v>
      </c>
      <c r="C216" s="97">
        <v>0.19376297265644604</v>
      </c>
      <c r="D216" s="97"/>
      <c r="E216" s="97"/>
      <c r="F216" s="106">
        <v>46243.958333333336</v>
      </c>
      <c r="G216" s="97">
        <v>54.244678497314453</v>
      </c>
      <c r="H216" s="97">
        <v>23.547243822233483</v>
      </c>
      <c r="I216" s="97"/>
      <c r="J216" s="97"/>
    </row>
    <row r="217" spans="1:10" ht="15.75" customHeight="1" x14ac:dyDescent="0.25">
      <c r="A217" s="102">
        <v>46244</v>
      </c>
      <c r="B217" s="97">
        <v>0.73114610115687051</v>
      </c>
      <c r="C217" s="97">
        <v>0.20174794181769073</v>
      </c>
      <c r="D217" s="97"/>
      <c r="E217" s="97"/>
      <c r="F217" s="106">
        <v>46244</v>
      </c>
      <c r="G217" s="97">
        <v>55.099459775288899</v>
      </c>
      <c r="H217" s="97">
        <v>23.497660278802805</v>
      </c>
      <c r="I217" s="97"/>
      <c r="J217" s="97"/>
    </row>
    <row r="218" spans="1:10" ht="15.75" customHeight="1" x14ac:dyDescent="0.25">
      <c r="A218" s="102">
        <v>46244.041666666664</v>
      </c>
      <c r="B218" s="97">
        <v>0.71911584734916689</v>
      </c>
      <c r="C218" s="97">
        <v>0.19486223891554144</v>
      </c>
      <c r="D218" s="97"/>
      <c r="E218" s="97"/>
      <c r="F218" s="106">
        <v>46244.041666666664</v>
      </c>
      <c r="G218" s="97">
        <v>54.423098754882815</v>
      </c>
      <c r="H218" s="97">
        <v>23.786574686940007</v>
      </c>
      <c r="I218" s="97"/>
      <c r="J218" s="97"/>
    </row>
    <row r="219" spans="1:10" ht="15.75" customHeight="1" x14ac:dyDescent="0.25">
      <c r="A219" s="102">
        <v>46244.083333333336</v>
      </c>
      <c r="B219" s="97">
        <v>0.72012440164883929</v>
      </c>
      <c r="C219" s="97">
        <v>0.17716199624915369</v>
      </c>
      <c r="D219" s="97"/>
      <c r="E219" s="97"/>
      <c r="F219" s="106">
        <v>46244.083333333336</v>
      </c>
      <c r="G219" s="97">
        <v>54.342997996012365</v>
      </c>
      <c r="H219" s="97">
        <v>24.165905887430362</v>
      </c>
      <c r="I219" s="97"/>
      <c r="J219" s="97"/>
    </row>
    <row r="220" spans="1:10" ht="15.75" customHeight="1" x14ac:dyDescent="0.25">
      <c r="A220" s="102">
        <v>46244.125</v>
      </c>
      <c r="B220" s="97">
        <v>0.7050302008787791</v>
      </c>
      <c r="C220" s="97">
        <v>0.17721801265897488</v>
      </c>
      <c r="D220" s="97"/>
      <c r="E220" s="97"/>
      <c r="F220" s="106">
        <v>46244.125</v>
      </c>
      <c r="G220" s="97">
        <v>53.11579780578613</v>
      </c>
      <c r="H220" s="97">
        <v>24.017742176772106</v>
      </c>
      <c r="I220" s="97"/>
      <c r="J220" s="97"/>
    </row>
    <row r="221" spans="1:10" ht="15.75" customHeight="1" x14ac:dyDescent="0.25">
      <c r="A221" s="102">
        <v>46244.166666666664</v>
      </c>
      <c r="B221" s="97">
        <v>0.73246706128120431</v>
      </c>
      <c r="C221" s="97">
        <v>0.18073547387075992</v>
      </c>
      <c r="D221" s="97"/>
      <c r="E221" s="97"/>
      <c r="F221" s="106">
        <v>46244.166666666664</v>
      </c>
      <c r="G221" s="97">
        <v>54.52894744873047</v>
      </c>
      <c r="H221" s="97">
        <v>23.826783968997095</v>
      </c>
      <c r="I221" s="97"/>
      <c r="J221" s="97"/>
    </row>
    <row r="222" spans="1:10" ht="15.75" customHeight="1" x14ac:dyDescent="0.25">
      <c r="A222" s="102">
        <v>46244.208333333336</v>
      </c>
      <c r="B222" s="97">
        <v>0.72786788145701087</v>
      </c>
      <c r="C222" s="97">
        <v>0.23932452711898816</v>
      </c>
      <c r="D222" s="97"/>
      <c r="E222" s="97"/>
      <c r="F222" s="106">
        <v>46244.208333333336</v>
      </c>
      <c r="G222" s="97">
        <v>53.100744819641108</v>
      </c>
      <c r="H222" s="97">
        <v>23.893866227078341</v>
      </c>
      <c r="I222" s="97"/>
      <c r="J222" s="97"/>
    </row>
    <row r="223" spans="1:10" ht="15.75" customHeight="1" x14ac:dyDescent="0.25">
      <c r="A223" s="102">
        <v>46244.25</v>
      </c>
      <c r="B223" s="97">
        <v>0.88155710323032366</v>
      </c>
      <c r="C223" s="97">
        <v>0.56888714091108727</v>
      </c>
      <c r="D223" s="97"/>
      <c r="E223" s="97"/>
      <c r="F223" s="106">
        <v>46244.25</v>
      </c>
      <c r="G223" s="97">
        <v>71.038272803170344</v>
      </c>
      <c r="H223" s="97">
        <v>23.409512975941531</v>
      </c>
      <c r="I223" s="97"/>
      <c r="J223" s="97"/>
    </row>
    <row r="224" spans="1:10" ht="15.75" customHeight="1" x14ac:dyDescent="0.25">
      <c r="A224" s="102">
        <v>46244.291666666664</v>
      </c>
      <c r="B224" s="97">
        <v>0.94292742609977709</v>
      </c>
      <c r="C224" s="97">
        <v>0.37052591180377326</v>
      </c>
      <c r="D224" s="97"/>
      <c r="E224" s="97"/>
      <c r="F224" s="106">
        <v>46244.291666666664</v>
      </c>
      <c r="G224" s="97">
        <v>87.086075973510745</v>
      </c>
      <c r="H224" s="97">
        <v>24.341204151334498</v>
      </c>
      <c r="I224" s="97"/>
      <c r="J224" s="97"/>
    </row>
    <row r="225" spans="1:10" ht="15.75" customHeight="1" x14ac:dyDescent="0.25">
      <c r="A225" s="102">
        <v>46244.333333333336</v>
      </c>
      <c r="B225" s="97">
        <v>0.94895684917767842</v>
      </c>
      <c r="C225" s="97">
        <v>0.44450457435351587</v>
      </c>
      <c r="D225" s="97"/>
      <c r="E225" s="97"/>
      <c r="F225" s="106">
        <v>46244.333333333336</v>
      </c>
      <c r="G225" s="97">
        <v>90.2374267578125</v>
      </c>
      <c r="H225" s="97">
        <v>25.490939970544208</v>
      </c>
      <c r="I225" s="97"/>
      <c r="J225" s="97"/>
    </row>
    <row r="226" spans="1:10" ht="15.75" customHeight="1" x14ac:dyDescent="0.25">
      <c r="A226" s="102">
        <v>46244.375</v>
      </c>
      <c r="B226" s="97">
        <v>0.95746758381525676</v>
      </c>
      <c r="C226" s="97">
        <v>0.41162335159985908</v>
      </c>
      <c r="D226" s="97"/>
      <c r="E226" s="97"/>
      <c r="F226" s="106">
        <v>46244.375</v>
      </c>
      <c r="G226" s="97">
        <v>117.10102106730143</v>
      </c>
      <c r="H226" s="97">
        <v>25.278906006115701</v>
      </c>
      <c r="I226" s="97"/>
      <c r="J226" s="97"/>
    </row>
    <row r="227" spans="1:10" ht="15.75" customHeight="1" x14ac:dyDescent="0.25">
      <c r="A227" s="102">
        <v>46244.416666666664</v>
      </c>
      <c r="B227" s="97">
        <v>0.96150604883829749</v>
      </c>
      <c r="C227" s="97">
        <v>0.37046017913007923</v>
      </c>
      <c r="D227" s="97"/>
      <c r="E227" s="97"/>
      <c r="F227" s="106">
        <v>46244.416666666664</v>
      </c>
      <c r="G227" s="97">
        <v>136.17963892618815</v>
      </c>
      <c r="H227" s="97">
        <v>23.731709308775045</v>
      </c>
      <c r="I227" s="97"/>
      <c r="J227" s="97"/>
    </row>
    <row r="228" spans="1:10" ht="15.75" customHeight="1" x14ac:dyDescent="0.25">
      <c r="A228" s="102">
        <v>46244.458333333336</v>
      </c>
      <c r="B228" s="97">
        <v>0.95902291735013323</v>
      </c>
      <c r="C228" s="97">
        <v>0.43720715943532501</v>
      </c>
      <c r="D228" s="97"/>
      <c r="E228" s="97"/>
      <c r="F228" s="106">
        <v>46244.458333333336</v>
      </c>
      <c r="G228" s="97">
        <v>125.54324607849121</v>
      </c>
      <c r="H228" s="97">
        <v>23.97154313679269</v>
      </c>
      <c r="I228" s="97"/>
      <c r="J228" s="97"/>
    </row>
    <row r="229" spans="1:10" ht="15.75" customHeight="1" x14ac:dyDescent="0.25">
      <c r="A229" s="102">
        <v>46244.5</v>
      </c>
      <c r="B229" s="97">
        <v>0.96577914555867517</v>
      </c>
      <c r="C229" s="97">
        <v>0.46190675044719409</v>
      </c>
      <c r="D229" s="97"/>
      <c r="E229" s="97"/>
      <c r="F229" s="106">
        <v>46244.5</v>
      </c>
      <c r="G229" s="97">
        <v>132.07737846374511</v>
      </c>
      <c r="H229" s="97">
        <v>24.765313287026327</v>
      </c>
      <c r="I229" s="97"/>
      <c r="J229" s="97"/>
    </row>
    <row r="230" spans="1:10" ht="15.75" customHeight="1" x14ac:dyDescent="0.25">
      <c r="A230" s="102">
        <v>46244.541666666664</v>
      </c>
      <c r="B230" s="97">
        <v>0.96058732271194458</v>
      </c>
      <c r="C230" s="97">
        <v>0.49892008952472522</v>
      </c>
      <c r="D230" s="97"/>
      <c r="E230" s="97"/>
      <c r="F230" s="106">
        <v>46244.541666666664</v>
      </c>
      <c r="G230" s="97">
        <v>124.30417455037434</v>
      </c>
      <c r="H230" s="97">
        <v>24.61643827102872</v>
      </c>
      <c r="I230" s="97"/>
      <c r="J230" s="97"/>
    </row>
    <row r="231" spans="1:10" ht="15.75" customHeight="1" x14ac:dyDescent="0.25">
      <c r="A231" s="102">
        <v>46244.583333333336</v>
      </c>
      <c r="B231" s="97">
        <v>0.96466173330942795</v>
      </c>
      <c r="C231" s="97">
        <v>0.4976709959181872</v>
      </c>
      <c r="D231" s="97"/>
      <c r="E231" s="97"/>
      <c r="F231" s="106">
        <v>46244.583333333336</v>
      </c>
      <c r="G231" s="97">
        <v>127.47448514302572</v>
      </c>
      <c r="H231" s="97">
        <v>25.337068576586578</v>
      </c>
      <c r="I231" s="97"/>
      <c r="J231" s="97"/>
    </row>
    <row r="232" spans="1:10" ht="15.75" customHeight="1" x14ac:dyDescent="0.25">
      <c r="A232" s="102">
        <v>46244.625</v>
      </c>
      <c r="B232" s="97">
        <v>0.96336160997549691</v>
      </c>
      <c r="C232" s="97">
        <v>0.57725791008811689</v>
      </c>
      <c r="D232" s="97"/>
      <c r="E232" s="97"/>
      <c r="F232" s="106">
        <v>46244.625</v>
      </c>
      <c r="G232" s="97">
        <v>114.18362884521486</v>
      </c>
      <c r="H232" s="97">
        <v>25.384824088439643</v>
      </c>
      <c r="I232" s="97"/>
      <c r="J232" s="97"/>
    </row>
    <row r="233" spans="1:10" ht="15.75" customHeight="1" x14ac:dyDescent="0.25">
      <c r="A233" s="102">
        <v>46244.666666666664</v>
      </c>
      <c r="B233" s="97">
        <v>0.96202512780825289</v>
      </c>
      <c r="C233" s="97">
        <v>0.65992042186703137</v>
      </c>
      <c r="D233" s="97"/>
      <c r="E233" s="97"/>
      <c r="F233" s="106">
        <v>46244.666666666664</v>
      </c>
      <c r="G233" s="97">
        <v>111.34196993509929</v>
      </c>
      <c r="H233" s="97">
        <v>26.080268271826945</v>
      </c>
      <c r="I233" s="97"/>
      <c r="J233" s="97"/>
    </row>
    <row r="234" spans="1:10" ht="15.75" customHeight="1" x14ac:dyDescent="0.25">
      <c r="A234" s="102">
        <v>46244.708333333336</v>
      </c>
      <c r="B234" s="97">
        <v>0.94460382759571071</v>
      </c>
      <c r="C234" s="97">
        <v>0.67099645922306506</v>
      </c>
      <c r="D234" s="97"/>
      <c r="E234" s="97"/>
      <c r="F234" s="106">
        <v>46244.708333333336</v>
      </c>
      <c r="G234" s="97">
        <v>103.80652618408203</v>
      </c>
      <c r="H234" s="97">
        <v>25.219756704074118</v>
      </c>
      <c r="I234" s="97"/>
      <c r="J234" s="97"/>
    </row>
    <row r="235" spans="1:10" ht="15.75" customHeight="1" x14ac:dyDescent="0.25">
      <c r="A235" s="102">
        <v>46244.75</v>
      </c>
      <c r="B235" s="97">
        <v>0.95798660566409422</v>
      </c>
      <c r="C235" s="97">
        <v>0.70028726350177406</v>
      </c>
      <c r="D235" s="97"/>
      <c r="E235" s="97"/>
      <c r="F235" s="106">
        <v>46244.75</v>
      </c>
      <c r="G235" s="97">
        <v>95.480991436186287</v>
      </c>
      <c r="H235" s="97">
        <v>27.077501355423756</v>
      </c>
      <c r="I235" s="97"/>
      <c r="J235" s="97"/>
    </row>
    <row r="236" spans="1:10" ht="15.75" customHeight="1" x14ac:dyDescent="0.25">
      <c r="A236" s="102">
        <v>46244.791666666664</v>
      </c>
      <c r="B236" s="97">
        <v>0.92482498288154602</v>
      </c>
      <c r="C236" s="97">
        <v>0.70669570653570501</v>
      </c>
      <c r="D236" s="97"/>
      <c r="E236" s="97"/>
      <c r="F236" s="106">
        <v>46244.791666666664</v>
      </c>
      <c r="G236" s="97">
        <v>89.307201385498047</v>
      </c>
      <c r="H236" s="97">
        <v>26.883874291959017</v>
      </c>
      <c r="I236" s="97"/>
      <c r="J236" s="97"/>
    </row>
    <row r="237" spans="1:10" ht="15.75" customHeight="1" x14ac:dyDescent="0.25">
      <c r="A237" s="102">
        <v>46244.833333333336</v>
      </c>
      <c r="B237" s="97">
        <v>0.91097860137621567</v>
      </c>
      <c r="C237" s="97">
        <v>0.78054652607488073</v>
      </c>
      <c r="D237" s="97"/>
      <c r="E237" s="97"/>
      <c r="F237" s="106">
        <v>46244.833333333336</v>
      </c>
      <c r="G237" s="97">
        <v>83.555405616760254</v>
      </c>
      <c r="H237" s="97">
        <v>33.868585855122141</v>
      </c>
      <c r="I237" s="97"/>
      <c r="J237" s="97"/>
    </row>
    <row r="238" spans="1:10" ht="15.75" customHeight="1" x14ac:dyDescent="0.25">
      <c r="A238" s="102">
        <v>46244.875</v>
      </c>
      <c r="B238" s="97">
        <v>0.81731289426485687</v>
      </c>
      <c r="C238" s="97">
        <v>0.71577820393878955</v>
      </c>
      <c r="D238" s="97"/>
      <c r="E238" s="97"/>
      <c r="F238" s="106">
        <v>46244.875</v>
      </c>
      <c r="G238" s="97">
        <v>60.098007392883304</v>
      </c>
      <c r="H238" s="97">
        <v>28.117762495877713</v>
      </c>
      <c r="I238" s="97"/>
      <c r="J238" s="97"/>
    </row>
    <row r="239" spans="1:10" ht="15.75" customHeight="1" x14ac:dyDescent="0.25">
      <c r="A239" s="102">
        <v>46244.916666666664</v>
      </c>
      <c r="B239" s="97">
        <v>0.80518770714600885</v>
      </c>
      <c r="C239" s="97">
        <v>0.65738592735627888</v>
      </c>
      <c r="D239" s="97"/>
      <c r="E239" s="97"/>
      <c r="F239" s="106">
        <v>46244.916666666664</v>
      </c>
      <c r="G239" s="97">
        <v>57.287607765197755</v>
      </c>
      <c r="H239" s="97">
        <v>26.245666505790982</v>
      </c>
      <c r="I239" s="97"/>
      <c r="J239" s="97"/>
    </row>
    <row r="240" spans="1:10" ht="15.75" customHeight="1" x14ac:dyDescent="0.25">
      <c r="A240" s="102">
        <v>46244.958333333336</v>
      </c>
      <c r="B240" s="97">
        <v>0.77949566841125484</v>
      </c>
      <c r="C240" s="97">
        <v>0.69405112471505115</v>
      </c>
      <c r="D240" s="97"/>
      <c r="E240" s="97"/>
      <c r="F240" s="106">
        <v>46244.958333333336</v>
      </c>
      <c r="G240" s="97">
        <v>55.966229883829754</v>
      </c>
      <c r="H240" s="97">
        <v>28.017162912919119</v>
      </c>
      <c r="I240" s="97"/>
      <c r="J240" s="97"/>
    </row>
    <row r="241" spans="1:10" ht="15.75" customHeight="1" x14ac:dyDescent="0.25">
      <c r="A241" s="102">
        <v>46245</v>
      </c>
      <c r="B241" s="97">
        <v>0.7870674312114716</v>
      </c>
      <c r="C241" s="97">
        <v>0.63042869050747785</v>
      </c>
      <c r="D241" s="97"/>
      <c r="E241" s="97"/>
      <c r="F241" s="106">
        <v>46245</v>
      </c>
      <c r="G241" s="97">
        <v>56.328743298848472</v>
      </c>
      <c r="H241" s="97">
        <v>25.693075866096105</v>
      </c>
      <c r="I241" s="97"/>
      <c r="J241" s="97"/>
    </row>
    <row r="242" spans="1:10" ht="15.75" customHeight="1" x14ac:dyDescent="0.25">
      <c r="A242" s="102">
        <v>46245.041666666664</v>
      </c>
      <c r="B242" s="97">
        <v>0.77543995181719461</v>
      </c>
      <c r="C242" s="97">
        <v>0.64758367076692847</v>
      </c>
      <c r="D242" s="97"/>
      <c r="E242" s="97"/>
      <c r="F242" s="106">
        <v>46245.041666666664</v>
      </c>
      <c r="G242" s="97">
        <v>56.150376319885254</v>
      </c>
      <c r="H242" s="97">
        <v>27.327704986564726</v>
      </c>
      <c r="I242" s="97"/>
      <c r="J242" s="97"/>
    </row>
    <row r="243" spans="1:10" ht="15.75" customHeight="1" x14ac:dyDescent="0.25">
      <c r="A243" s="102">
        <v>46245.083333333336</v>
      </c>
      <c r="B243" s="97">
        <v>0.75990377465883885</v>
      </c>
      <c r="C243" s="97">
        <v>0.84373417638036097</v>
      </c>
      <c r="D243" s="97"/>
      <c r="E243" s="97"/>
      <c r="F243" s="106">
        <v>46245.083333333336</v>
      </c>
      <c r="G243" s="97">
        <v>55.204397900899252</v>
      </c>
      <c r="H243" s="97">
        <v>45.224526190475039</v>
      </c>
      <c r="I243" s="97"/>
      <c r="J243" s="97"/>
    </row>
    <row r="244" spans="1:10" ht="15.75" customHeight="1" x14ac:dyDescent="0.25">
      <c r="A244" s="102">
        <v>46245.125</v>
      </c>
      <c r="B244" s="97">
        <v>0.7654924452304841</v>
      </c>
      <c r="C244" s="97">
        <v>0.65156346312153479</v>
      </c>
      <c r="D244" s="97"/>
      <c r="E244" s="97"/>
      <c r="F244" s="106">
        <v>46245.125</v>
      </c>
      <c r="G244" s="97">
        <v>54.652735455830893</v>
      </c>
      <c r="H244" s="97">
        <v>30.373389672856089</v>
      </c>
      <c r="I244" s="97"/>
      <c r="J244" s="97"/>
    </row>
    <row r="245" spans="1:10" ht="15.75" customHeight="1" x14ac:dyDescent="0.25">
      <c r="A245" s="102">
        <v>46245.166666666664</v>
      </c>
      <c r="B245" s="97">
        <v>0.75855511029561362</v>
      </c>
      <c r="C245" s="97">
        <v>0.59994447042819543</v>
      </c>
      <c r="D245" s="97"/>
      <c r="E245" s="97"/>
      <c r="F245" s="106">
        <v>46245.166666666664</v>
      </c>
      <c r="G245" s="97">
        <v>54.573153813680015</v>
      </c>
      <c r="H245" s="97">
        <v>26.487434097900689</v>
      </c>
      <c r="I245" s="97"/>
      <c r="J245" s="97"/>
    </row>
    <row r="246" spans="1:10" ht="15.75" customHeight="1" x14ac:dyDescent="0.25">
      <c r="A246" s="102">
        <v>46245.208333333336</v>
      </c>
      <c r="B246" s="97">
        <v>0.76722354094187417</v>
      </c>
      <c r="C246" s="97">
        <v>0.88819349065364117</v>
      </c>
      <c r="D246" s="97"/>
      <c r="E246" s="97"/>
      <c r="F246" s="106">
        <v>46245.208333333336</v>
      </c>
      <c r="G246" s="97">
        <v>53.626264890034989</v>
      </c>
      <c r="H246" s="97">
        <v>47.546789112769574</v>
      </c>
      <c r="I246" s="97"/>
      <c r="J246" s="97"/>
    </row>
    <row r="247" spans="1:10" ht="15.75" customHeight="1" x14ac:dyDescent="0.25">
      <c r="A247" s="102">
        <v>46245.25</v>
      </c>
      <c r="B247" s="97">
        <v>0.87414259853817167</v>
      </c>
      <c r="C247" s="97">
        <v>0.62776955131721113</v>
      </c>
      <c r="D247" s="97"/>
      <c r="E247" s="97"/>
      <c r="F247" s="106">
        <v>46245.25</v>
      </c>
      <c r="G247" s="97">
        <v>75.274083373660133</v>
      </c>
      <c r="H247" s="97">
        <v>25.250773650384232</v>
      </c>
      <c r="I247" s="97"/>
      <c r="J247" s="97"/>
    </row>
    <row r="248" spans="1:10" ht="15.75" customHeight="1" x14ac:dyDescent="0.25">
      <c r="A248" s="102">
        <v>46245.291666666664</v>
      </c>
      <c r="B248" s="97">
        <v>0.92229646643002827</v>
      </c>
      <c r="C248" s="97">
        <v>0.46543939806255902</v>
      </c>
      <c r="D248" s="97"/>
      <c r="E248" s="97"/>
      <c r="F248" s="106">
        <v>46245.291666666664</v>
      </c>
      <c r="G248" s="97">
        <v>92.348574956258147</v>
      </c>
      <c r="H248" s="97">
        <v>24.08564809942434</v>
      </c>
      <c r="I248" s="97"/>
      <c r="J248" s="97"/>
    </row>
    <row r="249" spans="1:10" ht="15.75" customHeight="1" x14ac:dyDescent="0.25">
      <c r="A249" s="102">
        <v>46245.333333333336</v>
      </c>
      <c r="B249" s="97">
        <v>0.92283269564310721</v>
      </c>
      <c r="C249" s="97">
        <v>0.40642234606469568</v>
      </c>
      <c r="D249" s="97"/>
      <c r="E249" s="97"/>
      <c r="F249" s="106">
        <v>46245.333333333336</v>
      </c>
      <c r="G249" s="97">
        <v>92.453344599405924</v>
      </c>
      <c r="H249" s="97">
        <v>25.448006080544513</v>
      </c>
      <c r="I249" s="97"/>
      <c r="J249" s="97"/>
    </row>
    <row r="250" spans="1:10" ht="15.75" customHeight="1" x14ac:dyDescent="0.25">
      <c r="A250" s="102">
        <v>46245.375</v>
      </c>
      <c r="B250" s="97">
        <v>0.96370878616968791</v>
      </c>
      <c r="C250" s="97">
        <v>0.43758073743624182</v>
      </c>
      <c r="D250" s="97"/>
      <c r="E250" s="97"/>
      <c r="F250" s="106">
        <v>46245.375</v>
      </c>
      <c r="G250" s="97">
        <v>131.1255803426107</v>
      </c>
      <c r="H250" s="97">
        <v>25.456036952173285</v>
      </c>
      <c r="I250" s="97"/>
      <c r="J250" s="97"/>
    </row>
    <row r="251" spans="1:10" ht="15.75" customHeight="1" x14ac:dyDescent="0.25">
      <c r="A251" s="102">
        <v>46245.416666666664</v>
      </c>
      <c r="B251" s="97">
        <v>0.96500595211982731</v>
      </c>
      <c r="C251" s="97">
        <v>0.41430803255836957</v>
      </c>
      <c r="D251" s="97"/>
      <c r="E251" s="97"/>
      <c r="F251" s="106">
        <v>46245.416666666664</v>
      </c>
      <c r="G251" s="97">
        <v>139.60378023783369</v>
      </c>
      <c r="H251" s="97">
        <v>24.111123357365727</v>
      </c>
      <c r="I251" s="97"/>
      <c r="J251" s="97"/>
    </row>
    <row r="252" spans="1:10" ht="15.75" customHeight="1" x14ac:dyDescent="0.25">
      <c r="A252" s="102">
        <v>46245.458333333336</v>
      </c>
      <c r="B252" s="97">
        <v>0.96531670093536381</v>
      </c>
      <c r="C252" s="97">
        <v>0.44975262132322363</v>
      </c>
      <c r="D252" s="97"/>
      <c r="E252" s="97"/>
      <c r="F252" s="106">
        <v>46245.458333333336</v>
      </c>
      <c r="G252" s="97">
        <v>131.88583081563314</v>
      </c>
      <c r="H252" s="97">
        <v>25.328517716863878</v>
      </c>
      <c r="I252" s="97"/>
      <c r="J252" s="97"/>
    </row>
    <row r="253" spans="1:10" ht="15.75" customHeight="1" x14ac:dyDescent="0.25">
      <c r="A253" s="102">
        <v>46245.5</v>
      </c>
      <c r="B253" s="97">
        <v>0.96832347313563027</v>
      </c>
      <c r="C253" s="97">
        <v>0.47767492522128485</v>
      </c>
      <c r="D253" s="97"/>
      <c r="E253" s="97"/>
      <c r="F253" s="106">
        <v>46245.5</v>
      </c>
      <c r="G253" s="97">
        <v>129.72288983662924</v>
      </c>
      <c r="H253" s="97">
        <v>25.869395019508634</v>
      </c>
      <c r="I253" s="97"/>
      <c r="J253" s="97"/>
    </row>
    <row r="254" spans="1:10" ht="15.75" customHeight="1" x14ac:dyDescent="0.25">
      <c r="A254" s="102">
        <v>46245.541666666664</v>
      </c>
      <c r="B254" s="97">
        <v>0.97048149108886717</v>
      </c>
      <c r="C254" s="97">
        <v>0.56518497232627496</v>
      </c>
      <c r="D254" s="97"/>
      <c r="E254" s="97"/>
      <c r="F254" s="106">
        <v>46245.541666666664</v>
      </c>
      <c r="G254" s="97">
        <v>123.50127360026042</v>
      </c>
      <c r="H254" s="97">
        <v>26.877334635248296</v>
      </c>
      <c r="I254" s="97"/>
      <c r="J254" s="97"/>
    </row>
    <row r="255" spans="1:10" ht="15.75" customHeight="1" x14ac:dyDescent="0.25">
      <c r="A255" s="102">
        <v>46245.583333333336</v>
      </c>
      <c r="B255" s="97">
        <v>0.97749340633551274</v>
      </c>
      <c r="C255" s="97">
        <v>0.48561800068075006</v>
      </c>
      <c r="D255" s="97"/>
      <c r="E255" s="97"/>
      <c r="F255" s="106">
        <v>46245.583333333336</v>
      </c>
      <c r="G255" s="97">
        <v>136.51035792032877</v>
      </c>
      <c r="H255" s="97">
        <v>24.864125046334248</v>
      </c>
      <c r="I255" s="97"/>
      <c r="J255" s="97"/>
    </row>
    <row r="256" spans="1:10" ht="15.75" customHeight="1" x14ac:dyDescent="0.25">
      <c r="A256" s="102">
        <v>46245.625</v>
      </c>
      <c r="B256" s="97">
        <v>0.974645772576332</v>
      </c>
      <c r="C256" s="97">
        <v>0.49247298410287488</v>
      </c>
      <c r="D256" s="97"/>
      <c r="E256" s="97"/>
      <c r="F256" s="106">
        <v>46245.625</v>
      </c>
      <c r="G256" s="97">
        <v>131.5522555033366</v>
      </c>
      <c r="H256" s="97">
        <v>25.086019793989159</v>
      </c>
      <c r="I256" s="97"/>
      <c r="J256" s="97"/>
    </row>
    <row r="257" spans="1:10" ht="15.75" customHeight="1" x14ac:dyDescent="0.25">
      <c r="A257" s="102">
        <v>46245.666666666664</v>
      </c>
      <c r="B257" s="97">
        <v>0.97344074348608656</v>
      </c>
      <c r="C257" s="97">
        <v>0.50266896582874854</v>
      </c>
      <c r="D257" s="97"/>
      <c r="E257" s="97"/>
      <c r="F257" s="106">
        <v>46245.666666666664</v>
      </c>
      <c r="G257" s="97">
        <v>128.82830454508462</v>
      </c>
      <c r="H257" s="97">
        <v>25.884704636019681</v>
      </c>
      <c r="I257" s="97"/>
      <c r="J257" s="97"/>
    </row>
    <row r="258" spans="1:10" ht="15.75" customHeight="1" x14ac:dyDescent="0.25">
      <c r="A258" s="102">
        <v>46245.708333333336</v>
      </c>
      <c r="B258" s="97">
        <v>0.96899008750915527</v>
      </c>
      <c r="C258" s="97">
        <v>0.61449047281101288</v>
      </c>
      <c r="D258" s="97"/>
      <c r="E258" s="97"/>
      <c r="F258" s="106">
        <v>46245.708333333336</v>
      </c>
      <c r="G258" s="97">
        <v>118.69695930480957</v>
      </c>
      <c r="H258" s="97">
        <v>24.742223677427873</v>
      </c>
      <c r="I258" s="97"/>
      <c r="J258" s="97"/>
    </row>
    <row r="259" spans="1:10" ht="15.75" customHeight="1" x14ac:dyDescent="0.25">
      <c r="A259" s="102">
        <v>46245.75</v>
      </c>
      <c r="B259" s="97">
        <v>0.96325534184773765</v>
      </c>
      <c r="C259" s="97">
        <v>0.66766034420064313</v>
      </c>
      <c r="D259" s="97"/>
      <c r="E259" s="97"/>
      <c r="F259" s="106">
        <v>46245.75</v>
      </c>
      <c r="G259" s="97">
        <v>106.21803220113119</v>
      </c>
      <c r="H259" s="97">
        <v>25.673038829456679</v>
      </c>
      <c r="I259" s="97"/>
      <c r="J259" s="97"/>
    </row>
    <row r="260" spans="1:10" ht="15.75" customHeight="1" x14ac:dyDescent="0.25">
      <c r="A260" s="102">
        <v>46245.791666666664</v>
      </c>
      <c r="B260" s="97">
        <v>0.92677717634609769</v>
      </c>
      <c r="C260" s="97">
        <v>0.67594953988616169</v>
      </c>
      <c r="D260" s="97"/>
      <c r="E260" s="97"/>
      <c r="F260" s="106">
        <v>46245.791666666664</v>
      </c>
      <c r="G260" s="97">
        <v>87.166345787048343</v>
      </c>
      <c r="H260" s="97">
        <v>26.541100207995992</v>
      </c>
      <c r="I260" s="97"/>
      <c r="J260" s="97"/>
    </row>
    <row r="261" spans="1:10" ht="15.75" customHeight="1" x14ac:dyDescent="0.25">
      <c r="A261" s="102">
        <v>46245.833333333336</v>
      </c>
      <c r="B261" s="97">
        <v>0.87760886003573735</v>
      </c>
      <c r="C261" s="97">
        <v>0.75248501122940203</v>
      </c>
      <c r="D261" s="97"/>
      <c r="E261" s="97"/>
      <c r="F261" s="106">
        <v>46245.833333333336</v>
      </c>
      <c r="G261" s="97">
        <v>72.781926925977075</v>
      </c>
      <c r="H261" s="97">
        <v>30.597060613481425</v>
      </c>
      <c r="I261" s="97"/>
      <c r="J261" s="97"/>
    </row>
    <row r="262" spans="1:10" ht="15.75" customHeight="1" x14ac:dyDescent="0.25">
      <c r="A262" s="102">
        <v>46245.875</v>
      </c>
      <c r="B262" s="97">
        <v>0.83774641950925188</v>
      </c>
      <c r="C262" s="97">
        <v>0.69543590240563335</v>
      </c>
      <c r="D262" s="97"/>
      <c r="E262" s="97"/>
      <c r="F262" s="106">
        <v>46245.875</v>
      </c>
      <c r="G262" s="97">
        <v>62.335255114237469</v>
      </c>
      <c r="H262" s="97">
        <v>28.240421468561344</v>
      </c>
      <c r="I262" s="97"/>
      <c r="J262" s="97"/>
    </row>
    <row r="263" spans="1:10" ht="15.75" customHeight="1" x14ac:dyDescent="0.25">
      <c r="A263" s="102">
        <v>46245.916666666664</v>
      </c>
      <c r="B263" s="97">
        <v>0.82826746503512061</v>
      </c>
      <c r="C263" s="97">
        <v>0.65685252762830304</v>
      </c>
      <c r="D263" s="97"/>
      <c r="E263" s="97"/>
      <c r="F263" s="106">
        <v>46245.916666666664</v>
      </c>
      <c r="G263" s="97">
        <v>61.183677482604978</v>
      </c>
      <c r="H263" s="97">
        <v>28.448003613430522</v>
      </c>
      <c r="I263" s="97"/>
      <c r="J263" s="97"/>
    </row>
    <row r="264" spans="1:10" ht="15.75" customHeight="1" x14ac:dyDescent="0.25">
      <c r="A264" s="102">
        <v>46245.958333333336</v>
      </c>
      <c r="B264" s="97">
        <v>0.81619902253150944</v>
      </c>
      <c r="C264" s="97">
        <v>0.8022905965685373</v>
      </c>
      <c r="D264" s="97"/>
      <c r="E264" s="97"/>
      <c r="F264" s="106">
        <v>46245.958333333336</v>
      </c>
      <c r="G264" s="97">
        <v>60.095126024881999</v>
      </c>
      <c r="H264" s="97">
        <v>36.759265885522716</v>
      </c>
      <c r="I264" s="97"/>
      <c r="J264" s="97"/>
    </row>
    <row r="265" spans="1:10" ht="15.75" customHeight="1" x14ac:dyDescent="0.25">
      <c r="A265" s="102">
        <v>46246</v>
      </c>
      <c r="B265" s="97">
        <v>0.80193495551745098</v>
      </c>
      <c r="C265" s="97">
        <v>0.70193636859122943</v>
      </c>
      <c r="D265" s="97"/>
      <c r="E265" s="97"/>
      <c r="F265" s="106">
        <v>46246</v>
      </c>
      <c r="G265" s="97">
        <v>59.469082578023276</v>
      </c>
      <c r="H265" s="97">
        <v>29.137614215315566</v>
      </c>
      <c r="I265" s="97"/>
      <c r="J265" s="97"/>
    </row>
    <row r="266" spans="1:10" ht="15.75" customHeight="1" x14ac:dyDescent="0.25">
      <c r="A266" s="102">
        <v>46246.041666666664</v>
      </c>
      <c r="B266" s="97">
        <v>0.80188724597295125</v>
      </c>
      <c r="C266" s="97">
        <v>0.74187360544920899</v>
      </c>
      <c r="D266" s="97"/>
      <c r="E266" s="97"/>
      <c r="F266" s="106">
        <v>46246.041666666664</v>
      </c>
      <c r="G266" s="97">
        <v>59.534804725646978</v>
      </c>
      <c r="H266" s="97">
        <v>31.754626147831857</v>
      </c>
      <c r="I266" s="97"/>
      <c r="J266" s="97"/>
    </row>
    <row r="267" spans="1:10" ht="15.75" customHeight="1" x14ac:dyDescent="0.25">
      <c r="A267" s="102">
        <v>46246.083333333336</v>
      </c>
      <c r="B267" s="97">
        <v>0.77825635472933463</v>
      </c>
      <c r="C267" s="97">
        <v>0.72906308323733904</v>
      </c>
      <c r="D267" s="97"/>
      <c r="E267" s="97"/>
      <c r="F267" s="106">
        <v>46246.083333333336</v>
      </c>
      <c r="G267" s="97">
        <v>58.102203432718909</v>
      </c>
      <c r="H267" s="97">
        <v>30.425598070084341</v>
      </c>
      <c r="I267" s="97"/>
      <c r="J267" s="97"/>
    </row>
    <row r="268" spans="1:10" ht="15.75" customHeight="1" x14ac:dyDescent="0.25">
      <c r="A268" s="102">
        <v>46246.125</v>
      </c>
      <c r="B268" s="97">
        <v>0.78871251145998633</v>
      </c>
      <c r="C268" s="97">
        <v>0.59030480040863087</v>
      </c>
      <c r="D268" s="97"/>
      <c r="E268" s="97"/>
      <c r="F268" s="106">
        <v>46246.125</v>
      </c>
      <c r="G268" s="97">
        <v>57.584119606018071</v>
      </c>
      <c r="H268" s="97">
        <v>25.303654508628391</v>
      </c>
      <c r="I268" s="97"/>
      <c r="J268" s="97"/>
    </row>
    <row r="269" spans="1:10" ht="15.75" customHeight="1" x14ac:dyDescent="0.25">
      <c r="A269" s="102">
        <v>46246.166666666664</v>
      </c>
      <c r="B269" s="97">
        <v>0.77589910626411429</v>
      </c>
      <c r="C269" s="97">
        <v>0.74927702304638422</v>
      </c>
      <c r="D269" s="97"/>
      <c r="E269" s="97"/>
      <c r="F269" s="106">
        <v>46246.166666666664</v>
      </c>
      <c r="G269" s="97">
        <v>56.094799168904622</v>
      </c>
      <c r="H269" s="97">
        <v>34.878851680416361</v>
      </c>
      <c r="I269" s="97"/>
      <c r="J269" s="97"/>
    </row>
    <row r="270" spans="1:10" ht="15.75" customHeight="1" x14ac:dyDescent="0.25">
      <c r="A270" s="102">
        <v>46246.208333333336</v>
      </c>
      <c r="B270" s="97">
        <v>0.79104896187782292</v>
      </c>
      <c r="C270" s="97">
        <v>0.88183364407582721</v>
      </c>
      <c r="D270" s="97"/>
      <c r="E270" s="97"/>
      <c r="F270" s="106">
        <v>46246.208333333336</v>
      </c>
      <c r="G270" s="97">
        <v>55.634268633524577</v>
      </c>
      <c r="H270" s="97">
        <v>45.186539450181797</v>
      </c>
      <c r="I270" s="97"/>
      <c r="J270" s="97"/>
    </row>
    <row r="271" spans="1:10" ht="15.75" customHeight="1" x14ac:dyDescent="0.25">
      <c r="A271" s="102">
        <v>46246.25</v>
      </c>
      <c r="B271" s="97">
        <v>0.88450294335683188</v>
      </c>
      <c r="C271" s="97">
        <v>0.59829692825262715</v>
      </c>
      <c r="D271" s="97"/>
      <c r="E271" s="97"/>
      <c r="F271" s="106">
        <v>46246.25</v>
      </c>
      <c r="G271" s="97">
        <v>79.007955678304029</v>
      </c>
      <c r="H271" s="97">
        <v>26.183944939624652</v>
      </c>
      <c r="I271" s="97"/>
      <c r="J271" s="97"/>
    </row>
    <row r="272" spans="1:10" ht="15.75" customHeight="1" x14ac:dyDescent="0.25">
      <c r="A272" s="102">
        <v>46246.291666666664</v>
      </c>
      <c r="B272" s="97">
        <v>0.91977317900884725</v>
      </c>
      <c r="C272" s="97">
        <v>0.35214104055687301</v>
      </c>
      <c r="D272" s="97"/>
      <c r="E272" s="97"/>
      <c r="F272" s="106">
        <v>46246.291666666664</v>
      </c>
      <c r="G272" s="97">
        <v>90.672001838684082</v>
      </c>
      <c r="H272" s="97">
        <v>24.081252244905858</v>
      </c>
      <c r="I272" s="97"/>
      <c r="J272" s="97"/>
    </row>
    <row r="273" spans="1:10" ht="15.75" customHeight="1" x14ac:dyDescent="0.25">
      <c r="A273" s="102">
        <v>46246.333333333336</v>
      </c>
      <c r="B273" s="97">
        <v>0.93996252814928682</v>
      </c>
      <c r="C273" s="97">
        <v>0.43329916639462718</v>
      </c>
      <c r="D273" s="97"/>
      <c r="E273" s="97"/>
      <c r="F273" s="106">
        <v>46246.333333333336</v>
      </c>
      <c r="G273" s="97">
        <v>103.16633008321128</v>
      </c>
      <c r="H273" s="97">
        <v>24.701205234826972</v>
      </c>
      <c r="I273" s="97"/>
      <c r="J273" s="97"/>
    </row>
    <row r="274" spans="1:10" ht="15.75" customHeight="1" x14ac:dyDescent="0.25">
      <c r="A274" s="102">
        <v>46246.375</v>
      </c>
      <c r="B274" s="97">
        <v>0.95628321965535479</v>
      </c>
      <c r="C274" s="97">
        <v>0.42583558782051678</v>
      </c>
      <c r="D274" s="97"/>
      <c r="E274" s="97"/>
      <c r="F274" s="106">
        <v>46246.375</v>
      </c>
      <c r="G274" s="97">
        <v>123.12187372843425</v>
      </c>
      <c r="H274" s="97">
        <v>25.67847676050993</v>
      </c>
      <c r="I274" s="97"/>
      <c r="J274" s="97"/>
    </row>
    <row r="275" spans="1:10" ht="15.75" customHeight="1" x14ac:dyDescent="0.25">
      <c r="A275" s="102">
        <v>46246.416666666664</v>
      </c>
      <c r="B275" s="97">
        <v>0.96982913414637251</v>
      </c>
      <c r="C275" s="97">
        <v>0.3347868990050003</v>
      </c>
      <c r="D275" s="97"/>
      <c r="E275" s="97"/>
      <c r="F275" s="106">
        <v>46246.416666666664</v>
      </c>
      <c r="G275" s="97">
        <v>137.06915181477865</v>
      </c>
      <c r="H275" s="97">
        <v>24.199108130375858</v>
      </c>
      <c r="I275" s="97"/>
      <c r="J275" s="97"/>
    </row>
    <row r="276" spans="1:10" ht="15.75" customHeight="1" x14ac:dyDescent="0.25">
      <c r="A276" s="102">
        <v>46246.458333333336</v>
      </c>
      <c r="B276" s="97">
        <v>0.72335345149040231</v>
      </c>
      <c r="C276" s="97">
        <v>0.45605283685529185</v>
      </c>
      <c r="D276" s="97"/>
      <c r="E276" s="97"/>
      <c r="F276" s="106">
        <v>46246.458333333336</v>
      </c>
      <c r="G276" s="97">
        <v>99.084344641367593</v>
      </c>
      <c r="H276" s="97">
        <v>23.713012671659115</v>
      </c>
      <c r="I276" s="97"/>
      <c r="J276" s="97"/>
    </row>
    <row r="277" spans="1:10" ht="15.75" customHeight="1" x14ac:dyDescent="0.25">
      <c r="A277" s="102">
        <v>46246.5</v>
      </c>
      <c r="B277" s="97">
        <v>6.4684013525644936E-3</v>
      </c>
      <c r="C277" s="97">
        <v>0.40668196599238476</v>
      </c>
      <c r="D277" s="97"/>
      <c r="E277" s="97"/>
      <c r="F277" s="106">
        <v>46246.5</v>
      </c>
      <c r="G277" s="97">
        <v>9.2127732594807945</v>
      </c>
      <c r="H277" s="97">
        <v>24.867242325907167</v>
      </c>
      <c r="I277" s="97"/>
      <c r="J277" s="97"/>
    </row>
    <row r="278" spans="1:10" ht="15.75" customHeight="1" x14ac:dyDescent="0.25">
      <c r="A278" s="102">
        <v>46246.541666666664</v>
      </c>
      <c r="B278" s="97">
        <v>0</v>
      </c>
      <c r="C278" s="97">
        <v>0.34297397385237244</v>
      </c>
      <c r="D278" s="97"/>
      <c r="E278" s="97"/>
      <c r="F278" s="106">
        <v>46246.541666666664</v>
      </c>
      <c r="G278" s="97">
        <v>0</v>
      </c>
      <c r="H278" s="97">
        <v>24.451550950174745</v>
      </c>
      <c r="I278" s="97"/>
      <c r="J278" s="97"/>
    </row>
    <row r="279" spans="1:10" ht="15.75" customHeight="1" x14ac:dyDescent="0.25">
      <c r="A279" s="102">
        <v>46246.583333333336</v>
      </c>
      <c r="B279" s="97">
        <v>0.92978974713219531</v>
      </c>
      <c r="C279" s="97">
        <v>0.37895998394065228</v>
      </c>
      <c r="D279" s="97"/>
      <c r="E279" s="97"/>
      <c r="F279" s="106">
        <v>46246.583333333336</v>
      </c>
      <c r="G279" s="97">
        <v>66.173214085896802</v>
      </c>
      <c r="H279" s="97">
        <v>24.768897734140687</v>
      </c>
      <c r="I279" s="97"/>
      <c r="J279" s="97"/>
    </row>
    <row r="280" spans="1:10" ht="15.75" customHeight="1" x14ac:dyDescent="0.25">
      <c r="A280" s="102">
        <v>46246.625</v>
      </c>
      <c r="B280" s="97">
        <v>0.96842646201451621</v>
      </c>
      <c r="C280" s="97">
        <v>0.42016904656830512</v>
      </c>
      <c r="D280" s="97"/>
      <c r="E280" s="97"/>
      <c r="F280" s="106">
        <v>46246.625</v>
      </c>
      <c r="G280" s="97">
        <v>139.75594189961748</v>
      </c>
      <c r="H280" s="97">
        <v>26.365969621145677</v>
      </c>
      <c r="I280" s="97"/>
      <c r="J280" s="97"/>
    </row>
    <row r="281" spans="1:10" ht="15.75" customHeight="1" x14ac:dyDescent="0.25">
      <c r="A281" s="102">
        <v>46246.666666666664</v>
      </c>
      <c r="B281" s="97">
        <v>0.96239068508148196</v>
      </c>
      <c r="C281" s="97">
        <v>0.61459897888507764</v>
      </c>
      <c r="D281" s="97"/>
      <c r="E281" s="97"/>
      <c r="F281" s="106">
        <v>46246.666666666664</v>
      </c>
      <c r="G281" s="97">
        <v>131.38943176269532</v>
      </c>
      <c r="H281" s="97">
        <v>28.03897300445044</v>
      </c>
      <c r="I281" s="97"/>
      <c r="J281" s="97"/>
    </row>
    <row r="282" spans="1:10" ht="15.75" customHeight="1" x14ac:dyDescent="0.25">
      <c r="A282" s="102">
        <v>46246.708333333336</v>
      </c>
      <c r="B282" s="97">
        <v>0.53914455007284112</v>
      </c>
      <c r="C282" s="97">
        <v>0.66122466979526251</v>
      </c>
      <c r="D282" s="97"/>
      <c r="E282" s="97"/>
      <c r="F282" s="106">
        <v>46246.708333333336</v>
      </c>
      <c r="G282" s="97">
        <v>72.79132815996806</v>
      </c>
      <c r="H282" s="97">
        <v>26.987987435382344</v>
      </c>
      <c r="I282" s="97"/>
      <c r="J282" s="97"/>
    </row>
    <row r="283" spans="1:10" ht="15.75" customHeight="1" x14ac:dyDescent="0.25">
      <c r="A283" s="102">
        <v>46246.75</v>
      </c>
      <c r="B283" s="97">
        <v>0.96006248195966082</v>
      </c>
      <c r="C283" s="97">
        <v>0.73347494771829236</v>
      </c>
      <c r="D283" s="97"/>
      <c r="E283" s="97"/>
      <c r="F283" s="106">
        <v>46246.75</v>
      </c>
      <c r="G283" s="97">
        <v>112.39172248840332</v>
      </c>
      <c r="H283" s="97">
        <v>28.858670156463802</v>
      </c>
      <c r="I283" s="97"/>
      <c r="J283" s="97"/>
    </row>
    <row r="284" spans="1:10" ht="15.75" customHeight="1" x14ac:dyDescent="0.25">
      <c r="A284" s="102">
        <v>46246.791666666664</v>
      </c>
      <c r="B284" s="97">
        <v>0.93885058446654257</v>
      </c>
      <c r="C284" s="97">
        <v>0.76584023349134345</v>
      </c>
      <c r="D284" s="97"/>
      <c r="E284" s="97"/>
      <c r="F284" s="106">
        <v>46246.791666666664</v>
      </c>
      <c r="G284" s="97">
        <v>103.30460827691215</v>
      </c>
      <c r="H284" s="97">
        <v>29.82174002982882</v>
      </c>
      <c r="I284" s="97"/>
      <c r="J284" s="97"/>
    </row>
    <row r="285" spans="1:10" ht="15.75" customHeight="1" x14ac:dyDescent="0.25">
      <c r="A285" s="102">
        <v>46246.833333333336</v>
      </c>
      <c r="B285" s="97">
        <v>0.8917685667673747</v>
      </c>
      <c r="C285" s="97">
        <v>0.74452721760442619</v>
      </c>
      <c r="D285" s="97"/>
      <c r="E285" s="97"/>
      <c r="F285" s="106">
        <v>46246.833333333336</v>
      </c>
      <c r="G285" s="97">
        <v>83.450082906087246</v>
      </c>
      <c r="H285" s="97">
        <v>30.641169572536182</v>
      </c>
      <c r="I285" s="97"/>
      <c r="J285" s="97"/>
    </row>
    <row r="286" spans="1:10" ht="15.75" customHeight="1" x14ac:dyDescent="0.25">
      <c r="A286" s="102">
        <v>46246.875</v>
      </c>
      <c r="B286" s="97">
        <v>0.82153332034746795</v>
      </c>
      <c r="C286" s="97">
        <v>0.7197252811179331</v>
      </c>
      <c r="D286" s="97"/>
      <c r="E286" s="97"/>
      <c r="F286" s="106">
        <v>46246.875</v>
      </c>
      <c r="G286" s="97">
        <v>65.833084360758463</v>
      </c>
      <c r="H286" s="97">
        <v>28.875080577940807</v>
      </c>
      <c r="I286" s="97"/>
      <c r="J286" s="97"/>
    </row>
    <row r="287" spans="1:10" ht="15.75" customHeight="1" x14ac:dyDescent="0.25">
      <c r="A287" s="102">
        <v>46246.916666666664</v>
      </c>
      <c r="B287" s="97">
        <v>0.8215843121210733</v>
      </c>
      <c r="C287" s="97">
        <v>0.79556840440265741</v>
      </c>
      <c r="D287" s="97"/>
      <c r="E287" s="97"/>
      <c r="F287" s="106">
        <v>46246.916666666664</v>
      </c>
      <c r="G287" s="97">
        <v>56.978259849548344</v>
      </c>
      <c r="H287" s="97">
        <v>35.775263515856899</v>
      </c>
      <c r="I287" s="97"/>
      <c r="J287" s="97"/>
    </row>
    <row r="288" spans="1:10" ht="15.75" customHeight="1" x14ac:dyDescent="0.25">
      <c r="A288" s="102">
        <v>46246.958333333336</v>
      </c>
      <c r="B288" s="97">
        <v>0.78678399125734966</v>
      </c>
      <c r="C288" s="97">
        <v>0.84437508292113361</v>
      </c>
      <c r="D288" s="97"/>
      <c r="E288" s="97"/>
      <c r="F288" s="106">
        <v>46246.958333333336</v>
      </c>
      <c r="G288" s="97">
        <v>56.543631744384768</v>
      </c>
      <c r="H288" s="97">
        <v>40.276355037576124</v>
      </c>
      <c r="I288" s="97"/>
      <c r="J288" s="97"/>
    </row>
    <row r="289" spans="1:10" ht="15.75" customHeight="1" x14ac:dyDescent="0.25">
      <c r="A289" s="102">
        <v>46247</v>
      </c>
      <c r="B289" s="97">
        <v>0.77320785721143093</v>
      </c>
      <c r="C289" s="97">
        <v>0.78525632419605018</v>
      </c>
      <c r="D289" s="97"/>
      <c r="E289" s="97"/>
      <c r="F289" s="106">
        <v>46247</v>
      </c>
      <c r="G289" s="97">
        <v>55.389120610555011</v>
      </c>
      <c r="H289" s="97">
        <v>32.531930506936177</v>
      </c>
      <c r="I289" s="97"/>
      <c r="J289" s="97"/>
    </row>
    <row r="290" spans="1:10" ht="15.75" customHeight="1" x14ac:dyDescent="0.25">
      <c r="A290" s="102">
        <v>46247.041666666664</v>
      </c>
      <c r="B290" s="97">
        <v>0.75621603727340692</v>
      </c>
      <c r="C290" s="97">
        <v>0.7825635262864381</v>
      </c>
      <c r="D290" s="97"/>
      <c r="E290" s="97"/>
      <c r="F290" s="106">
        <v>46247.041666666664</v>
      </c>
      <c r="G290" s="97">
        <v>54.840393892923991</v>
      </c>
      <c r="H290" s="97">
        <v>34.587582072721645</v>
      </c>
      <c r="I290" s="97"/>
      <c r="J290" s="97"/>
    </row>
    <row r="291" spans="1:10" ht="15.75" customHeight="1" x14ac:dyDescent="0.25">
      <c r="A291" s="102">
        <v>46247.083333333336</v>
      </c>
      <c r="B291" s="97">
        <v>0.75848663647969561</v>
      </c>
      <c r="C291" s="97">
        <v>0.86160988175115094</v>
      </c>
      <c r="D291" s="97"/>
      <c r="E291" s="97"/>
      <c r="F291" s="106">
        <v>46247.083333333336</v>
      </c>
      <c r="G291" s="97">
        <v>55.053923288981125</v>
      </c>
      <c r="H291" s="97">
        <v>40.521267604450934</v>
      </c>
      <c r="I291" s="97"/>
      <c r="J291" s="97"/>
    </row>
    <row r="292" spans="1:10" ht="15.75" customHeight="1" x14ac:dyDescent="0.25">
      <c r="A292" s="102">
        <v>46247.125</v>
      </c>
      <c r="B292" s="97">
        <v>0.75769083897272749</v>
      </c>
      <c r="C292" s="97">
        <v>0.83695190532405384</v>
      </c>
      <c r="D292" s="97"/>
      <c r="E292" s="97"/>
      <c r="F292" s="106">
        <v>46247.125</v>
      </c>
      <c r="G292" s="97">
        <v>54.464210891723638</v>
      </c>
      <c r="H292" s="97">
        <v>39.982768019197486</v>
      </c>
      <c r="I292" s="97"/>
      <c r="J292" s="97"/>
    </row>
    <row r="293" spans="1:10" ht="15.75" customHeight="1" x14ac:dyDescent="0.25">
      <c r="A293" s="102">
        <v>46247.166666666664</v>
      </c>
      <c r="B293" s="97">
        <v>0.74619666934013362</v>
      </c>
      <c r="C293" s="97">
        <v>0.8237849728392046</v>
      </c>
      <c r="D293" s="97"/>
      <c r="E293" s="97"/>
      <c r="F293" s="106">
        <v>46247.166666666664</v>
      </c>
      <c r="G293" s="97">
        <v>53.213028335571288</v>
      </c>
      <c r="H293" s="97">
        <v>38.469517964148238</v>
      </c>
      <c r="I293" s="97"/>
      <c r="J293" s="97"/>
    </row>
    <row r="294" spans="1:10" ht="15.75" customHeight="1" x14ac:dyDescent="0.25">
      <c r="A294" s="102">
        <v>46247.208333333336</v>
      </c>
      <c r="B294" s="97">
        <v>0.75576199094454444</v>
      </c>
      <c r="C294" s="97">
        <v>0.78892209902111254</v>
      </c>
      <c r="D294" s="97"/>
      <c r="E294" s="97"/>
      <c r="F294" s="106">
        <v>46247.208333333336</v>
      </c>
      <c r="G294" s="97">
        <v>51.936022504170737</v>
      </c>
      <c r="H294" s="97">
        <v>33.41497355581744</v>
      </c>
      <c r="I294" s="97"/>
      <c r="J294" s="97"/>
    </row>
    <row r="295" spans="1:10" ht="15.75" customHeight="1" x14ac:dyDescent="0.25">
      <c r="A295" s="102">
        <v>46247.25</v>
      </c>
      <c r="B295" s="97">
        <v>0.87168266375859582</v>
      </c>
      <c r="C295" s="97">
        <v>0.72712587791940442</v>
      </c>
      <c r="D295" s="97"/>
      <c r="E295" s="97"/>
      <c r="F295" s="106">
        <v>46247.25</v>
      </c>
      <c r="G295" s="97">
        <v>78.507613499959319</v>
      </c>
      <c r="H295" s="97">
        <v>30.101777538480494</v>
      </c>
      <c r="I295" s="97"/>
      <c r="J295" s="97"/>
    </row>
    <row r="296" spans="1:10" ht="15.75" customHeight="1" x14ac:dyDescent="0.25">
      <c r="A296" s="102">
        <v>46247.291666666664</v>
      </c>
      <c r="B296" s="97">
        <v>0.92724865078926089</v>
      </c>
      <c r="C296" s="97">
        <v>0.56918405579484022</v>
      </c>
      <c r="D296" s="97"/>
      <c r="E296" s="97"/>
      <c r="F296" s="106">
        <v>46247.291666666664</v>
      </c>
      <c r="G296" s="97">
        <v>91.935607401529936</v>
      </c>
      <c r="H296" s="97">
        <v>25.443211736415215</v>
      </c>
      <c r="I296" s="97"/>
      <c r="J296" s="97"/>
    </row>
    <row r="297" spans="1:10" ht="15.75" customHeight="1" x14ac:dyDescent="0.25">
      <c r="A297" s="102">
        <v>46247.333333333336</v>
      </c>
      <c r="B297" s="97">
        <v>0.94154433693204609</v>
      </c>
      <c r="C297" s="97">
        <v>0.41284658374051331</v>
      </c>
      <c r="D297" s="97"/>
      <c r="E297" s="97"/>
      <c r="F297" s="106">
        <v>46247.333333333336</v>
      </c>
      <c r="G297" s="97">
        <v>105.96663228897822</v>
      </c>
      <c r="H297" s="97">
        <v>25.008678257229771</v>
      </c>
      <c r="I297" s="97"/>
      <c r="J297" s="97"/>
    </row>
    <row r="298" spans="1:10" ht="15.75" customHeight="1" x14ac:dyDescent="0.25">
      <c r="A298" s="102">
        <v>46247.375</v>
      </c>
      <c r="B298" s="97">
        <v>0.95823723276456196</v>
      </c>
      <c r="C298" s="97">
        <v>0.45249361465335364</v>
      </c>
      <c r="D298" s="97"/>
      <c r="E298" s="97"/>
      <c r="F298" s="106">
        <v>46247.375</v>
      </c>
      <c r="G298" s="97">
        <v>121.55296732584635</v>
      </c>
      <c r="H298" s="97">
        <v>25.910697342378818</v>
      </c>
      <c r="I298" s="97"/>
      <c r="J298" s="97"/>
    </row>
    <row r="299" spans="1:10" ht="15.75" customHeight="1" x14ac:dyDescent="0.25">
      <c r="A299" s="102">
        <v>46247.416666666664</v>
      </c>
      <c r="B299" s="97">
        <v>0.95690107941627511</v>
      </c>
      <c r="C299" s="97">
        <v>0.35528229253565374</v>
      </c>
      <c r="D299" s="97"/>
      <c r="E299" s="97"/>
      <c r="F299" s="106">
        <v>46247.416666666664</v>
      </c>
      <c r="G299" s="97">
        <v>127.04002876281737</v>
      </c>
      <c r="H299" s="97">
        <v>23.69126617955596</v>
      </c>
      <c r="I299" s="97"/>
      <c r="J299" s="97"/>
    </row>
    <row r="300" spans="1:10" ht="15.75" customHeight="1" x14ac:dyDescent="0.25">
      <c r="A300" s="102">
        <v>46247.458333333336</v>
      </c>
      <c r="B300" s="97">
        <v>0.95896468758583076</v>
      </c>
      <c r="C300" s="97">
        <v>0.48020715416655713</v>
      </c>
      <c r="D300" s="97"/>
      <c r="E300" s="97"/>
      <c r="F300" s="106">
        <v>46247.458333333336</v>
      </c>
      <c r="G300" s="97">
        <v>128.06529261271157</v>
      </c>
      <c r="H300" s="97">
        <v>25.165870760740496</v>
      </c>
      <c r="I300" s="97"/>
      <c r="J300" s="97"/>
    </row>
    <row r="301" spans="1:10" ht="15.75" customHeight="1" x14ac:dyDescent="0.25">
      <c r="A301" s="102">
        <v>46247.5</v>
      </c>
      <c r="B301" s="97">
        <v>0.96493037343025212</v>
      </c>
      <c r="C301" s="97">
        <v>0.48366840024710644</v>
      </c>
      <c r="D301" s="97"/>
      <c r="E301" s="97"/>
      <c r="F301" s="106">
        <v>46247.5</v>
      </c>
      <c r="G301" s="97">
        <v>131.74943695068359</v>
      </c>
      <c r="H301" s="97">
        <v>26.530324607969742</v>
      </c>
      <c r="I301" s="97"/>
      <c r="J301" s="97"/>
    </row>
    <row r="302" spans="1:10" ht="15.75" customHeight="1" x14ac:dyDescent="0.25">
      <c r="A302" s="102">
        <v>46247.541666666664</v>
      </c>
      <c r="B302" s="97">
        <v>0.96424313386281335</v>
      </c>
      <c r="C302" s="97">
        <v>0.44295894636136746</v>
      </c>
      <c r="D302" s="97"/>
      <c r="E302" s="97"/>
      <c r="F302" s="106">
        <v>46247.541666666664</v>
      </c>
      <c r="G302" s="97">
        <v>123.28540547688803</v>
      </c>
      <c r="H302" s="97">
        <v>21.096589478579435</v>
      </c>
      <c r="I302" s="97"/>
      <c r="J302" s="97"/>
    </row>
    <row r="303" spans="1:10" ht="15.75" customHeight="1" x14ac:dyDescent="0.25">
      <c r="A303" s="102">
        <v>46247.583333333336</v>
      </c>
      <c r="B303" s="97">
        <v>0.96765103340148917</v>
      </c>
      <c r="C303" s="97">
        <v>0.53954141728962834</v>
      </c>
      <c r="D303" s="97"/>
      <c r="E303" s="97"/>
      <c r="F303" s="106">
        <v>46247.583333333336</v>
      </c>
      <c r="G303" s="97">
        <v>130.35743815104166</v>
      </c>
      <c r="H303" s="97">
        <v>26.189532263948042</v>
      </c>
      <c r="I303" s="97"/>
      <c r="J303" s="97"/>
    </row>
    <row r="304" spans="1:10" ht="15.75" customHeight="1" x14ac:dyDescent="0.25">
      <c r="A304" s="102">
        <v>46247.625</v>
      </c>
      <c r="B304" s="97">
        <v>0.96323698815845304</v>
      </c>
      <c r="C304" s="97">
        <v>0.58508896474310534</v>
      </c>
      <c r="D304" s="97"/>
      <c r="E304" s="97"/>
      <c r="F304" s="106">
        <v>46247.625</v>
      </c>
      <c r="G304" s="97">
        <v>127.86139320191882</v>
      </c>
      <c r="H304" s="97">
        <v>28.28706022684753</v>
      </c>
      <c r="I304" s="97"/>
      <c r="J304" s="97"/>
    </row>
    <row r="305" spans="1:10" ht="15.75" customHeight="1" x14ac:dyDescent="0.25">
      <c r="A305" s="102">
        <v>46247.666666666664</v>
      </c>
      <c r="B305" s="97">
        <v>0.960914769626799</v>
      </c>
      <c r="C305" s="97">
        <v>0.54817484544985218</v>
      </c>
      <c r="D305" s="97"/>
      <c r="E305" s="97"/>
      <c r="F305" s="106">
        <v>46247.666666666664</v>
      </c>
      <c r="G305" s="97">
        <v>129.03756598518007</v>
      </c>
      <c r="H305" s="97">
        <v>14.17958336578303</v>
      </c>
      <c r="I305" s="97"/>
      <c r="J305" s="97"/>
    </row>
    <row r="306" spans="1:10" ht="15.75" customHeight="1" x14ac:dyDescent="0.25">
      <c r="A306" s="102">
        <v>46247.708333333336</v>
      </c>
      <c r="B306" s="97">
        <v>0.94845856825510655</v>
      </c>
      <c r="C306" s="97">
        <v>0</v>
      </c>
      <c r="D306" s="97"/>
      <c r="E306" s="97"/>
      <c r="F306" s="106">
        <v>46247.708333333336</v>
      </c>
      <c r="G306" s="97">
        <v>108.99977392469134</v>
      </c>
      <c r="H306" s="97">
        <v>0</v>
      </c>
      <c r="I306" s="97"/>
      <c r="J306" s="97"/>
    </row>
    <row r="307" spans="1:10" ht="15.75" customHeight="1" x14ac:dyDescent="0.25">
      <c r="A307" s="102">
        <v>46247.75</v>
      </c>
      <c r="B307" s="97">
        <v>0.93297684788703927</v>
      </c>
      <c r="C307" s="97">
        <v>0</v>
      </c>
      <c r="D307" s="97"/>
      <c r="E307" s="97"/>
      <c r="F307" s="106">
        <v>46247.75</v>
      </c>
      <c r="G307" s="97">
        <v>97.003998057047525</v>
      </c>
      <c r="H307" s="97">
        <v>0</v>
      </c>
      <c r="I307" s="97"/>
      <c r="J307" s="97"/>
    </row>
    <row r="308" spans="1:10" ht="15.75" customHeight="1" x14ac:dyDescent="0.25">
      <c r="A308" s="102">
        <v>46247.791666666664</v>
      </c>
      <c r="B308" s="97">
        <v>0.90716782978602817</v>
      </c>
      <c r="C308" s="97">
        <v>0</v>
      </c>
      <c r="D308" s="97"/>
      <c r="E308" s="97"/>
      <c r="F308" s="106">
        <v>46247.791666666664</v>
      </c>
      <c r="G308" s="97">
        <v>85.509823354085285</v>
      </c>
      <c r="H308" s="97">
        <v>0</v>
      </c>
      <c r="I308" s="97"/>
      <c r="J308" s="97"/>
    </row>
    <row r="309" spans="1:10" ht="15.75" customHeight="1" x14ac:dyDescent="0.25">
      <c r="A309" s="102">
        <v>46247.833333333336</v>
      </c>
      <c r="B309" s="97">
        <v>0.88155464132626848</v>
      </c>
      <c r="C309" s="97">
        <v>0</v>
      </c>
      <c r="D309" s="97"/>
      <c r="E309" s="97"/>
      <c r="F309" s="106">
        <v>46247.833333333336</v>
      </c>
      <c r="G309" s="97">
        <v>73.226410166422525</v>
      </c>
      <c r="H309" s="97">
        <v>0</v>
      </c>
      <c r="I309" s="97"/>
      <c r="J309" s="97"/>
    </row>
    <row r="310" spans="1:10" ht="15.75" customHeight="1" x14ac:dyDescent="0.25">
      <c r="A310" s="102">
        <v>46247.875</v>
      </c>
      <c r="B310" s="97">
        <v>0.82202973564465842</v>
      </c>
      <c r="C310" s="97">
        <v>0</v>
      </c>
      <c r="D310" s="97"/>
      <c r="E310" s="97"/>
      <c r="F310" s="106">
        <v>46247.875</v>
      </c>
      <c r="G310" s="97">
        <v>63.06636803944906</v>
      </c>
      <c r="H310" s="97">
        <v>0</v>
      </c>
      <c r="I310" s="97"/>
      <c r="J310" s="97"/>
    </row>
    <row r="311" spans="1:10" ht="15.75" customHeight="1" x14ac:dyDescent="0.25">
      <c r="A311" s="102">
        <v>46247.916666666664</v>
      </c>
      <c r="B311" s="97">
        <v>0.79597004453341169</v>
      </c>
      <c r="C311" s="97">
        <v>0</v>
      </c>
      <c r="D311" s="97"/>
      <c r="E311" s="97"/>
      <c r="F311" s="106">
        <v>46247.916666666664</v>
      </c>
      <c r="G311" s="97">
        <v>56.870182673136391</v>
      </c>
      <c r="H311" s="97">
        <v>0</v>
      </c>
      <c r="I311" s="97"/>
      <c r="J311" s="97"/>
    </row>
    <row r="312" spans="1:10" ht="15.75" customHeight="1" x14ac:dyDescent="0.25">
      <c r="A312" s="102">
        <v>46247.958333333336</v>
      </c>
      <c r="B312" s="97">
        <v>0.77709326744079588</v>
      </c>
      <c r="C312" s="97">
        <v>0.77063383832242005</v>
      </c>
      <c r="D312" s="97"/>
      <c r="E312" s="97"/>
      <c r="F312" s="106">
        <v>46247.958333333336</v>
      </c>
      <c r="G312" s="97">
        <v>57.263603591918944</v>
      </c>
      <c r="H312" s="97">
        <v>24.648739571044523</v>
      </c>
      <c r="I312" s="97"/>
      <c r="J312" s="97"/>
    </row>
    <row r="313" spans="1:10" ht="15.75" customHeight="1" x14ac:dyDescent="0.25">
      <c r="A313" s="102">
        <v>46248</v>
      </c>
      <c r="B313" s="97">
        <v>0.76440195441246039</v>
      </c>
      <c r="C313" s="97">
        <v>0.82569330907150684</v>
      </c>
      <c r="D313" s="97"/>
      <c r="E313" s="97"/>
      <c r="F313" s="106">
        <v>46248</v>
      </c>
      <c r="G313" s="97">
        <v>55.502029482523596</v>
      </c>
      <c r="H313" s="97">
        <v>39.54664212064781</v>
      </c>
      <c r="I313" s="97"/>
      <c r="J313" s="97"/>
    </row>
    <row r="314" spans="1:10" ht="15.75" customHeight="1" x14ac:dyDescent="0.25">
      <c r="A314" s="102">
        <v>46248.041666666664</v>
      </c>
      <c r="B314" s="97">
        <v>0.75327125589052835</v>
      </c>
      <c r="C314" s="97">
        <v>0.82436433717196156</v>
      </c>
      <c r="D314" s="97"/>
      <c r="E314" s="97"/>
      <c r="F314" s="106">
        <v>46248.041666666664</v>
      </c>
      <c r="G314" s="97">
        <v>55.082623163859054</v>
      </c>
      <c r="H314" s="97">
        <v>41.437988937136694</v>
      </c>
      <c r="I314" s="97"/>
      <c r="J314" s="97"/>
    </row>
    <row r="315" spans="1:10" ht="15.75" customHeight="1" x14ac:dyDescent="0.25">
      <c r="A315" s="102">
        <v>46248.083333333336</v>
      </c>
      <c r="B315" s="97">
        <v>0.76532157659530642</v>
      </c>
      <c r="C315" s="97">
        <v>0.75351139961125013</v>
      </c>
      <c r="D315" s="97"/>
      <c r="E315" s="97"/>
      <c r="F315" s="106">
        <v>46248.083333333336</v>
      </c>
      <c r="G315" s="97">
        <v>56.237809308369954</v>
      </c>
      <c r="H315" s="97">
        <v>32.160470398989588</v>
      </c>
      <c r="I315" s="97"/>
      <c r="J315" s="97"/>
    </row>
    <row r="316" spans="1:10" ht="15.75" customHeight="1" x14ac:dyDescent="0.25">
      <c r="A316" s="102">
        <v>46248.125</v>
      </c>
      <c r="B316" s="97">
        <v>0.7196560382843018</v>
      </c>
      <c r="C316" s="97">
        <v>0.82647388843679614</v>
      </c>
      <c r="D316" s="97"/>
      <c r="E316" s="97"/>
      <c r="F316" s="106">
        <v>46248.125</v>
      </c>
      <c r="G316" s="97">
        <v>54.990948740641272</v>
      </c>
      <c r="H316" s="97">
        <v>41.245992583248459</v>
      </c>
      <c r="I316" s="97"/>
      <c r="J316" s="97"/>
    </row>
    <row r="317" spans="1:10" ht="15.75" customHeight="1" x14ac:dyDescent="0.25">
      <c r="A317" s="102">
        <v>46248.166666666664</v>
      </c>
      <c r="B317" s="97">
        <v>0.76787723501523342</v>
      </c>
      <c r="C317" s="97">
        <v>0.88405021908967341</v>
      </c>
      <c r="D317" s="97"/>
      <c r="E317" s="97"/>
      <c r="F317" s="106">
        <v>46248.166666666664</v>
      </c>
      <c r="G317" s="97">
        <v>54.712421989440919</v>
      </c>
      <c r="H317" s="97">
        <v>49.015617333718573</v>
      </c>
      <c r="I317" s="97"/>
      <c r="J317" s="97"/>
    </row>
    <row r="318" spans="1:10" ht="15.75" customHeight="1" x14ac:dyDescent="0.25">
      <c r="A318" s="102">
        <v>46248.208333333336</v>
      </c>
      <c r="B318" s="97">
        <v>0.76820297042528785</v>
      </c>
      <c r="C318" s="97">
        <v>0.84722041824589611</v>
      </c>
      <c r="D318" s="97"/>
      <c r="E318" s="97"/>
      <c r="F318" s="106">
        <v>46248.208333333336</v>
      </c>
      <c r="G318" s="97">
        <v>54.677597300211588</v>
      </c>
      <c r="H318" s="97">
        <v>40.473647598221362</v>
      </c>
      <c r="I318" s="97"/>
      <c r="J318" s="97"/>
    </row>
    <row r="319" spans="1:10" ht="15.75" customHeight="1" x14ac:dyDescent="0.25">
      <c r="A319" s="102">
        <v>46248.25</v>
      </c>
      <c r="B319" s="97">
        <v>0.89156946738560994</v>
      </c>
      <c r="C319" s="97">
        <v>0.59082608396121161</v>
      </c>
      <c r="D319" s="97"/>
      <c r="E319" s="97"/>
      <c r="F319" s="106">
        <v>46248.25</v>
      </c>
      <c r="G319" s="97">
        <v>82.739637756347662</v>
      </c>
      <c r="H319" s="97">
        <v>23.801919721331991</v>
      </c>
      <c r="I319" s="97"/>
      <c r="J319" s="97"/>
    </row>
    <row r="320" spans="1:10" ht="15.75" customHeight="1" x14ac:dyDescent="0.25">
      <c r="A320" s="102">
        <v>46248.291666666664</v>
      </c>
      <c r="B320" s="97">
        <v>0.93757649106638785</v>
      </c>
      <c r="C320" s="97">
        <v>0.50118731845744513</v>
      </c>
      <c r="D320" s="97"/>
      <c r="E320" s="97"/>
      <c r="F320" s="106">
        <v>46248.291666666664</v>
      </c>
      <c r="G320" s="97">
        <v>97.728807249523328</v>
      </c>
      <c r="H320" s="97">
        <v>23.677509677268766</v>
      </c>
      <c r="I320" s="97"/>
      <c r="J320" s="97"/>
    </row>
    <row r="321" spans="1:10" ht="15.75" customHeight="1" x14ac:dyDescent="0.25">
      <c r="A321" s="102">
        <v>46248.333333333336</v>
      </c>
      <c r="B321" s="97">
        <v>0.94728132088979089</v>
      </c>
      <c r="C321" s="97">
        <v>0.36727361734441144</v>
      </c>
      <c r="D321" s="97"/>
      <c r="E321" s="97"/>
      <c r="F321" s="106">
        <v>46248.333333333336</v>
      </c>
      <c r="G321" s="97">
        <v>109.88724034627279</v>
      </c>
      <c r="H321" s="97">
        <v>24.953518229510944</v>
      </c>
      <c r="I321" s="97"/>
      <c r="J321" s="97"/>
    </row>
    <row r="322" spans="1:10" ht="15.75" customHeight="1" x14ac:dyDescent="0.25">
      <c r="A322" s="102">
        <v>46248.375</v>
      </c>
      <c r="B322" s="97">
        <v>0.96446645259857178</v>
      </c>
      <c r="C322" s="97">
        <v>0.40159565976014722</v>
      </c>
      <c r="D322" s="97"/>
      <c r="E322" s="97"/>
      <c r="F322" s="106">
        <v>46248.375</v>
      </c>
      <c r="G322" s="97">
        <v>126.50637448628743</v>
      </c>
      <c r="H322" s="97">
        <v>25.427321702595282</v>
      </c>
      <c r="I322" s="97"/>
      <c r="J322" s="97"/>
    </row>
    <row r="323" spans="1:10" ht="15.75" customHeight="1" x14ac:dyDescent="0.25">
      <c r="A323" s="102">
        <v>46248.416666666664</v>
      </c>
      <c r="B323" s="97">
        <v>0.9642075697580974</v>
      </c>
      <c r="C323" s="97">
        <v>0.37026125740392402</v>
      </c>
      <c r="D323" s="97"/>
      <c r="E323" s="97"/>
      <c r="F323" s="106">
        <v>46248.416666666664</v>
      </c>
      <c r="G323" s="97">
        <v>129.03091138203939</v>
      </c>
      <c r="H323" s="97">
        <v>23.668765811580911</v>
      </c>
      <c r="I323" s="97"/>
      <c r="J323" s="97"/>
    </row>
    <row r="324" spans="1:10" ht="15.75" customHeight="1" x14ac:dyDescent="0.25">
      <c r="A324" s="102">
        <v>46248.458333333336</v>
      </c>
      <c r="B324" s="97">
        <v>0.9667560398578644</v>
      </c>
      <c r="C324" s="97">
        <v>0.46382296648421306</v>
      </c>
      <c r="D324" s="97"/>
      <c r="E324" s="97"/>
      <c r="F324" s="106">
        <v>46248.458333333336</v>
      </c>
      <c r="G324" s="97">
        <v>133.90465749104817</v>
      </c>
      <c r="H324" s="97">
        <v>20.420592764526489</v>
      </c>
      <c r="I324" s="97"/>
      <c r="J324" s="97"/>
    </row>
    <row r="325" spans="1:10" ht="15.75" customHeight="1" x14ac:dyDescent="0.25">
      <c r="A325" s="102">
        <v>46248.5</v>
      </c>
      <c r="B325" s="97">
        <v>0.96297796368598931</v>
      </c>
      <c r="C325" s="97">
        <v>0.43493693260100519</v>
      </c>
      <c r="D325" s="97"/>
      <c r="E325" s="97"/>
      <c r="F325" s="106">
        <v>46248.5</v>
      </c>
      <c r="G325" s="97">
        <v>120.80358378092448</v>
      </c>
      <c r="H325" s="97">
        <v>24.880084802981891</v>
      </c>
      <c r="I325" s="97"/>
      <c r="J325" s="97"/>
    </row>
    <row r="326" spans="1:10" ht="15.75" customHeight="1" x14ac:dyDescent="0.25">
      <c r="A326" s="102">
        <v>46248.541666666664</v>
      </c>
      <c r="B326" s="97">
        <v>0.96639046669006357</v>
      </c>
      <c r="C326" s="97">
        <v>0.47967644872165949</v>
      </c>
      <c r="D326" s="97"/>
      <c r="E326" s="97"/>
      <c r="F326" s="106">
        <v>46248.541666666664</v>
      </c>
      <c r="G326" s="97">
        <v>116.95806477864583</v>
      </c>
      <c r="H326" s="97">
        <v>25.231308930476192</v>
      </c>
      <c r="I326" s="97"/>
      <c r="J326" s="97"/>
    </row>
    <row r="327" spans="1:10" ht="15.75" customHeight="1" x14ac:dyDescent="0.25">
      <c r="A327" s="102">
        <v>46248.583333333336</v>
      </c>
      <c r="B327" s="97">
        <v>0.96826018861361918</v>
      </c>
      <c r="C327" s="97">
        <v>0.63357260899817047</v>
      </c>
      <c r="D327" s="97"/>
      <c r="E327" s="97"/>
      <c r="F327" s="106">
        <v>46248.583333333336</v>
      </c>
      <c r="G327" s="97">
        <v>123.88913463410876</v>
      </c>
      <c r="H327" s="97">
        <v>31.058688664153628</v>
      </c>
      <c r="I327" s="97"/>
      <c r="J327" s="97"/>
    </row>
    <row r="328" spans="1:10" ht="15.75" customHeight="1" x14ac:dyDescent="0.25">
      <c r="A328" s="102">
        <v>46248.625</v>
      </c>
      <c r="B328" s="97">
        <v>0.96571178237597144</v>
      </c>
      <c r="C328" s="97">
        <v>0.62905032084628998</v>
      </c>
      <c r="D328" s="97"/>
      <c r="E328" s="97"/>
      <c r="F328" s="106">
        <v>46248.625</v>
      </c>
      <c r="G328" s="97">
        <v>128.29073333740234</v>
      </c>
      <c r="H328" s="97">
        <v>29.381854445566773</v>
      </c>
      <c r="I328" s="97"/>
      <c r="J328" s="97"/>
    </row>
    <row r="329" spans="1:10" ht="15.75" customHeight="1" x14ac:dyDescent="0.25">
      <c r="A329" s="102">
        <v>46248.666666666664</v>
      </c>
      <c r="B329" s="97">
        <v>0.96019482612609863</v>
      </c>
      <c r="C329" s="97">
        <v>0.63386841006429773</v>
      </c>
      <c r="D329" s="97"/>
      <c r="E329" s="97"/>
      <c r="F329" s="106">
        <v>46248.666666666664</v>
      </c>
      <c r="G329" s="97">
        <v>119.14627888997396</v>
      </c>
      <c r="H329" s="97">
        <v>30.988357580697585</v>
      </c>
      <c r="I329" s="97"/>
      <c r="J329" s="97"/>
    </row>
    <row r="330" spans="1:10" ht="15.75" customHeight="1" x14ac:dyDescent="0.25">
      <c r="A330" s="102">
        <v>46248.708333333336</v>
      </c>
      <c r="B330" s="97">
        <v>0.96076850075097309</v>
      </c>
      <c r="C330" s="97">
        <v>0.66368292843400256</v>
      </c>
      <c r="D330" s="97"/>
      <c r="E330" s="97"/>
      <c r="F330" s="106">
        <v>46248.708333333336</v>
      </c>
      <c r="G330" s="97">
        <v>108.93251827784947</v>
      </c>
      <c r="H330" s="97">
        <v>26.496732796604924</v>
      </c>
      <c r="I330" s="97"/>
      <c r="J330" s="97"/>
    </row>
    <row r="331" spans="1:10" ht="15.75" customHeight="1" x14ac:dyDescent="0.25">
      <c r="A331" s="102">
        <v>46248.75</v>
      </c>
      <c r="B331" s="97">
        <v>0.93269793391227718</v>
      </c>
      <c r="C331" s="97">
        <v>0.65790023581076984</v>
      </c>
      <c r="D331" s="97"/>
      <c r="E331" s="97"/>
      <c r="F331" s="106">
        <v>46248.75</v>
      </c>
      <c r="G331" s="97">
        <v>95.01111297607423</v>
      </c>
      <c r="H331" s="97">
        <v>25.245540468117937</v>
      </c>
      <c r="I331" s="97"/>
      <c r="J331" s="97"/>
    </row>
    <row r="332" spans="1:10" ht="15.75" customHeight="1" x14ac:dyDescent="0.25">
      <c r="A332" s="102">
        <v>46248.791666666664</v>
      </c>
      <c r="B332" s="97">
        <v>0.90271991888682046</v>
      </c>
      <c r="C332" s="97">
        <v>0.67380979333234869</v>
      </c>
      <c r="D332" s="97"/>
      <c r="E332" s="97"/>
      <c r="F332" s="106">
        <v>46248.791666666664</v>
      </c>
      <c r="G332" s="97">
        <v>83.728801981608058</v>
      </c>
      <c r="H332" s="97">
        <v>27.066954182070706</v>
      </c>
      <c r="I332" s="97"/>
      <c r="J332" s="97"/>
    </row>
    <row r="333" spans="1:10" ht="15.75" customHeight="1" x14ac:dyDescent="0.25">
      <c r="A333" s="102">
        <v>46248.833333333336</v>
      </c>
      <c r="B333" s="97">
        <v>0.87475390632947292</v>
      </c>
      <c r="C333" s="97">
        <v>0.7659837677191369</v>
      </c>
      <c r="D333" s="97"/>
      <c r="E333" s="97"/>
      <c r="F333" s="106">
        <v>46248.833333333336</v>
      </c>
      <c r="G333" s="97">
        <v>69.061602592468262</v>
      </c>
      <c r="H333" s="97">
        <v>32.914448078442</v>
      </c>
      <c r="I333" s="97"/>
      <c r="J333" s="97"/>
    </row>
    <row r="334" spans="1:10" ht="15.75" customHeight="1" x14ac:dyDescent="0.25">
      <c r="A334" s="102">
        <v>46248.875</v>
      </c>
      <c r="B334" s="97">
        <v>0.81019891699155167</v>
      </c>
      <c r="C334" s="97">
        <v>0.70708720863101027</v>
      </c>
      <c r="D334" s="97"/>
      <c r="E334" s="97"/>
      <c r="F334" s="106">
        <v>46248.875</v>
      </c>
      <c r="G334" s="97">
        <v>60.395803705851236</v>
      </c>
      <c r="H334" s="97">
        <v>28.372992407191884</v>
      </c>
      <c r="I334" s="97"/>
      <c r="J334" s="97"/>
    </row>
    <row r="335" spans="1:10" ht="15.75" customHeight="1" x14ac:dyDescent="0.25">
      <c r="A335" s="102">
        <v>46248.916666666664</v>
      </c>
      <c r="B335" s="97">
        <v>0.7960020536468142</v>
      </c>
      <c r="C335" s="97">
        <v>0.79490379724106774</v>
      </c>
      <c r="D335" s="97"/>
      <c r="E335" s="97"/>
      <c r="F335" s="106">
        <v>46248.916666666664</v>
      </c>
      <c r="G335" s="97">
        <v>56.22000764211019</v>
      </c>
      <c r="H335" s="97">
        <v>36.976754949969269</v>
      </c>
      <c r="I335" s="97"/>
      <c r="J335" s="97"/>
    </row>
    <row r="336" spans="1:10" ht="15.75" customHeight="1" x14ac:dyDescent="0.25">
      <c r="A336" s="102">
        <v>46248.958333333336</v>
      </c>
      <c r="B336" s="97">
        <v>0.79597702622413635</v>
      </c>
      <c r="C336" s="97">
        <v>0.80668357650753064</v>
      </c>
      <c r="D336" s="97"/>
      <c r="E336" s="97"/>
      <c r="F336" s="106">
        <v>46248.958333333336</v>
      </c>
      <c r="G336" s="97">
        <v>55.565228271484372</v>
      </c>
      <c r="H336" s="97">
        <v>35.5879334640126</v>
      </c>
      <c r="I336" s="97"/>
      <c r="J336" s="97"/>
    </row>
    <row r="337" spans="1:10" ht="15.75" customHeight="1" x14ac:dyDescent="0.25">
      <c r="A337" s="102">
        <v>46249</v>
      </c>
      <c r="B337" s="97">
        <v>0.76754206816355386</v>
      </c>
      <c r="C337" s="97">
        <v>0.76577703330827807</v>
      </c>
      <c r="D337" s="97"/>
      <c r="E337" s="97"/>
      <c r="F337" s="106">
        <v>46249</v>
      </c>
      <c r="G337" s="97">
        <v>53.922075525919595</v>
      </c>
      <c r="H337" s="97">
        <v>33.431915234200098</v>
      </c>
      <c r="I337" s="97"/>
      <c r="J337" s="97"/>
    </row>
    <row r="338" spans="1:10" ht="15.75" customHeight="1" x14ac:dyDescent="0.25">
      <c r="A338" s="102">
        <v>46249.041666666664</v>
      </c>
      <c r="B338" s="97">
        <v>0.76357495188713065</v>
      </c>
      <c r="C338" s="97">
        <v>0.7541710822714176</v>
      </c>
      <c r="D338" s="97"/>
      <c r="E338" s="97"/>
      <c r="F338" s="106">
        <v>46249.041666666664</v>
      </c>
      <c r="G338" s="97">
        <v>53.819385019938153</v>
      </c>
      <c r="H338" s="97">
        <v>32.610407376949027</v>
      </c>
      <c r="I338" s="97"/>
      <c r="J338" s="97"/>
    </row>
    <row r="339" spans="1:10" ht="15.75" customHeight="1" x14ac:dyDescent="0.25">
      <c r="A339" s="102">
        <v>46249.083333333336</v>
      </c>
      <c r="B339" s="97">
        <v>0.75841716130574544</v>
      </c>
      <c r="C339" s="97">
        <v>0.6558670539394198</v>
      </c>
      <c r="D339" s="97"/>
      <c r="E339" s="97"/>
      <c r="F339" s="106">
        <v>46249.083333333336</v>
      </c>
      <c r="G339" s="97">
        <v>53.793191782633464</v>
      </c>
      <c r="H339" s="97">
        <v>28.403756150143892</v>
      </c>
      <c r="I339" s="97"/>
      <c r="J339" s="97"/>
    </row>
    <row r="340" spans="1:10" ht="15.75" customHeight="1" x14ac:dyDescent="0.25">
      <c r="A340" s="102">
        <v>46249.125</v>
      </c>
      <c r="B340" s="97">
        <v>0.75300946235656741</v>
      </c>
      <c r="C340" s="97">
        <v>0.80867943868571124</v>
      </c>
      <c r="D340" s="97"/>
      <c r="E340" s="97"/>
      <c r="F340" s="106">
        <v>46249.125</v>
      </c>
      <c r="G340" s="97">
        <v>54.812890625000001</v>
      </c>
      <c r="H340" s="97">
        <v>38.831551226702601</v>
      </c>
      <c r="I340" s="97"/>
      <c r="J340" s="97"/>
    </row>
    <row r="341" spans="1:10" ht="15.75" customHeight="1" x14ac:dyDescent="0.25">
      <c r="A341" s="102">
        <v>46249.166666666664</v>
      </c>
      <c r="B341" s="97">
        <v>0.74634486436843872</v>
      </c>
      <c r="C341" s="97">
        <v>0.81434181203012879</v>
      </c>
      <c r="D341" s="97"/>
      <c r="E341" s="97"/>
      <c r="F341" s="106">
        <v>46249.166666666664</v>
      </c>
      <c r="G341" s="97">
        <v>53.886281903584802</v>
      </c>
      <c r="H341" s="97">
        <v>38.263859853442952</v>
      </c>
      <c r="I341" s="97"/>
      <c r="J341" s="97"/>
    </row>
    <row r="342" spans="1:10" ht="15.75" customHeight="1" x14ac:dyDescent="0.25">
      <c r="A342" s="102">
        <v>46249.208333333336</v>
      </c>
      <c r="B342" s="97">
        <v>0.76805809140205383</v>
      </c>
      <c r="C342" s="97">
        <v>0.60491074804260792</v>
      </c>
      <c r="D342" s="97"/>
      <c r="E342" s="97"/>
      <c r="F342" s="106">
        <v>46249.208333333336</v>
      </c>
      <c r="G342" s="97">
        <v>53.097621726989743</v>
      </c>
      <c r="H342" s="97">
        <v>27.575099412631612</v>
      </c>
      <c r="I342" s="97"/>
      <c r="J342" s="97"/>
    </row>
    <row r="343" spans="1:10" ht="15.75" customHeight="1" x14ac:dyDescent="0.25">
      <c r="A343" s="102">
        <v>46249.25</v>
      </c>
      <c r="B343" s="97">
        <v>0.77069311738014235</v>
      </c>
      <c r="C343" s="97">
        <v>0.17784182974707938</v>
      </c>
      <c r="D343" s="97"/>
      <c r="E343" s="97"/>
      <c r="F343" s="106">
        <v>46249.25</v>
      </c>
      <c r="G343" s="97">
        <v>54.013907623291018</v>
      </c>
      <c r="H343" s="97">
        <v>23.338590648334488</v>
      </c>
      <c r="I343" s="97"/>
      <c r="J343" s="97"/>
    </row>
    <row r="344" spans="1:10" ht="15.75" customHeight="1" x14ac:dyDescent="0.25">
      <c r="A344" s="102">
        <v>46249.291666666664</v>
      </c>
      <c r="B344" s="97">
        <v>0.87619030078252158</v>
      </c>
      <c r="C344" s="97">
        <v>0.13116449453378382</v>
      </c>
      <c r="D344" s="97"/>
      <c r="E344" s="97"/>
      <c r="F344" s="106">
        <v>46249.291666666664</v>
      </c>
      <c r="G344" s="97">
        <v>68.457201321919754</v>
      </c>
      <c r="H344" s="97">
        <v>22.989051113957942</v>
      </c>
      <c r="I344" s="97"/>
      <c r="J344" s="97"/>
    </row>
    <row r="345" spans="1:10" ht="15.75" customHeight="1" x14ac:dyDescent="0.25">
      <c r="A345" s="102">
        <v>46249.333333333336</v>
      </c>
      <c r="B345" s="97">
        <v>0.82648150722185776</v>
      </c>
      <c r="C345" s="97">
        <v>0.11015575888599802</v>
      </c>
      <c r="D345" s="97"/>
      <c r="E345" s="97"/>
      <c r="F345" s="106">
        <v>46249.333333333336</v>
      </c>
      <c r="G345" s="97">
        <v>60.48417148590088</v>
      </c>
      <c r="H345" s="97">
        <v>22.510568738454886</v>
      </c>
      <c r="I345" s="97"/>
      <c r="J345" s="97"/>
    </row>
    <row r="346" spans="1:10" ht="15.75" customHeight="1" x14ac:dyDescent="0.25">
      <c r="A346" s="102">
        <v>46249.375</v>
      </c>
      <c r="B346" s="97">
        <v>0.81003908912340805</v>
      </c>
      <c r="C346" s="97">
        <v>0.11912175111855443</v>
      </c>
      <c r="D346" s="97"/>
      <c r="E346" s="97"/>
      <c r="F346" s="106">
        <v>46249.375</v>
      </c>
      <c r="G346" s="97">
        <v>58.465445264180502</v>
      </c>
      <c r="H346" s="97">
        <v>22.686787365924701</v>
      </c>
      <c r="I346" s="97"/>
      <c r="J346" s="97"/>
    </row>
    <row r="347" spans="1:10" ht="15.75" customHeight="1" x14ac:dyDescent="0.25">
      <c r="A347" s="102">
        <v>46249.416666666664</v>
      </c>
      <c r="B347" s="97">
        <v>0.76403965353965764</v>
      </c>
      <c r="C347" s="97">
        <v>0.13490818258330756</v>
      </c>
      <c r="D347" s="97"/>
      <c r="E347" s="97"/>
      <c r="F347" s="106">
        <v>46249.416666666664</v>
      </c>
      <c r="G347" s="97">
        <v>53.392798423767083</v>
      </c>
      <c r="H347" s="97">
        <v>22.522106216830228</v>
      </c>
      <c r="I347" s="97"/>
      <c r="J347" s="97"/>
    </row>
    <row r="348" spans="1:10" ht="15.75" customHeight="1" x14ac:dyDescent="0.25">
      <c r="A348" s="102">
        <v>46249.458333333336</v>
      </c>
      <c r="B348" s="97">
        <v>0.76934346499897188</v>
      </c>
      <c r="C348" s="97">
        <v>0.14855354600273102</v>
      </c>
      <c r="D348" s="97"/>
      <c r="E348" s="97"/>
      <c r="F348" s="106">
        <v>46249.458333333336</v>
      </c>
      <c r="G348" s="97">
        <v>54.890109093983966</v>
      </c>
      <c r="H348" s="97">
        <v>22.378114321486283</v>
      </c>
      <c r="I348" s="97"/>
      <c r="J348" s="97"/>
    </row>
    <row r="349" spans="1:10" ht="15.75" customHeight="1" x14ac:dyDescent="0.25">
      <c r="A349" s="102">
        <v>46249.5</v>
      </c>
      <c r="B349" s="97">
        <v>0.78866483469804127</v>
      </c>
      <c r="C349" s="97">
        <v>0.14986438236453317</v>
      </c>
      <c r="D349" s="97"/>
      <c r="E349" s="97"/>
      <c r="F349" s="106">
        <v>46249.5</v>
      </c>
      <c r="G349" s="97">
        <v>56.248162101563956</v>
      </c>
      <c r="H349" s="97">
        <v>22.72145525363123</v>
      </c>
      <c r="I349" s="97"/>
      <c r="J349" s="97"/>
    </row>
    <row r="350" spans="1:10" ht="15.75" customHeight="1" x14ac:dyDescent="0.25">
      <c r="A350" s="102">
        <v>46249.541666666664</v>
      </c>
      <c r="B350" s="97">
        <v>0.73119634787241616</v>
      </c>
      <c r="C350" s="97">
        <v>0.15360541694720273</v>
      </c>
      <c r="D350" s="97"/>
      <c r="E350" s="97"/>
      <c r="F350" s="106">
        <v>46249.541666666664</v>
      </c>
      <c r="G350" s="97">
        <v>52.504018465677895</v>
      </c>
      <c r="H350" s="97">
        <v>22.455173388771389</v>
      </c>
      <c r="I350" s="97"/>
      <c r="J350" s="97"/>
    </row>
    <row r="351" spans="1:10" ht="15.75" customHeight="1" x14ac:dyDescent="0.25">
      <c r="A351" s="102">
        <v>46249.583333333336</v>
      </c>
      <c r="B351" s="97">
        <v>0.72499965826670332</v>
      </c>
      <c r="C351" s="97">
        <v>0.17180340492678253</v>
      </c>
      <c r="D351" s="97"/>
      <c r="E351" s="97"/>
      <c r="F351" s="106">
        <v>46249.583333333336</v>
      </c>
      <c r="G351" s="97">
        <v>51.260911369323729</v>
      </c>
      <c r="H351" s="97">
        <v>22.62663073596276</v>
      </c>
      <c r="I351" s="97"/>
      <c r="J351" s="97"/>
    </row>
    <row r="352" spans="1:10" ht="15.75" customHeight="1" x14ac:dyDescent="0.25">
      <c r="A352" s="102">
        <v>46249.625</v>
      </c>
      <c r="B352" s="97">
        <v>0.73516756097475688</v>
      </c>
      <c r="C352" s="97">
        <v>0.17428622592108051</v>
      </c>
      <c r="D352" s="97"/>
      <c r="E352" s="97"/>
      <c r="F352" s="106">
        <v>46249.625</v>
      </c>
      <c r="G352" s="97">
        <v>52.18201363881429</v>
      </c>
      <c r="H352" s="97">
        <v>22.573682155533739</v>
      </c>
      <c r="I352" s="97"/>
      <c r="J352" s="97"/>
    </row>
    <row r="353" spans="1:10" ht="15.75" customHeight="1" x14ac:dyDescent="0.25">
      <c r="A353" s="102">
        <v>46249.666666666664</v>
      </c>
      <c r="B353" s="97">
        <v>0.76232897639274588</v>
      </c>
      <c r="C353" s="97">
        <v>0.16596597062033627</v>
      </c>
      <c r="D353" s="97"/>
      <c r="E353" s="97"/>
      <c r="F353" s="106">
        <v>46249.666666666664</v>
      </c>
      <c r="G353" s="97">
        <v>53.168843078613278</v>
      </c>
      <c r="H353" s="97">
        <v>22.469894873766091</v>
      </c>
      <c r="I353" s="97"/>
      <c r="J353" s="97"/>
    </row>
    <row r="354" spans="1:10" ht="15.75" customHeight="1" x14ac:dyDescent="0.25">
      <c r="A354" s="102">
        <v>46249.708333333336</v>
      </c>
      <c r="B354" s="97">
        <v>0.78878865440686552</v>
      </c>
      <c r="C354" s="97">
        <v>0.14833252502995517</v>
      </c>
      <c r="D354" s="97"/>
      <c r="E354" s="97"/>
      <c r="F354" s="106">
        <v>46249.708333333336</v>
      </c>
      <c r="G354" s="97">
        <v>53.939390818278</v>
      </c>
      <c r="H354" s="97">
        <v>22.606122234593265</v>
      </c>
      <c r="I354" s="97"/>
      <c r="J354" s="97"/>
    </row>
    <row r="355" spans="1:10" ht="15.75" customHeight="1" x14ac:dyDescent="0.25">
      <c r="A355" s="102">
        <v>46249.75</v>
      </c>
      <c r="B355" s="97">
        <v>0.79165697495142617</v>
      </c>
      <c r="C355" s="97">
        <v>0.18004673725295917</v>
      </c>
      <c r="D355" s="97"/>
      <c r="E355" s="97"/>
      <c r="F355" s="106">
        <v>46249.75</v>
      </c>
      <c r="G355" s="97">
        <v>54.281073824564615</v>
      </c>
      <c r="H355" s="97">
        <v>22.85516186288223</v>
      </c>
      <c r="I355" s="97"/>
      <c r="J355" s="97"/>
    </row>
    <row r="356" spans="1:10" ht="15.75" customHeight="1" x14ac:dyDescent="0.25">
      <c r="A356" s="102">
        <v>46249.791666666664</v>
      </c>
      <c r="B356" s="97">
        <v>0.80014997919400532</v>
      </c>
      <c r="C356" s="97">
        <v>0.23821571433968225</v>
      </c>
      <c r="D356" s="97"/>
      <c r="E356" s="97"/>
      <c r="F356" s="106">
        <v>46249.791666666664</v>
      </c>
      <c r="G356" s="97">
        <v>57.693449211120601</v>
      </c>
      <c r="H356" s="97">
        <v>23.457330691484593</v>
      </c>
      <c r="I356" s="97"/>
      <c r="J356" s="97"/>
    </row>
    <row r="357" spans="1:10" ht="15.75" customHeight="1" x14ac:dyDescent="0.25">
      <c r="A357" s="102">
        <v>46249.833333333336</v>
      </c>
      <c r="B357" s="97">
        <v>0.83882336020469661</v>
      </c>
      <c r="C357" s="97">
        <v>0.244514102992333</v>
      </c>
      <c r="D357" s="97"/>
      <c r="E357" s="97"/>
      <c r="F357" s="106">
        <v>46249.833333333336</v>
      </c>
      <c r="G357" s="97">
        <v>63.31601155598959</v>
      </c>
      <c r="H357" s="97">
        <v>23.510860850217313</v>
      </c>
      <c r="I357" s="97"/>
      <c r="J357" s="97"/>
    </row>
    <row r="358" spans="1:10" ht="15.75" customHeight="1" x14ac:dyDescent="0.25">
      <c r="A358" s="102">
        <v>46249.875</v>
      </c>
      <c r="B358" s="97">
        <v>0.82673302491505951</v>
      </c>
      <c r="C358" s="97">
        <v>0.2169792193904696</v>
      </c>
      <c r="D358" s="97"/>
      <c r="E358" s="97"/>
      <c r="F358" s="106">
        <v>46249.875</v>
      </c>
      <c r="G358" s="97">
        <v>59.762872060139976</v>
      </c>
      <c r="H358" s="97">
        <v>23.648066899522021</v>
      </c>
      <c r="I358" s="97"/>
      <c r="J358" s="97"/>
    </row>
    <row r="359" spans="1:10" ht="15.75" customHeight="1" x14ac:dyDescent="0.25">
      <c r="A359" s="102">
        <v>46249.916666666664</v>
      </c>
      <c r="B359" s="97">
        <v>0.801433751696632</v>
      </c>
      <c r="C359" s="97">
        <v>0.22052127134658603</v>
      </c>
      <c r="D359" s="97"/>
      <c r="E359" s="97"/>
      <c r="F359" s="106">
        <v>46249.916666666664</v>
      </c>
      <c r="G359" s="97">
        <v>57.282860774085634</v>
      </c>
      <c r="H359" s="97">
        <v>23.570852889373839</v>
      </c>
      <c r="I359" s="97"/>
      <c r="J359" s="97"/>
    </row>
    <row r="360" spans="1:10" ht="15.75" customHeight="1" x14ac:dyDescent="0.25">
      <c r="A360" s="102">
        <v>46249.958333333336</v>
      </c>
      <c r="B360" s="97">
        <v>0.77965985536575322</v>
      </c>
      <c r="C360" s="97">
        <v>0.22082115497749313</v>
      </c>
      <c r="D360" s="97"/>
      <c r="E360" s="97"/>
      <c r="F360" s="106">
        <v>46249.958333333336</v>
      </c>
      <c r="G360" s="97">
        <v>58.216132672627765</v>
      </c>
      <c r="H360" s="97">
        <v>23.588109845700469</v>
      </c>
      <c r="I360" s="97"/>
      <c r="J360" s="97"/>
    </row>
    <row r="361" spans="1:10" ht="15.75" customHeight="1" x14ac:dyDescent="0.25">
      <c r="A361" s="102">
        <v>46250</v>
      </c>
      <c r="B361" s="97">
        <v>0.76070089936256402</v>
      </c>
      <c r="C361" s="97">
        <v>0.21792616916032648</v>
      </c>
      <c r="D361" s="97"/>
      <c r="E361" s="97"/>
      <c r="F361" s="106">
        <v>46250</v>
      </c>
      <c r="G361" s="97">
        <v>56.183274332682288</v>
      </c>
      <c r="H361" s="97">
        <v>23.649866067373704</v>
      </c>
      <c r="I361" s="97"/>
      <c r="J361" s="97"/>
    </row>
    <row r="362" spans="1:10" ht="15.75" customHeight="1" x14ac:dyDescent="0.25">
      <c r="A362" s="102">
        <v>46250.041666666664</v>
      </c>
      <c r="B362" s="97">
        <v>0.74083566268285117</v>
      </c>
      <c r="C362" s="97">
        <v>0.20569822333546967</v>
      </c>
      <c r="D362" s="97"/>
      <c r="E362" s="97"/>
      <c r="F362" s="106">
        <v>46250.041666666664</v>
      </c>
      <c r="G362" s="97">
        <v>55.29072430928548</v>
      </c>
      <c r="H362" s="97">
        <v>23.87337419732286</v>
      </c>
      <c r="I362" s="97"/>
      <c r="J362" s="97"/>
    </row>
    <row r="363" spans="1:10" ht="15.75" customHeight="1" x14ac:dyDescent="0.25">
      <c r="A363" s="102">
        <v>46250.083333333336</v>
      </c>
      <c r="B363" s="97">
        <v>0.7372867186864217</v>
      </c>
      <c r="C363" s="97">
        <v>0.19298772231156647</v>
      </c>
      <c r="D363" s="97"/>
      <c r="E363" s="97"/>
      <c r="F363" s="106">
        <v>46250.083333333336</v>
      </c>
      <c r="G363" s="97">
        <v>54.662075678507492</v>
      </c>
      <c r="H363" s="97">
        <v>23.914750874749284</v>
      </c>
      <c r="I363" s="97"/>
      <c r="J363" s="97"/>
    </row>
    <row r="364" spans="1:10" ht="15.75" customHeight="1" x14ac:dyDescent="0.25">
      <c r="A364" s="102">
        <v>46250.125</v>
      </c>
      <c r="B364" s="97">
        <v>0.74672199487686164</v>
      </c>
      <c r="C364" s="97">
        <v>0.19237204973876712</v>
      </c>
      <c r="D364" s="97"/>
      <c r="E364" s="97"/>
      <c r="F364" s="106">
        <v>46250.125</v>
      </c>
      <c r="G364" s="97">
        <v>55.463309224446618</v>
      </c>
      <c r="H364" s="97">
        <v>23.539714555024158</v>
      </c>
      <c r="I364" s="97"/>
      <c r="J364" s="97"/>
    </row>
    <row r="365" spans="1:10" ht="15.75" customHeight="1" x14ac:dyDescent="0.25">
      <c r="A365" s="102">
        <v>46250.166666666664</v>
      </c>
      <c r="B365" s="97">
        <v>0.78488054871559143</v>
      </c>
      <c r="C365" s="97">
        <v>0.19401584777671826</v>
      </c>
      <c r="D365" s="97"/>
      <c r="E365" s="97"/>
      <c r="F365" s="106">
        <v>46250.166666666664</v>
      </c>
      <c r="G365" s="97">
        <v>55.009906069437662</v>
      </c>
      <c r="H365" s="97">
        <v>23.419161379101716</v>
      </c>
      <c r="I365" s="97"/>
      <c r="J365" s="97"/>
    </row>
    <row r="366" spans="1:10" ht="15.75" customHeight="1" x14ac:dyDescent="0.25">
      <c r="A366" s="102">
        <v>46250.208333333336</v>
      </c>
      <c r="B366" s="97">
        <v>0.78931208848953249</v>
      </c>
      <c r="C366" s="97">
        <v>0.18622760339216754</v>
      </c>
      <c r="D366" s="97"/>
      <c r="E366" s="97"/>
      <c r="F366" s="106">
        <v>46250.208333333336</v>
      </c>
      <c r="G366" s="97">
        <v>53.742931111653647</v>
      </c>
      <c r="H366" s="97">
        <v>23.266876713560507</v>
      </c>
      <c r="I366" s="97"/>
      <c r="J366" s="97"/>
    </row>
    <row r="367" spans="1:10" ht="15.75" customHeight="1" x14ac:dyDescent="0.25">
      <c r="A367" s="102">
        <v>46250.25</v>
      </c>
      <c r="B367" s="97">
        <v>0.79717084169387809</v>
      </c>
      <c r="C367" s="97">
        <v>0.50820903798101447</v>
      </c>
      <c r="D367" s="97"/>
      <c r="E367" s="97"/>
      <c r="F367" s="106">
        <v>46250.25</v>
      </c>
      <c r="G367" s="97">
        <v>52.113733228047693</v>
      </c>
      <c r="H367" s="97">
        <v>22.986590169635214</v>
      </c>
      <c r="I367" s="97"/>
      <c r="J367" s="97"/>
    </row>
    <row r="368" spans="1:10" ht="15.75" customHeight="1" x14ac:dyDescent="0.25">
      <c r="A368" s="102">
        <v>46250.291666666664</v>
      </c>
      <c r="B368" s="97">
        <v>0.74861237208048503</v>
      </c>
      <c r="C368" s="97">
        <v>0.2799601067196239</v>
      </c>
      <c r="D368" s="97"/>
      <c r="E368" s="97"/>
      <c r="F368" s="106">
        <v>46250.291666666664</v>
      </c>
      <c r="G368" s="97">
        <v>50.65081443786621</v>
      </c>
      <c r="H368" s="97">
        <v>22.908309021486122</v>
      </c>
      <c r="I368" s="97"/>
      <c r="J368" s="97"/>
    </row>
    <row r="369" spans="1:10" ht="15.75" customHeight="1" x14ac:dyDescent="0.25">
      <c r="A369" s="102">
        <v>46250.333333333336</v>
      </c>
      <c r="B369" s="97">
        <v>0.73057261109352112</v>
      </c>
      <c r="C369" s="97">
        <v>0.21941959657687915</v>
      </c>
      <c r="D369" s="97"/>
      <c r="E369" s="97"/>
      <c r="F369" s="106">
        <v>46250.333333333336</v>
      </c>
      <c r="G369" s="97">
        <v>49.377203941345215</v>
      </c>
      <c r="H369" s="97">
        <v>22.70002366431617</v>
      </c>
      <c r="I369" s="97"/>
      <c r="J369" s="97"/>
    </row>
    <row r="370" spans="1:10" ht="15.75" customHeight="1" x14ac:dyDescent="0.25">
      <c r="A370" s="102">
        <v>46250.375</v>
      </c>
      <c r="B370" s="97">
        <v>0.73598452011744186</v>
      </c>
      <c r="C370" s="97">
        <v>0.22212873393367877</v>
      </c>
      <c r="D370" s="97"/>
      <c r="E370" s="97"/>
      <c r="F370" s="106">
        <v>46250.375</v>
      </c>
      <c r="G370" s="97">
        <v>49.500596872965495</v>
      </c>
      <c r="H370" s="97">
        <v>23.475609976312388</v>
      </c>
      <c r="I370" s="97"/>
      <c r="J370" s="97"/>
    </row>
    <row r="371" spans="1:10" ht="15.75" customHeight="1" x14ac:dyDescent="0.25">
      <c r="A371" s="102">
        <v>46250.416666666664</v>
      </c>
      <c r="B371" s="97">
        <v>0.70372210741043095</v>
      </c>
      <c r="C371" s="97">
        <v>0.34965993275519885</v>
      </c>
      <c r="D371" s="97"/>
      <c r="E371" s="97"/>
      <c r="F371" s="106">
        <v>46250.416666666664</v>
      </c>
      <c r="G371" s="97">
        <v>49.30987497965495</v>
      </c>
      <c r="H371" s="97">
        <v>23.163120530810751</v>
      </c>
      <c r="I371" s="97"/>
      <c r="J371" s="97"/>
    </row>
    <row r="372" spans="1:10" ht="15.75" customHeight="1" x14ac:dyDescent="0.25">
      <c r="A372" s="102">
        <v>46250.458333333336</v>
      </c>
      <c r="B372" s="97">
        <v>0.68504868703229094</v>
      </c>
      <c r="C372" s="97">
        <v>0.41490609576175741</v>
      </c>
      <c r="D372" s="97"/>
      <c r="E372" s="97"/>
      <c r="F372" s="106">
        <v>46250.458333333336</v>
      </c>
      <c r="G372" s="97">
        <v>49.976377191997713</v>
      </c>
      <c r="H372" s="97">
        <v>18.430929416185851</v>
      </c>
      <c r="I372" s="97"/>
      <c r="J372" s="97"/>
    </row>
    <row r="373" spans="1:10" ht="15.75" customHeight="1" x14ac:dyDescent="0.25">
      <c r="A373" s="102">
        <v>46250.5</v>
      </c>
      <c r="B373" s="97">
        <v>0.67376468181610116</v>
      </c>
      <c r="C373" s="97">
        <v>0</v>
      </c>
      <c r="D373" s="97"/>
      <c r="E373" s="97"/>
      <c r="F373" s="106">
        <v>46250.5</v>
      </c>
      <c r="G373" s="97">
        <v>50.078736305236816</v>
      </c>
      <c r="H373" s="97">
        <v>0</v>
      </c>
      <c r="I373" s="97"/>
      <c r="J373" s="97"/>
    </row>
    <row r="374" spans="1:10" ht="15.75" customHeight="1" x14ac:dyDescent="0.25">
      <c r="A374" s="102">
        <v>46250.541666666664</v>
      </c>
      <c r="B374" s="97">
        <v>0.72594906886418664</v>
      </c>
      <c r="C374" s="97">
        <v>0</v>
      </c>
      <c r="D374" s="97"/>
      <c r="E374" s="97"/>
      <c r="F374" s="106">
        <v>46250.541666666664</v>
      </c>
      <c r="G374" s="97">
        <v>52.753046544392902</v>
      </c>
      <c r="H374" s="97">
        <v>0</v>
      </c>
      <c r="I374" s="97"/>
      <c r="J374" s="97"/>
    </row>
    <row r="375" spans="1:10" ht="15.75" customHeight="1" x14ac:dyDescent="0.25">
      <c r="A375" s="102">
        <v>46250.583333333336</v>
      </c>
      <c r="B375" s="97">
        <v>0.75803535779317222</v>
      </c>
      <c r="C375" s="97">
        <v>0</v>
      </c>
      <c r="D375" s="97"/>
      <c r="E375" s="97"/>
      <c r="F375" s="106">
        <v>46250.583333333336</v>
      </c>
      <c r="G375" s="97">
        <v>52.898034731547035</v>
      </c>
      <c r="H375" s="97">
        <v>0</v>
      </c>
      <c r="I375" s="97"/>
      <c r="J375" s="97"/>
    </row>
    <row r="376" spans="1:10" ht="15.75" customHeight="1" x14ac:dyDescent="0.25">
      <c r="A376" s="102">
        <v>46250.625</v>
      </c>
      <c r="B376" s="97">
        <v>0.79162052472432454</v>
      </c>
      <c r="C376" s="97">
        <v>0</v>
      </c>
      <c r="D376" s="97"/>
      <c r="E376" s="97"/>
      <c r="F376" s="106">
        <v>46250.625</v>
      </c>
      <c r="G376" s="97">
        <v>55.693703142801922</v>
      </c>
      <c r="H376" s="97">
        <v>0</v>
      </c>
      <c r="I376" s="97"/>
      <c r="J376" s="97"/>
    </row>
    <row r="377" spans="1:10" ht="15.75" customHeight="1" x14ac:dyDescent="0.25">
      <c r="A377" s="102">
        <v>46250.666666666664</v>
      </c>
      <c r="B377" s="97">
        <v>0.79325160980224607</v>
      </c>
      <c r="C377" s="97">
        <v>0.20879772076239952</v>
      </c>
      <c r="D377" s="97"/>
      <c r="E377" s="97"/>
      <c r="F377" s="106">
        <v>46250.666666666664</v>
      </c>
      <c r="G377" s="97">
        <v>55.612163607279463</v>
      </c>
      <c r="H377" s="97">
        <v>3.735205128079369</v>
      </c>
      <c r="I377" s="97"/>
      <c r="J377" s="97"/>
    </row>
    <row r="378" spans="1:10" ht="15.75" customHeight="1" x14ac:dyDescent="0.25">
      <c r="A378" s="102">
        <v>46250.708333333336</v>
      </c>
      <c r="B378" s="97">
        <v>0.80167989929517114</v>
      </c>
      <c r="C378" s="97">
        <v>0.43198722360110042</v>
      </c>
      <c r="D378" s="97"/>
      <c r="E378" s="97"/>
      <c r="F378" s="106">
        <v>46250.708333333336</v>
      </c>
      <c r="G378" s="97">
        <v>55.976056734720864</v>
      </c>
      <c r="H378" s="97">
        <v>24.070515077396365</v>
      </c>
      <c r="I378" s="97"/>
      <c r="J378" s="97"/>
    </row>
    <row r="379" spans="1:10" ht="15.75" customHeight="1" x14ac:dyDescent="0.25">
      <c r="A379" s="102">
        <v>46250.75</v>
      </c>
      <c r="B379" s="97">
        <v>0.79459910591443383</v>
      </c>
      <c r="C379" s="97">
        <v>0.48058523311101037</v>
      </c>
      <c r="D379" s="97"/>
      <c r="E379" s="97"/>
      <c r="F379" s="106">
        <v>46250.75</v>
      </c>
      <c r="G379" s="97">
        <v>56.353093783060714</v>
      </c>
      <c r="H379" s="97">
        <v>24.026277391995364</v>
      </c>
      <c r="I379" s="97"/>
      <c r="J379" s="97"/>
    </row>
    <row r="380" spans="1:10" ht="15.75" customHeight="1" x14ac:dyDescent="0.25">
      <c r="A380" s="102">
        <v>46250.791666666664</v>
      </c>
      <c r="B380" s="97">
        <v>0.82006465593973799</v>
      </c>
      <c r="C380" s="97">
        <v>0.59088005408232391</v>
      </c>
      <c r="D380" s="97"/>
      <c r="E380" s="97"/>
      <c r="F380" s="106">
        <v>46250.791666666664</v>
      </c>
      <c r="G380" s="97">
        <v>60.091320419311522</v>
      </c>
      <c r="H380" s="97">
        <v>28.402178229079418</v>
      </c>
      <c r="I380" s="97"/>
      <c r="J380" s="97"/>
    </row>
    <row r="381" spans="1:10" ht="15.75" customHeight="1" x14ac:dyDescent="0.25">
      <c r="A381" s="102">
        <v>46250.833333333336</v>
      </c>
      <c r="B381" s="97">
        <v>0.80297459165255225</v>
      </c>
      <c r="C381" s="97">
        <v>0.57289013466816185</v>
      </c>
      <c r="D381" s="97"/>
      <c r="E381" s="97"/>
      <c r="F381" s="106">
        <v>46250.833333333336</v>
      </c>
      <c r="G381" s="97">
        <v>58.557120577494302</v>
      </c>
      <c r="H381" s="97">
        <v>28.693708584713839</v>
      </c>
      <c r="I381" s="97"/>
      <c r="J381" s="97"/>
    </row>
    <row r="382" spans="1:10" ht="15.75" customHeight="1" x14ac:dyDescent="0.25">
      <c r="A382" s="102">
        <v>46250.875</v>
      </c>
      <c r="B382" s="97">
        <v>0.79663122693697619</v>
      </c>
      <c r="C382" s="97">
        <v>0.38986963634434429</v>
      </c>
      <c r="D382" s="97"/>
      <c r="E382" s="97"/>
      <c r="F382" s="106">
        <v>46250.875</v>
      </c>
      <c r="G382" s="97">
        <v>57.98725045522054</v>
      </c>
      <c r="H382" s="97">
        <v>24.897583887039911</v>
      </c>
      <c r="I382" s="97"/>
      <c r="J382" s="97"/>
    </row>
    <row r="383" spans="1:10" ht="15.75" customHeight="1" x14ac:dyDescent="0.25">
      <c r="A383" s="102">
        <v>46250.916666666664</v>
      </c>
      <c r="B383" s="97">
        <v>0.78302367329597478</v>
      </c>
      <c r="C383" s="97">
        <v>0.2096988694234328</v>
      </c>
      <c r="D383" s="97"/>
      <c r="E383" s="97"/>
      <c r="F383" s="106">
        <v>46250.916666666664</v>
      </c>
      <c r="G383" s="97">
        <v>57.61965662638346</v>
      </c>
      <c r="H383" s="97">
        <v>23.67747751149264</v>
      </c>
      <c r="I383" s="97"/>
      <c r="J383" s="97"/>
    </row>
    <row r="384" spans="1:10" ht="15.75" customHeight="1" x14ac:dyDescent="0.25">
      <c r="A384" s="102">
        <v>46250.958333333336</v>
      </c>
      <c r="B384" s="97">
        <v>0.78705999851226804</v>
      </c>
      <c r="C384" s="97">
        <v>0.21449324264827926</v>
      </c>
      <c r="D384" s="97"/>
      <c r="E384" s="97"/>
      <c r="F384" s="106">
        <v>46250.958333333336</v>
      </c>
      <c r="G384" s="97">
        <v>58.119261042277017</v>
      </c>
      <c r="H384" s="97">
        <v>23.45153665636839</v>
      </c>
      <c r="I384" s="97"/>
      <c r="J384" s="97"/>
    </row>
    <row r="385" spans="1:10" ht="15.75" customHeight="1" x14ac:dyDescent="0.25">
      <c r="A385" s="102">
        <v>46251</v>
      </c>
      <c r="B385" s="97">
        <v>0.77698456247647607</v>
      </c>
      <c r="C385" s="97">
        <v>0.2118210996917114</v>
      </c>
      <c r="D385" s="97"/>
      <c r="E385" s="97"/>
      <c r="F385" s="106">
        <v>46251</v>
      </c>
      <c r="G385" s="97">
        <v>56.766481590270999</v>
      </c>
      <c r="H385" s="97">
        <v>23.558553210360259</v>
      </c>
      <c r="I385" s="97"/>
      <c r="J385" s="97"/>
    </row>
    <row r="386" spans="1:10" ht="15.75" customHeight="1" x14ac:dyDescent="0.25">
      <c r="A386" s="102">
        <v>46251.041666666664</v>
      </c>
      <c r="B386" s="97">
        <v>0.74906608547483167</v>
      </c>
      <c r="C386" s="97">
        <v>0.22263049843754223</v>
      </c>
      <c r="D386" s="97"/>
      <c r="E386" s="97"/>
      <c r="F386" s="106">
        <v>46251.041666666664</v>
      </c>
      <c r="G386" s="97">
        <v>55.418242917742049</v>
      </c>
      <c r="H386" s="97">
        <v>23.632272753319722</v>
      </c>
      <c r="I386" s="97"/>
      <c r="J386" s="97"/>
    </row>
    <row r="387" spans="1:10" ht="15.75" customHeight="1" x14ac:dyDescent="0.25">
      <c r="A387" s="102">
        <v>46251.083333333336</v>
      </c>
      <c r="B387" s="97">
        <v>0.74392474889755245</v>
      </c>
      <c r="C387" s="97">
        <v>0.19849239802172064</v>
      </c>
      <c r="D387" s="97"/>
      <c r="E387" s="97"/>
      <c r="F387" s="106">
        <v>46251.083333333336</v>
      </c>
      <c r="G387" s="97">
        <v>55.606905492146808</v>
      </c>
      <c r="H387" s="97">
        <v>23.949671215690643</v>
      </c>
      <c r="I387" s="97"/>
      <c r="J387" s="97"/>
    </row>
    <row r="388" spans="1:10" ht="15.75" customHeight="1" x14ac:dyDescent="0.25">
      <c r="A388" s="102">
        <v>46251.125</v>
      </c>
      <c r="B388" s="97">
        <v>0.758700289328893</v>
      </c>
      <c r="C388" s="97">
        <v>0.19151313920972846</v>
      </c>
      <c r="D388" s="97"/>
      <c r="E388" s="97"/>
      <c r="F388" s="106">
        <v>46251.125</v>
      </c>
      <c r="G388" s="97">
        <v>56.20122826894125</v>
      </c>
      <c r="H388" s="97">
        <v>23.751074986966703</v>
      </c>
      <c r="I388" s="97"/>
      <c r="J388" s="97"/>
    </row>
    <row r="389" spans="1:10" ht="15.75" customHeight="1" x14ac:dyDescent="0.25">
      <c r="A389" s="102">
        <v>46251.166666666664</v>
      </c>
      <c r="B389" s="97">
        <v>0.7472568412621815</v>
      </c>
      <c r="C389" s="97">
        <v>0.18730150358845488</v>
      </c>
      <c r="D389" s="97"/>
      <c r="E389" s="97"/>
      <c r="F389" s="106">
        <v>46251.166666666664</v>
      </c>
      <c r="G389" s="97">
        <v>55.056954956054682</v>
      </c>
      <c r="H389" s="97">
        <v>23.469348127535756</v>
      </c>
      <c r="I389" s="97"/>
      <c r="J389" s="97"/>
    </row>
    <row r="390" spans="1:10" ht="15.75" customHeight="1" x14ac:dyDescent="0.25">
      <c r="A390" s="102">
        <v>46251.208333333336</v>
      </c>
      <c r="B390" s="97">
        <v>0.78407818873723345</v>
      </c>
      <c r="C390" s="97">
        <v>0.2540762784616924</v>
      </c>
      <c r="D390" s="97"/>
      <c r="E390" s="97"/>
      <c r="F390" s="106">
        <v>46251.208333333336</v>
      </c>
      <c r="G390" s="97">
        <v>55.666408983866376</v>
      </c>
      <c r="H390" s="97">
        <v>23.386911329496161</v>
      </c>
      <c r="I390" s="97"/>
      <c r="J390" s="97"/>
    </row>
    <row r="391" spans="1:10" ht="15.75" customHeight="1" x14ac:dyDescent="0.25">
      <c r="A391" s="102">
        <v>46251.25</v>
      </c>
      <c r="B391" s="97">
        <v>0.8828187882900238</v>
      </c>
      <c r="C391" s="97">
        <v>0.48716712551625824</v>
      </c>
      <c r="D391" s="97"/>
      <c r="E391" s="97"/>
      <c r="F391" s="106">
        <v>46251.25</v>
      </c>
      <c r="G391" s="97">
        <v>77.85431728363038</v>
      </c>
      <c r="H391" s="97">
        <v>23.062302282205209</v>
      </c>
      <c r="I391" s="97"/>
      <c r="J391" s="97"/>
    </row>
    <row r="392" spans="1:10" ht="15.75" customHeight="1" x14ac:dyDescent="0.25">
      <c r="A392" s="102">
        <v>46251.291666666664</v>
      </c>
      <c r="B392" s="97">
        <v>0.9126318673292797</v>
      </c>
      <c r="C392" s="97">
        <v>0.52785206500720605</v>
      </c>
      <c r="D392" s="97"/>
      <c r="E392" s="97"/>
      <c r="F392" s="106">
        <v>46251.291666666664</v>
      </c>
      <c r="G392" s="97">
        <v>87.355957285563164</v>
      </c>
      <c r="H392" s="97">
        <v>25.812943261602651</v>
      </c>
      <c r="I392" s="97"/>
      <c r="J392" s="97"/>
    </row>
    <row r="393" spans="1:10" ht="15.75" customHeight="1" x14ac:dyDescent="0.25">
      <c r="A393" s="102">
        <v>46251.333333333336</v>
      </c>
      <c r="B393" s="97">
        <v>0.93518513838450112</v>
      </c>
      <c r="C393" s="97">
        <v>0.40955540961898829</v>
      </c>
      <c r="D393" s="97"/>
      <c r="E393" s="97"/>
      <c r="F393" s="106">
        <v>46251.333333333336</v>
      </c>
      <c r="G393" s="97">
        <v>92.7612917582194</v>
      </c>
      <c r="H393" s="97">
        <v>24.624638846740421</v>
      </c>
      <c r="I393" s="97"/>
      <c r="J393" s="97"/>
    </row>
    <row r="394" spans="1:10" ht="15.75" customHeight="1" x14ac:dyDescent="0.25">
      <c r="A394" s="102">
        <v>46251.375</v>
      </c>
      <c r="B394" s="97">
        <v>0.96014410058657329</v>
      </c>
      <c r="C394" s="97">
        <v>0.64929946061415156</v>
      </c>
      <c r="D394" s="97"/>
      <c r="E394" s="97"/>
      <c r="F394" s="106">
        <v>46251.375</v>
      </c>
      <c r="G394" s="97">
        <v>124.99241689046224</v>
      </c>
      <c r="H394" s="97">
        <v>33.727771541346669</v>
      </c>
      <c r="I394" s="97"/>
      <c r="J394" s="97"/>
    </row>
    <row r="395" spans="1:10" ht="15.75" customHeight="1" x14ac:dyDescent="0.25">
      <c r="A395" s="102">
        <v>46251.416666666664</v>
      </c>
      <c r="B395" s="97">
        <v>0.95321024656295783</v>
      </c>
      <c r="C395" s="97">
        <v>0.70889202543633734</v>
      </c>
      <c r="D395" s="97"/>
      <c r="E395" s="97"/>
      <c r="F395" s="106">
        <v>46251.416666666664</v>
      </c>
      <c r="G395" s="97">
        <v>122.30608660380045</v>
      </c>
      <c r="H395" s="97">
        <v>32.472868970260322</v>
      </c>
      <c r="I395" s="97"/>
      <c r="J395" s="97"/>
    </row>
    <row r="396" spans="1:10" ht="15.75" customHeight="1" x14ac:dyDescent="0.25">
      <c r="A396" s="102">
        <v>46251.458333333336</v>
      </c>
      <c r="B396" s="97">
        <v>0.95601266423861186</v>
      </c>
      <c r="C396" s="97">
        <v>0.52997299946343945</v>
      </c>
      <c r="D396" s="97"/>
      <c r="E396" s="97"/>
      <c r="F396" s="106">
        <v>46251.458333333336</v>
      </c>
      <c r="G396" s="97">
        <v>124.92526028951008</v>
      </c>
      <c r="H396" s="97">
        <v>27.138342982695509</v>
      </c>
      <c r="I396" s="97"/>
      <c r="J396" s="97"/>
    </row>
    <row r="397" spans="1:10" ht="15.75" customHeight="1" x14ac:dyDescent="0.25">
      <c r="A397" s="102">
        <v>46251.5</v>
      </c>
      <c r="B397" s="97">
        <v>0.95753801606950306</v>
      </c>
      <c r="C397" s="97">
        <v>0.49751393114154052</v>
      </c>
      <c r="D397" s="97"/>
      <c r="E397" s="97"/>
      <c r="F397" s="106">
        <v>46251.5</v>
      </c>
      <c r="G397" s="97">
        <v>125.46830447968981</v>
      </c>
      <c r="H397" s="97">
        <v>26.416974272181395</v>
      </c>
      <c r="I397" s="97"/>
      <c r="J397" s="97"/>
    </row>
    <row r="398" spans="1:10" ht="15.75" customHeight="1" x14ac:dyDescent="0.25">
      <c r="A398" s="102">
        <v>46251.541666666664</v>
      </c>
      <c r="B398" s="97">
        <v>0.96387325797603407</v>
      </c>
      <c r="C398" s="97">
        <v>0.45846599346328626</v>
      </c>
      <c r="D398" s="97"/>
      <c r="E398" s="97"/>
      <c r="F398" s="106">
        <v>46251.541666666664</v>
      </c>
      <c r="G398" s="97">
        <v>116.21842966324243</v>
      </c>
      <c r="H398" s="97">
        <v>24.63994535344392</v>
      </c>
      <c r="I398" s="97"/>
      <c r="J398" s="97"/>
    </row>
    <row r="399" spans="1:10" ht="15.75" customHeight="1" x14ac:dyDescent="0.25">
      <c r="A399" s="102">
        <v>46251.583333333336</v>
      </c>
      <c r="B399" s="97">
        <v>0.9688129541201469</v>
      </c>
      <c r="C399" s="97">
        <v>0.49576404278457403</v>
      </c>
      <c r="D399" s="97"/>
      <c r="E399" s="97"/>
      <c r="F399" s="106">
        <v>46251.583333333336</v>
      </c>
      <c r="G399" s="97">
        <v>119.35993513100314</v>
      </c>
      <c r="H399" s="97">
        <v>25.42058967978587</v>
      </c>
      <c r="I399" s="97"/>
      <c r="J399" s="97"/>
    </row>
    <row r="400" spans="1:10" ht="15.75" customHeight="1" x14ac:dyDescent="0.25">
      <c r="A400" s="102">
        <v>46251.625</v>
      </c>
      <c r="B400" s="97">
        <v>0.95946812218143829</v>
      </c>
      <c r="C400" s="97">
        <v>0.53035288713430695</v>
      </c>
      <c r="D400" s="97"/>
      <c r="E400" s="97"/>
      <c r="F400" s="106">
        <v>46251.625</v>
      </c>
      <c r="G400" s="97">
        <v>117.57608551752</v>
      </c>
      <c r="H400" s="97">
        <v>26.343665978654101</v>
      </c>
      <c r="I400" s="97"/>
      <c r="J400" s="97"/>
    </row>
    <row r="401" spans="1:10" ht="15.75" customHeight="1" x14ac:dyDescent="0.25">
      <c r="A401" s="102">
        <v>46251.666666666664</v>
      </c>
      <c r="B401" s="97">
        <v>0.95211906291189641</v>
      </c>
      <c r="C401" s="97">
        <v>0.68990709352870239</v>
      </c>
      <c r="D401" s="97"/>
      <c r="E401" s="97"/>
      <c r="F401" s="106">
        <v>46251.666666666664</v>
      </c>
      <c r="G401" s="97">
        <v>118.96429330280849</v>
      </c>
      <c r="H401" s="97">
        <v>31.340143248968914</v>
      </c>
      <c r="I401" s="97"/>
      <c r="J401" s="97"/>
    </row>
    <row r="402" spans="1:10" ht="15.75" customHeight="1" x14ac:dyDescent="0.25">
      <c r="A402" s="102">
        <v>46251.708333333336</v>
      </c>
      <c r="B402" s="97">
        <v>0.93480886220932002</v>
      </c>
      <c r="C402" s="97">
        <v>0.81157296348230634</v>
      </c>
      <c r="D402" s="97"/>
      <c r="E402" s="97"/>
      <c r="F402" s="106">
        <v>46251.708333333336</v>
      </c>
      <c r="G402" s="97">
        <v>107.68786844412486</v>
      </c>
      <c r="H402" s="97">
        <v>38.807945473863207</v>
      </c>
      <c r="I402" s="97"/>
      <c r="J402" s="97"/>
    </row>
    <row r="403" spans="1:10" ht="15.75" customHeight="1" x14ac:dyDescent="0.25">
      <c r="A403" s="102">
        <v>46251.75</v>
      </c>
      <c r="B403" s="97">
        <v>0.93310136738277627</v>
      </c>
      <c r="C403" s="97">
        <v>0.83727627427210449</v>
      </c>
      <c r="D403" s="97"/>
      <c r="E403" s="97"/>
      <c r="F403" s="106">
        <v>46251.75</v>
      </c>
      <c r="G403" s="97">
        <v>102.78393396650043</v>
      </c>
      <c r="H403" s="97">
        <v>33.73389452719406</v>
      </c>
      <c r="I403" s="97"/>
      <c r="J403" s="97"/>
    </row>
    <row r="404" spans="1:10" ht="15.75" customHeight="1" x14ac:dyDescent="0.25">
      <c r="A404" s="102">
        <v>46251.791666666664</v>
      </c>
      <c r="B404" s="97">
        <v>0.89492774605751035</v>
      </c>
      <c r="C404" s="97">
        <v>0.81255170432004054</v>
      </c>
      <c r="D404" s="97"/>
      <c r="E404" s="97"/>
      <c r="F404" s="106">
        <v>46251.791666666664</v>
      </c>
      <c r="G404" s="97">
        <v>79.874490737915039</v>
      </c>
      <c r="H404" s="97">
        <v>35.016758031053513</v>
      </c>
      <c r="I404" s="97"/>
      <c r="J404" s="97"/>
    </row>
    <row r="405" spans="1:10" ht="15.75" customHeight="1" x14ac:dyDescent="0.25">
      <c r="A405" s="102">
        <v>46251.833333333336</v>
      </c>
      <c r="B405" s="97">
        <v>0.8289403557777405</v>
      </c>
      <c r="C405" s="97">
        <v>0.88505996333751757</v>
      </c>
      <c r="D405" s="97"/>
      <c r="E405" s="97"/>
      <c r="F405" s="106">
        <v>46251.833333333336</v>
      </c>
      <c r="G405" s="97">
        <v>63.878257179260252</v>
      </c>
      <c r="H405" s="97">
        <v>47.371320117603652</v>
      </c>
      <c r="I405" s="97"/>
      <c r="J405" s="97"/>
    </row>
    <row r="406" spans="1:10" ht="15.75" customHeight="1" x14ac:dyDescent="0.25">
      <c r="A406" s="102">
        <v>46251.875</v>
      </c>
      <c r="B406" s="97">
        <v>0.7880104998747508</v>
      </c>
      <c r="C406" s="97">
        <v>0.72026589601171809</v>
      </c>
      <c r="D406" s="97"/>
      <c r="E406" s="97"/>
      <c r="F406" s="106">
        <v>46251.875</v>
      </c>
      <c r="G406" s="97">
        <v>57.58379395802816</v>
      </c>
      <c r="H406" s="97">
        <v>31.909297596324574</v>
      </c>
      <c r="I406" s="97"/>
      <c r="J406" s="97"/>
    </row>
    <row r="407" spans="1:10" ht="15.75" customHeight="1" x14ac:dyDescent="0.25">
      <c r="A407" s="102">
        <v>46251.916666666664</v>
      </c>
      <c r="B407" s="97">
        <v>0.78208569089571633</v>
      </c>
      <c r="C407" s="97">
        <v>0.66599618081047607</v>
      </c>
      <c r="D407" s="97"/>
      <c r="E407" s="97"/>
      <c r="F407" s="106">
        <v>46251.916666666664</v>
      </c>
      <c r="G407" s="97">
        <v>56.854113515218096</v>
      </c>
      <c r="H407" s="97">
        <v>26.644302921332862</v>
      </c>
      <c r="I407" s="97"/>
      <c r="J407" s="97"/>
    </row>
    <row r="408" spans="1:10" ht="15.75" customHeight="1" x14ac:dyDescent="0.25">
      <c r="A408" s="102">
        <v>46251.958333333336</v>
      </c>
      <c r="B408" s="97">
        <v>0.77705606619517009</v>
      </c>
      <c r="C408" s="97">
        <v>0.68133382075153315</v>
      </c>
      <c r="D408" s="97"/>
      <c r="E408" s="97"/>
      <c r="F408" s="106">
        <v>46251.958333333336</v>
      </c>
      <c r="G408" s="97">
        <v>56.90659364064534</v>
      </c>
      <c r="H408" s="97">
        <v>27.694964994083751</v>
      </c>
      <c r="I408" s="97"/>
      <c r="J408" s="97"/>
    </row>
    <row r="409" spans="1:10" ht="15.75" customHeight="1" x14ac:dyDescent="0.25">
      <c r="A409" s="102">
        <v>46252</v>
      </c>
      <c r="B409" s="97">
        <v>0.77602240443229675</v>
      </c>
      <c r="C409" s="97">
        <v>0.62758652942453919</v>
      </c>
      <c r="D409" s="97"/>
      <c r="E409" s="97"/>
      <c r="F409" s="106">
        <v>46252</v>
      </c>
      <c r="G409" s="97">
        <v>56.946665128072105</v>
      </c>
      <c r="H409" s="97">
        <v>25.836303432939552</v>
      </c>
      <c r="I409" s="97"/>
      <c r="J409" s="97"/>
    </row>
    <row r="410" spans="1:10" ht="15.75" customHeight="1" x14ac:dyDescent="0.25">
      <c r="A410" s="102">
        <v>46252.041666666664</v>
      </c>
      <c r="B410" s="97">
        <v>0.74273735086123149</v>
      </c>
      <c r="C410" s="97">
        <v>0.63809309134134662</v>
      </c>
      <c r="D410" s="97"/>
      <c r="E410" s="97"/>
      <c r="F410" s="106">
        <v>46252.041666666664</v>
      </c>
      <c r="G410" s="97">
        <v>55.477460670471189</v>
      </c>
      <c r="H410" s="97">
        <v>27.489532836341105</v>
      </c>
      <c r="I410" s="97"/>
      <c r="J410" s="97"/>
    </row>
    <row r="411" spans="1:10" ht="15.75" customHeight="1" x14ac:dyDescent="0.25">
      <c r="A411" s="102">
        <v>46252.083333333336</v>
      </c>
      <c r="B411" s="97">
        <v>0.73028717239697771</v>
      </c>
      <c r="C411" s="97">
        <v>0.72584639707572851</v>
      </c>
      <c r="D411" s="97"/>
      <c r="E411" s="97"/>
      <c r="F411" s="106">
        <v>46252.083333333336</v>
      </c>
      <c r="G411" s="97">
        <v>54.576590029398602</v>
      </c>
      <c r="H411" s="97">
        <v>32.06428533015044</v>
      </c>
      <c r="I411" s="97"/>
      <c r="J411" s="97"/>
    </row>
    <row r="412" spans="1:10" ht="15.75" customHeight="1" x14ac:dyDescent="0.25">
      <c r="A412" s="102">
        <v>46252.125</v>
      </c>
      <c r="B412" s="97">
        <v>0.7414685666561126</v>
      </c>
      <c r="C412" s="97">
        <v>0.86363161375871289</v>
      </c>
      <c r="D412" s="97"/>
      <c r="E412" s="97"/>
      <c r="F412" s="106">
        <v>46252.125</v>
      </c>
      <c r="G412" s="97">
        <v>55.881048393249507</v>
      </c>
      <c r="H412" s="97">
        <v>43.031494112354025</v>
      </c>
      <c r="I412" s="97"/>
      <c r="J412" s="97"/>
    </row>
    <row r="413" spans="1:10" ht="15.75" customHeight="1" x14ac:dyDescent="0.25">
      <c r="A413" s="102">
        <v>46252.166666666664</v>
      </c>
      <c r="B413" s="97">
        <v>0.73107079664866126</v>
      </c>
      <c r="C413" s="97">
        <v>0.67860080743495654</v>
      </c>
      <c r="D413" s="97"/>
      <c r="E413" s="97"/>
      <c r="F413" s="106">
        <v>46252.166666666664</v>
      </c>
      <c r="G413" s="97">
        <v>54.413338851928707</v>
      </c>
      <c r="H413" s="97">
        <v>29.843401680821959</v>
      </c>
      <c r="I413" s="97"/>
      <c r="J413" s="97"/>
    </row>
    <row r="414" spans="1:10" ht="15.75" customHeight="1" x14ac:dyDescent="0.25">
      <c r="A414" s="102">
        <v>46252.208333333336</v>
      </c>
      <c r="B414" s="97">
        <v>0.75154597361882525</v>
      </c>
      <c r="C414" s="97">
        <v>0.78385884565091413</v>
      </c>
      <c r="D414" s="97"/>
      <c r="E414" s="97"/>
      <c r="F414" s="106">
        <v>46252.208333333336</v>
      </c>
      <c r="G414" s="97">
        <v>53.377280998229985</v>
      </c>
      <c r="H414" s="97">
        <v>35.172099764639214</v>
      </c>
      <c r="I414" s="97"/>
      <c r="J414" s="97"/>
    </row>
    <row r="415" spans="1:10" ht="15.75" customHeight="1" x14ac:dyDescent="0.25">
      <c r="A415" s="107">
        <v>45156.25</v>
      </c>
      <c r="B415" s="97">
        <v>0.88033103346824637</v>
      </c>
      <c r="C415" s="97">
        <v>0.90644351920120336</v>
      </c>
      <c r="D415" s="97"/>
      <c r="E415" s="97"/>
      <c r="F415" s="108">
        <v>45156.25</v>
      </c>
      <c r="G415" s="97">
        <v>64.475172233581546</v>
      </c>
      <c r="H415" s="97">
        <v>16.658441141660035</v>
      </c>
      <c r="I415" s="97"/>
      <c r="J415" s="97"/>
    </row>
    <row r="416" spans="1:10" ht="15.75" customHeight="1" x14ac:dyDescent="0.25">
      <c r="A416" s="107">
        <v>45156.291666666672</v>
      </c>
      <c r="B416" s="97">
        <v>0.90435696442921965</v>
      </c>
      <c r="C416" s="97">
        <v>0.68300749803249072</v>
      </c>
      <c r="D416" s="97"/>
      <c r="E416" s="97"/>
      <c r="F416" s="108">
        <v>45156.291666666672</v>
      </c>
      <c r="G416" s="97">
        <v>71.420712280273435</v>
      </c>
      <c r="H416" s="97">
        <v>8.6067514652791228</v>
      </c>
      <c r="I416" s="97"/>
      <c r="J416" s="97"/>
    </row>
    <row r="417" spans="1:10" ht="15.75" customHeight="1" x14ac:dyDescent="0.25">
      <c r="A417" s="107">
        <v>45156.333333333328</v>
      </c>
      <c r="B417" s="97">
        <v>0.92610448698202763</v>
      </c>
      <c r="C417" s="97">
        <v>0.77249031605221063</v>
      </c>
      <c r="D417" s="97"/>
      <c r="E417" s="97"/>
      <c r="F417" s="108">
        <v>45156.333333333328</v>
      </c>
      <c r="G417" s="97">
        <v>94.968141047159833</v>
      </c>
      <c r="H417" s="97">
        <v>11.582193806708565</v>
      </c>
      <c r="I417" s="97"/>
      <c r="J417" s="97"/>
    </row>
    <row r="418" spans="1:10" ht="15.75" customHeight="1" x14ac:dyDescent="0.25">
      <c r="A418" s="107">
        <v>45156.375</v>
      </c>
      <c r="B418" s="97">
        <v>0.94426767627398178</v>
      </c>
      <c r="C418" s="97">
        <v>0.93064198239518714</v>
      </c>
      <c r="D418" s="97"/>
      <c r="E418" s="97"/>
      <c r="F418" s="108">
        <v>45156.375</v>
      </c>
      <c r="G418" s="97">
        <v>111.65450159708658</v>
      </c>
      <c r="H418" s="97">
        <v>12.763984617508449</v>
      </c>
      <c r="I418" s="97"/>
      <c r="J418" s="97"/>
    </row>
    <row r="419" spans="1:10" ht="15.75" customHeight="1" x14ac:dyDescent="0.25">
      <c r="A419" s="107">
        <v>45156.416666666672</v>
      </c>
      <c r="B419" s="97">
        <v>0.94244811336199441</v>
      </c>
      <c r="C419" s="97">
        <v>0.94840209401054343</v>
      </c>
      <c r="D419" s="97"/>
      <c r="E419" s="97"/>
      <c r="F419" s="108">
        <v>45156.416666666672</v>
      </c>
      <c r="G419" s="97">
        <v>104.24178136189778</v>
      </c>
      <c r="H419" s="97">
        <v>14.846739658253938</v>
      </c>
      <c r="I419" s="97"/>
      <c r="J419" s="97"/>
    </row>
    <row r="420" spans="1:10" ht="15.75" customHeight="1" x14ac:dyDescent="0.25">
      <c r="A420" s="107">
        <v>45156.458333333328</v>
      </c>
      <c r="B420" s="97">
        <v>0.94872338871161144</v>
      </c>
      <c r="C420" s="97">
        <v>0.94814624322261742</v>
      </c>
      <c r="D420" s="97"/>
      <c r="E420" s="97"/>
      <c r="F420" s="108">
        <v>45156.458333333328</v>
      </c>
      <c r="G420" s="97">
        <v>110.00164171854655</v>
      </c>
      <c r="H420" s="97">
        <v>15.577851012761414</v>
      </c>
      <c r="I420" s="97"/>
      <c r="J420" s="97"/>
    </row>
    <row r="421" spans="1:10" ht="15.75" customHeight="1" x14ac:dyDescent="0.25">
      <c r="A421" s="107">
        <v>45156.5</v>
      </c>
      <c r="B421" s="97">
        <v>0.95732672015825904</v>
      </c>
      <c r="C421" s="97">
        <v>0.91397625419933326</v>
      </c>
      <c r="D421" s="97"/>
      <c r="E421" s="97"/>
      <c r="F421" s="108">
        <v>45156.5</v>
      </c>
      <c r="G421" s="97">
        <v>122.10032602945964</v>
      </c>
      <c r="H421" s="97">
        <v>13.400500707946748</v>
      </c>
      <c r="I421" s="97"/>
      <c r="J421" s="97"/>
    </row>
    <row r="422" spans="1:10" ht="15.75" customHeight="1" x14ac:dyDescent="0.25">
      <c r="A422" s="107">
        <v>45156.541666666672</v>
      </c>
      <c r="B422" s="97">
        <v>0.95990056693553927</v>
      </c>
      <c r="C422" s="97">
        <v>0.96702595847279649</v>
      </c>
      <c r="D422" s="97"/>
      <c r="E422" s="97"/>
      <c r="F422" s="108">
        <v>45156.541666666672</v>
      </c>
      <c r="G422" s="97">
        <v>103.17728958129882</v>
      </c>
      <c r="H422" s="97">
        <v>24.466744291923735</v>
      </c>
      <c r="I422" s="97"/>
      <c r="J422" s="97"/>
    </row>
    <row r="423" spans="1:10" ht="15.75" customHeight="1" x14ac:dyDescent="0.25">
      <c r="A423" s="107">
        <v>45156.583333333328</v>
      </c>
      <c r="B423" s="97">
        <v>0.95142456690470389</v>
      </c>
      <c r="C423" s="97">
        <v>0.95396115990142105</v>
      </c>
      <c r="D423" s="97"/>
      <c r="E423" s="97"/>
      <c r="F423" s="108">
        <v>45156.583333333328</v>
      </c>
      <c r="G423" s="97">
        <v>86.544682184855148</v>
      </c>
      <c r="H423" s="97">
        <v>15.435016641032554</v>
      </c>
      <c r="I423" s="97"/>
      <c r="J423" s="97"/>
    </row>
    <row r="424" spans="1:10" ht="15.75" customHeight="1" x14ac:dyDescent="0.25">
      <c r="A424" s="107">
        <v>45156.625</v>
      </c>
      <c r="B424" s="97">
        <v>0.96179422338803611</v>
      </c>
      <c r="C424" s="97">
        <v>0.92502470202596765</v>
      </c>
      <c r="D424" s="97"/>
      <c r="E424" s="97"/>
      <c r="F424" s="108">
        <v>45156.625</v>
      </c>
      <c r="G424" s="97">
        <v>103.93619168599446</v>
      </c>
      <c r="H424" s="97">
        <v>13.803777014785133</v>
      </c>
      <c r="I424" s="97"/>
      <c r="J424" s="97"/>
    </row>
    <row r="425" spans="1:10" ht="15.75" customHeight="1" x14ac:dyDescent="0.25">
      <c r="A425" s="107">
        <v>45156.666666666672</v>
      </c>
      <c r="B425" s="97">
        <v>0.9569977988799413</v>
      </c>
      <c r="C425" s="97">
        <v>0.94630416927365923</v>
      </c>
      <c r="D425" s="97"/>
      <c r="E425" s="97"/>
      <c r="F425" s="108">
        <v>45156.666666666672</v>
      </c>
      <c r="G425" s="97">
        <v>96.030962117513013</v>
      </c>
      <c r="H425" s="97">
        <v>12.658605712675765</v>
      </c>
      <c r="I425" s="97"/>
      <c r="J425" s="97"/>
    </row>
    <row r="426" spans="1:10" ht="15.75" customHeight="1" x14ac:dyDescent="0.25">
      <c r="A426" s="107">
        <v>45156.708333333328</v>
      </c>
      <c r="B426" s="97">
        <v>0.95429869691530866</v>
      </c>
      <c r="C426" s="97">
        <v>0.92383562440693145</v>
      </c>
      <c r="D426" s="97"/>
      <c r="E426" s="97"/>
      <c r="F426" s="108">
        <v>45156.708333333328</v>
      </c>
      <c r="G426" s="97">
        <v>89.917808659871412</v>
      </c>
      <c r="H426" s="97">
        <v>12.561023322489891</v>
      </c>
      <c r="I426" s="97"/>
      <c r="J426" s="97"/>
    </row>
    <row r="427" spans="1:10" ht="15.75" customHeight="1" x14ac:dyDescent="0.25">
      <c r="A427" s="107">
        <v>45156.75</v>
      </c>
      <c r="B427" s="97">
        <v>0.91155158281326298</v>
      </c>
      <c r="C427" s="97">
        <v>0.97293773096187308</v>
      </c>
      <c r="D427" s="97"/>
      <c r="E427" s="97"/>
      <c r="F427" s="108">
        <v>45156.75</v>
      </c>
      <c r="G427" s="97">
        <v>67.533306503295904</v>
      </c>
      <c r="H427" s="97">
        <v>17.08550408423654</v>
      </c>
      <c r="I427" s="97"/>
      <c r="J427" s="97"/>
    </row>
    <row r="428" spans="1:10" ht="15.75" customHeight="1" x14ac:dyDescent="0.25">
      <c r="A428" s="107">
        <v>45156.791666666672</v>
      </c>
      <c r="B428" s="97">
        <v>0.85949096679687498</v>
      </c>
      <c r="C428" s="97">
        <v>0.98576779157041095</v>
      </c>
      <c r="D428" s="97"/>
      <c r="E428" s="97"/>
      <c r="F428" s="108">
        <v>45156.791666666672</v>
      </c>
      <c r="G428" s="97">
        <v>59.336271031697592</v>
      </c>
      <c r="H428" s="97">
        <v>23.816245590745226</v>
      </c>
      <c r="I428" s="97"/>
      <c r="J428" s="97"/>
    </row>
    <row r="429" spans="1:10" ht="15.75" customHeight="1" x14ac:dyDescent="0.25">
      <c r="A429" s="107">
        <v>45156.833333333328</v>
      </c>
      <c r="B429" s="97">
        <v>0.78006352143628244</v>
      </c>
      <c r="C429" s="97">
        <v>0.9819936971713904</v>
      </c>
      <c r="D429" s="97"/>
      <c r="E429" s="97"/>
      <c r="F429" s="108">
        <v>45156.833333333328</v>
      </c>
      <c r="G429" s="97">
        <v>50.590182617732459</v>
      </c>
      <c r="H429" s="97">
        <v>22.382826091743741</v>
      </c>
      <c r="I429" s="97"/>
      <c r="J429" s="97"/>
    </row>
    <row r="430" spans="1:10" ht="15.75" customHeight="1" x14ac:dyDescent="0.25">
      <c r="A430" s="107">
        <v>45156.875</v>
      </c>
      <c r="B430" s="97">
        <v>0.73771216471989942</v>
      </c>
      <c r="C430" s="97">
        <v>0.96593950523924921</v>
      </c>
      <c r="D430" s="97"/>
      <c r="E430" s="97"/>
      <c r="F430" s="108">
        <v>45156.875</v>
      </c>
      <c r="G430" s="97">
        <v>46.831659889221193</v>
      </c>
      <c r="H430" s="97">
        <v>23.165713984033335</v>
      </c>
      <c r="I430" s="97"/>
      <c r="J430" s="97"/>
    </row>
    <row r="431" spans="1:10" ht="15.75" customHeight="1" x14ac:dyDescent="0.25">
      <c r="A431" s="107">
        <v>45156.916666666672</v>
      </c>
      <c r="B431" s="97">
        <v>0.79012780388196302</v>
      </c>
      <c r="C431" s="97">
        <v>0.90330337600510102</v>
      </c>
      <c r="D431" s="97"/>
      <c r="E431" s="97"/>
      <c r="F431" s="108">
        <v>45156.916666666672</v>
      </c>
      <c r="G431" s="97">
        <v>48.232030042012539</v>
      </c>
      <c r="H431" s="97">
        <v>17.31931274446103</v>
      </c>
      <c r="I431" s="97"/>
      <c r="J431" s="97"/>
    </row>
    <row r="432" spans="1:10" ht="15.75" customHeight="1" x14ac:dyDescent="0.25">
      <c r="A432" s="107">
        <v>45156.958333333328</v>
      </c>
      <c r="B432" s="97">
        <v>0.68859760761260991</v>
      </c>
      <c r="C432" s="97">
        <v>0.78499955486638739</v>
      </c>
      <c r="D432" s="97"/>
      <c r="E432" s="97"/>
      <c r="F432" s="108">
        <v>45156.958333333328</v>
      </c>
      <c r="G432" s="97">
        <v>44.939713350931797</v>
      </c>
      <c r="H432" s="97">
        <v>9.5550385968016069</v>
      </c>
      <c r="I432" s="97"/>
      <c r="J432" s="97"/>
    </row>
    <row r="433" spans="1:10" ht="15.75" customHeight="1" x14ac:dyDescent="0.25">
      <c r="A433" s="107">
        <v>45157</v>
      </c>
      <c r="B433" s="97">
        <v>0.78238610029220579</v>
      </c>
      <c r="C433" s="97">
        <v>0.78690753865383356</v>
      </c>
      <c r="D433" s="97"/>
      <c r="E433" s="97"/>
      <c r="F433" s="108">
        <v>45157</v>
      </c>
      <c r="G433" s="97">
        <v>46.78369483947754</v>
      </c>
      <c r="H433" s="97">
        <v>9.775778111261813</v>
      </c>
      <c r="I433" s="97"/>
      <c r="J433" s="97"/>
    </row>
    <row r="434" spans="1:10" ht="15.75" customHeight="1" x14ac:dyDescent="0.25">
      <c r="A434" s="107">
        <v>45157.041666666672</v>
      </c>
      <c r="B434" s="97">
        <v>0.77206565539042149</v>
      </c>
      <c r="C434" s="97">
        <v>0.78275435332488641</v>
      </c>
      <c r="D434" s="97"/>
      <c r="E434" s="97"/>
      <c r="F434" s="108">
        <v>45157.041666666672</v>
      </c>
      <c r="G434" s="97">
        <v>46.747538757324222</v>
      </c>
      <c r="H434" s="97">
        <v>9.590148578990588</v>
      </c>
      <c r="I434" s="97"/>
      <c r="J434" s="97"/>
    </row>
    <row r="435" spans="1:10" ht="15.75" customHeight="1" x14ac:dyDescent="0.25">
      <c r="A435" s="107">
        <v>45157.083333333328</v>
      </c>
      <c r="B435" s="97">
        <v>0.70216510912019103</v>
      </c>
      <c r="C435" s="97">
        <v>0.77861888359186682</v>
      </c>
      <c r="D435" s="97"/>
      <c r="E435" s="97"/>
      <c r="F435" s="108">
        <v>45157.083333333328</v>
      </c>
      <c r="G435" s="97">
        <v>45.227340946121821</v>
      </c>
      <c r="H435" s="97">
        <v>9.592698271095518</v>
      </c>
      <c r="I435" s="97"/>
      <c r="J435" s="97"/>
    </row>
    <row r="436" spans="1:10" ht="15.75" customHeight="1" x14ac:dyDescent="0.25">
      <c r="A436" s="107">
        <v>45157.125</v>
      </c>
      <c r="B436" s="97">
        <v>0.69490275496528253</v>
      </c>
      <c r="C436" s="97">
        <v>0.77964568409052759</v>
      </c>
      <c r="D436" s="97"/>
      <c r="E436" s="97"/>
      <c r="F436" s="108">
        <v>45157.125</v>
      </c>
      <c r="G436" s="97">
        <v>45.305828673498972</v>
      </c>
      <c r="H436" s="97">
        <v>9.6120159409262911</v>
      </c>
      <c r="I436" s="97"/>
      <c r="J436" s="97"/>
    </row>
    <row r="437" spans="1:10" ht="15.75" customHeight="1" x14ac:dyDescent="0.25">
      <c r="A437" s="107">
        <v>45157.166666666672</v>
      </c>
      <c r="B437" s="97">
        <v>0.70158744851748145</v>
      </c>
      <c r="C437" s="97">
        <v>0.77891805591319385</v>
      </c>
      <c r="D437" s="97"/>
      <c r="E437" s="97"/>
      <c r="F437" s="108">
        <v>45157.166666666672</v>
      </c>
      <c r="G437" s="97">
        <v>45.623165540206131</v>
      </c>
      <c r="H437" s="97">
        <v>9.6631896264939439</v>
      </c>
      <c r="I437" s="97"/>
      <c r="J437" s="97"/>
    </row>
    <row r="438" spans="1:10" ht="15.75" customHeight="1" x14ac:dyDescent="0.25">
      <c r="A438" s="107">
        <v>45157.208333333328</v>
      </c>
      <c r="B438" s="97">
        <v>0.67578893348629221</v>
      </c>
      <c r="C438" s="97">
        <v>0.7733403279965102</v>
      </c>
      <c r="D438" s="97"/>
      <c r="E438" s="97"/>
      <c r="F438" s="108">
        <v>45157.208333333328</v>
      </c>
      <c r="G438" s="97">
        <v>44.194378441506693</v>
      </c>
      <c r="H438" s="97">
        <v>9.3853496004470252</v>
      </c>
      <c r="I438" s="97"/>
      <c r="J438" s="97"/>
    </row>
    <row r="439" spans="1:10" ht="15.75" customHeight="1" x14ac:dyDescent="0.25">
      <c r="A439" s="107">
        <v>45157.25</v>
      </c>
      <c r="B439" s="97">
        <v>0.76660801298343217</v>
      </c>
      <c r="C439" s="97">
        <v>0.93896315061292157</v>
      </c>
      <c r="D439" s="97"/>
      <c r="E439" s="97"/>
      <c r="F439" s="108">
        <v>45157.25</v>
      </c>
      <c r="G439" s="97">
        <v>47.304124324749679</v>
      </c>
      <c r="H439" s="97">
        <v>20.056131170672391</v>
      </c>
      <c r="I439" s="97"/>
      <c r="J439" s="97"/>
    </row>
    <row r="440" spans="1:10" ht="15.75" customHeight="1" x14ac:dyDescent="0.25">
      <c r="A440" s="107">
        <v>45157.291666666672</v>
      </c>
      <c r="B440" s="97">
        <v>0.82224153809167522</v>
      </c>
      <c r="C440" s="97">
        <v>0.97274281644067273</v>
      </c>
      <c r="D440" s="97"/>
      <c r="E440" s="97"/>
      <c r="F440" s="108">
        <v>45157.291666666672</v>
      </c>
      <c r="G440" s="97">
        <v>50.921208917876299</v>
      </c>
      <c r="H440" s="97">
        <v>16.333949492382906</v>
      </c>
      <c r="I440" s="97"/>
      <c r="J440" s="97"/>
    </row>
    <row r="441" spans="1:10" ht="15.75" customHeight="1" x14ac:dyDescent="0.25">
      <c r="A441" s="107">
        <v>45157.333333333328</v>
      </c>
      <c r="B441" s="97">
        <v>0.80417648489986149</v>
      </c>
      <c r="C441" s="97">
        <v>0.95184240734624281</v>
      </c>
      <c r="D441" s="97"/>
      <c r="E441" s="97"/>
      <c r="F441" s="108">
        <v>45157.333333333328</v>
      </c>
      <c r="G441" s="97">
        <v>53.894551299867175</v>
      </c>
      <c r="H441" s="97">
        <v>13.810838855302382</v>
      </c>
      <c r="I441" s="97"/>
      <c r="J441" s="97"/>
    </row>
    <row r="442" spans="1:10" ht="15.75" customHeight="1" x14ac:dyDescent="0.25">
      <c r="A442" s="107">
        <v>45157.375</v>
      </c>
      <c r="B442" s="97">
        <v>0.84859027828161537</v>
      </c>
      <c r="C442" s="97">
        <v>0.88965600028103997</v>
      </c>
      <c r="D442" s="97"/>
      <c r="E442" s="97"/>
      <c r="F442" s="108">
        <v>45157.375</v>
      </c>
      <c r="G442" s="97">
        <v>59.559724933498508</v>
      </c>
      <c r="H442" s="97">
        <v>11.701809223932713</v>
      </c>
      <c r="I442" s="97"/>
      <c r="J442" s="97"/>
    </row>
    <row r="443" spans="1:10" ht="15.75" customHeight="1" x14ac:dyDescent="0.25">
      <c r="A443" s="107">
        <v>45157.416666666672</v>
      </c>
      <c r="B443" s="97">
        <v>0.83859081489917564</v>
      </c>
      <c r="C443" s="97">
        <v>0.83248427745853015</v>
      </c>
      <c r="D443" s="97"/>
      <c r="E443" s="97"/>
      <c r="F443" s="108">
        <v>45157.416666666672</v>
      </c>
      <c r="G443" s="97">
        <v>56.766298043422218</v>
      </c>
      <c r="H443" s="97">
        <v>10.221480306429354</v>
      </c>
      <c r="I443" s="97"/>
      <c r="J443" s="97"/>
    </row>
    <row r="444" spans="1:10" ht="15.75" customHeight="1" x14ac:dyDescent="0.25">
      <c r="A444" s="107">
        <v>45157.458333333328</v>
      </c>
      <c r="B444" s="97">
        <v>0.78343630028076661</v>
      </c>
      <c r="C444" s="97">
        <v>0.91263654030005448</v>
      </c>
      <c r="D444" s="97"/>
      <c r="E444" s="97"/>
      <c r="F444" s="108">
        <v>45157.458333333328</v>
      </c>
      <c r="G444" s="97">
        <v>52.775159334525085</v>
      </c>
      <c r="H444" s="97">
        <v>13.548768217855763</v>
      </c>
      <c r="I444" s="97"/>
      <c r="J444" s="97"/>
    </row>
    <row r="445" spans="1:10" ht="15.75" customHeight="1" x14ac:dyDescent="0.25">
      <c r="A445" s="107">
        <v>45157.5</v>
      </c>
      <c r="B445" s="97">
        <v>0.86342734169392366</v>
      </c>
      <c r="C445" s="97">
        <v>0.87896438967804669</v>
      </c>
      <c r="D445" s="97"/>
      <c r="E445" s="97"/>
      <c r="F445" s="108">
        <v>45157.5</v>
      </c>
      <c r="G445" s="97">
        <v>58.370567789881221</v>
      </c>
      <c r="H445" s="97">
        <v>14.021791068932755</v>
      </c>
      <c r="I445" s="97"/>
      <c r="J445" s="97"/>
    </row>
    <row r="446" spans="1:10" ht="15.75" customHeight="1" x14ac:dyDescent="0.25">
      <c r="A446" s="107">
        <v>45157.541666666672</v>
      </c>
      <c r="B446" s="97">
        <v>0.81649009409275919</v>
      </c>
      <c r="C446" s="97">
        <v>0.86601882572230604</v>
      </c>
      <c r="D446" s="97"/>
      <c r="E446" s="97"/>
      <c r="F446" s="108">
        <v>45157.541666666672</v>
      </c>
      <c r="G446" s="97">
        <v>52.586287440675676</v>
      </c>
      <c r="H446" s="97">
        <v>11.748967197101578</v>
      </c>
      <c r="I446" s="97"/>
      <c r="J446" s="97"/>
    </row>
    <row r="447" spans="1:10" ht="15.75" customHeight="1" x14ac:dyDescent="0.25">
      <c r="A447" s="107">
        <v>45157.583333333328</v>
      </c>
      <c r="B447" s="97">
        <v>0.82722423553139302</v>
      </c>
      <c r="C447" s="97">
        <v>0.88066728171623732</v>
      </c>
      <c r="D447" s="97"/>
      <c r="E447" s="97"/>
      <c r="F447" s="108">
        <v>45157.583333333328</v>
      </c>
      <c r="G447" s="97">
        <v>53.989174978200332</v>
      </c>
      <c r="H447" s="97">
        <v>12.003914134304514</v>
      </c>
      <c r="I447" s="97"/>
      <c r="J447" s="97"/>
    </row>
    <row r="448" spans="1:10" ht="15.75" customHeight="1" x14ac:dyDescent="0.25">
      <c r="A448" s="107">
        <v>45157.625</v>
      </c>
      <c r="B448" s="97">
        <v>0.85136823157469443</v>
      </c>
      <c r="C448" s="97">
        <v>0.87103498338357266</v>
      </c>
      <c r="D448" s="97"/>
      <c r="E448" s="97"/>
      <c r="F448" s="108">
        <v>45157.625</v>
      </c>
      <c r="G448" s="97">
        <v>56.051912816365558</v>
      </c>
      <c r="H448" s="97">
        <v>11.696068058372015</v>
      </c>
      <c r="I448" s="97"/>
      <c r="J448" s="97"/>
    </row>
    <row r="449" spans="1:10" ht="15.75" customHeight="1" x14ac:dyDescent="0.25">
      <c r="A449" s="107">
        <v>45157.666666666672</v>
      </c>
      <c r="B449" s="97">
        <v>0.88465104500452685</v>
      </c>
      <c r="C449" s="97">
        <v>0.82829574089158664</v>
      </c>
      <c r="D449" s="97"/>
      <c r="E449" s="97"/>
      <c r="F449" s="108">
        <v>45157.666666666672</v>
      </c>
      <c r="G449" s="97">
        <v>62.867057164510094</v>
      </c>
      <c r="H449" s="97">
        <v>10.068350000814958</v>
      </c>
      <c r="I449" s="97"/>
      <c r="J449" s="97"/>
    </row>
    <row r="450" spans="1:10" ht="15.75" customHeight="1" x14ac:dyDescent="0.25">
      <c r="A450" s="107">
        <v>45157.708333333328</v>
      </c>
      <c r="B450" s="97">
        <v>0.79204187591870623</v>
      </c>
      <c r="C450" s="97">
        <v>0.92141335648981482</v>
      </c>
      <c r="D450" s="97"/>
      <c r="E450" s="97"/>
      <c r="F450" s="108">
        <v>45157.708333333328</v>
      </c>
      <c r="G450" s="97">
        <v>53.698331006368001</v>
      </c>
      <c r="H450" s="97">
        <v>13.561608880404897</v>
      </c>
      <c r="I450" s="97"/>
      <c r="J450" s="97"/>
    </row>
    <row r="451" spans="1:10" ht="15.75" customHeight="1" x14ac:dyDescent="0.25">
      <c r="A451" s="107">
        <v>45157.75</v>
      </c>
      <c r="B451" s="97">
        <v>0.76411346395810442</v>
      </c>
      <c r="C451" s="97">
        <v>0.97447907326838712</v>
      </c>
      <c r="D451" s="97"/>
      <c r="E451" s="97"/>
      <c r="F451" s="108">
        <v>45157.75</v>
      </c>
      <c r="G451" s="97">
        <v>49.925291188557942</v>
      </c>
      <c r="H451" s="97">
        <v>18.171661527731672</v>
      </c>
      <c r="I451" s="97"/>
      <c r="J451" s="97"/>
    </row>
    <row r="452" spans="1:10" ht="15.75" customHeight="1" x14ac:dyDescent="0.25">
      <c r="A452" s="107">
        <v>45157.791666666672</v>
      </c>
      <c r="B452" s="97">
        <v>0.75829733014106759</v>
      </c>
      <c r="C452" s="97">
        <v>0.98641548341088625</v>
      </c>
      <c r="D452" s="97"/>
      <c r="E452" s="97"/>
      <c r="F452" s="108">
        <v>45157.791666666672</v>
      </c>
      <c r="G452" s="97">
        <v>48.414898045857754</v>
      </c>
      <c r="H452" s="97">
        <v>21.77832698445075</v>
      </c>
      <c r="I452" s="97"/>
      <c r="J452" s="97"/>
    </row>
    <row r="453" spans="1:10" ht="15.75" customHeight="1" x14ac:dyDescent="0.25">
      <c r="A453" s="107">
        <v>45157.833333333328</v>
      </c>
      <c r="B453" s="97">
        <v>0.70348494251569105</v>
      </c>
      <c r="C453" s="97">
        <v>0.98275840839025064</v>
      </c>
      <c r="D453" s="97"/>
      <c r="E453" s="97"/>
      <c r="F453" s="108">
        <v>45157.833333333328</v>
      </c>
      <c r="G453" s="97">
        <v>46.28358974456787</v>
      </c>
      <c r="H453" s="97">
        <v>20.763503563733913</v>
      </c>
      <c r="I453" s="97"/>
      <c r="J453" s="97"/>
    </row>
    <row r="454" spans="1:10" ht="15.75" customHeight="1" x14ac:dyDescent="0.25">
      <c r="A454" s="107">
        <v>45157.875</v>
      </c>
      <c r="B454" s="97">
        <v>0.70592879652977003</v>
      </c>
      <c r="C454" s="97">
        <v>0.96571019701217953</v>
      </c>
      <c r="D454" s="97"/>
      <c r="E454" s="97"/>
      <c r="F454" s="108">
        <v>45157.875</v>
      </c>
      <c r="G454" s="97">
        <v>45.411331240336096</v>
      </c>
      <c r="H454" s="97">
        <v>19.409505049230553</v>
      </c>
      <c r="I454" s="97"/>
      <c r="J454" s="97"/>
    </row>
    <row r="455" spans="1:10" ht="15.75" customHeight="1" x14ac:dyDescent="0.25">
      <c r="A455" s="107">
        <v>45157.916666666672</v>
      </c>
      <c r="B455" s="97">
        <v>0.71506358981132501</v>
      </c>
      <c r="C455" s="97">
        <v>0.90356649258155608</v>
      </c>
      <c r="D455" s="97"/>
      <c r="E455" s="97"/>
      <c r="F455" s="108">
        <v>45157.916666666672</v>
      </c>
      <c r="G455" s="97">
        <v>46.204077084859215</v>
      </c>
      <c r="H455" s="97">
        <v>10.898681773498597</v>
      </c>
      <c r="I455" s="97"/>
      <c r="J455" s="97"/>
    </row>
    <row r="456" spans="1:10" ht="15.75" customHeight="1" x14ac:dyDescent="0.25">
      <c r="A456" s="107">
        <v>45157.958333333328</v>
      </c>
      <c r="B456" s="97">
        <v>0.71393356521924334</v>
      </c>
      <c r="C456" s="97">
        <v>0.79333996130779316</v>
      </c>
      <c r="D456" s="97"/>
      <c r="E456" s="97"/>
      <c r="F456" s="108">
        <v>45157.958333333328</v>
      </c>
      <c r="G456" s="97">
        <v>44.964568392435709</v>
      </c>
      <c r="H456" s="97">
        <v>9.2008601422366407</v>
      </c>
      <c r="I456" s="97"/>
      <c r="J456" s="97"/>
    </row>
    <row r="457" spans="1:10" ht="15.75" customHeight="1" x14ac:dyDescent="0.25">
      <c r="A457" s="107">
        <v>45158</v>
      </c>
      <c r="B457" s="97">
        <v>0.80630444288253789</v>
      </c>
      <c r="C457" s="97">
        <v>0.76918079176910303</v>
      </c>
      <c r="D457" s="97"/>
      <c r="E457" s="97"/>
      <c r="F457" s="108">
        <v>45158</v>
      </c>
      <c r="G457" s="97">
        <v>47.866888936360681</v>
      </c>
      <c r="H457" s="97">
        <v>9.0883143768008985</v>
      </c>
      <c r="I457" s="97"/>
      <c r="J457" s="97"/>
    </row>
    <row r="458" spans="1:10" ht="15.75" customHeight="1" x14ac:dyDescent="0.25">
      <c r="A458" s="107">
        <v>45158.041666666672</v>
      </c>
      <c r="B458" s="97">
        <v>0.77176385124524438</v>
      </c>
      <c r="C458" s="97">
        <v>0.77495771145867731</v>
      </c>
      <c r="D458" s="97"/>
      <c r="E458" s="97"/>
      <c r="F458" s="108">
        <v>45158.041666666672</v>
      </c>
      <c r="G458" s="97">
        <v>46.550716145833334</v>
      </c>
      <c r="H458" s="97">
        <v>9.1578522091326509</v>
      </c>
      <c r="I458" s="97"/>
      <c r="J458" s="97"/>
    </row>
    <row r="459" spans="1:10" ht="15.75" customHeight="1" x14ac:dyDescent="0.25">
      <c r="A459" s="107">
        <v>45158.083333333328</v>
      </c>
      <c r="B459" s="97">
        <v>0.70172993540763862</v>
      </c>
      <c r="C459" s="97">
        <v>0.77130577910558973</v>
      </c>
      <c r="D459" s="97"/>
      <c r="E459" s="97"/>
      <c r="F459" s="108">
        <v>45158.083333333328</v>
      </c>
      <c r="G459" s="97">
        <v>44.925415865580234</v>
      </c>
      <c r="H459" s="97">
        <v>9.1714292929577734</v>
      </c>
      <c r="I459" s="97"/>
      <c r="J459" s="97"/>
    </row>
    <row r="460" spans="1:10" ht="15.75" customHeight="1" x14ac:dyDescent="0.25">
      <c r="A460" s="107">
        <v>45158.125</v>
      </c>
      <c r="B460" s="97">
        <v>0.80289794206619258</v>
      </c>
      <c r="C460" s="97">
        <v>0.77052240244484704</v>
      </c>
      <c r="D460" s="97"/>
      <c r="E460" s="97"/>
      <c r="F460" s="108">
        <v>45158.125</v>
      </c>
      <c r="G460" s="97">
        <v>48.554970169067381</v>
      </c>
      <c r="H460" s="97">
        <v>9.1835714833067357</v>
      </c>
      <c r="I460" s="97"/>
      <c r="J460" s="97"/>
    </row>
    <row r="461" spans="1:10" ht="15.75" customHeight="1" x14ac:dyDescent="0.25">
      <c r="A461" s="107">
        <v>45158.166666666672</v>
      </c>
      <c r="B461" s="97">
        <v>0.76802573402722674</v>
      </c>
      <c r="C461" s="97">
        <v>0.76380275407798681</v>
      </c>
      <c r="D461" s="97"/>
      <c r="E461" s="97"/>
      <c r="F461" s="108">
        <v>45158.166666666672</v>
      </c>
      <c r="G461" s="97">
        <v>46.174850273132321</v>
      </c>
      <c r="H461" s="97">
        <v>9.088619675560901</v>
      </c>
      <c r="I461" s="97"/>
      <c r="J461" s="97"/>
    </row>
    <row r="462" spans="1:10" ht="15.75" customHeight="1" x14ac:dyDescent="0.25">
      <c r="A462" s="107">
        <v>45158.208333333328</v>
      </c>
      <c r="B462" s="97">
        <v>0.73162735899289455</v>
      </c>
      <c r="C462" s="97">
        <v>0.75544561133554333</v>
      </c>
      <c r="D462" s="97"/>
      <c r="E462" s="97"/>
      <c r="F462" s="108">
        <v>45158.208333333328</v>
      </c>
      <c r="G462" s="97">
        <v>44.832811991373696</v>
      </c>
      <c r="H462" s="97">
        <v>8.7951970102758743</v>
      </c>
      <c r="I462" s="97"/>
      <c r="J462" s="97"/>
    </row>
    <row r="463" spans="1:10" ht="15.75" customHeight="1" x14ac:dyDescent="0.25">
      <c r="A463" s="107">
        <v>45158.25</v>
      </c>
      <c r="B463" s="97">
        <v>0.66134207447369886</v>
      </c>
      <c r="C463" s="97">
        <v>0.60352686448059534</v>
      </c>
      <c r="D463" s="97"/>
      <c r="E463" s="97"/>
      <c r="F463" s="108">
        <v>45158.25</v>
      </c>
      <c r="G463" s="97">
        <v>40.24197476704915</v>
      </c>
      <c r="H463" s="97">
        <v>6.1738930460021439</v>
      </c>
      <c r="I463" s="97"/>
      <c r="J463" s="97"/>
    </row>
    <row r="464" spans="1:10" ht="15.75" customHeight="1" x14ac:dyDescent="0.25">
      <c r="A464" s="107">
        <v>45158.291666666672</v>
      </c>
      <c r="B464" s="97">
        <v>0.56647438773742087</v>
      </c>
      <c r="C464" s="97">
        <v>0.59095304497617041</v>
      </c>
      <c r="D464" s="97"/>
      <c r="E464" s="97"/>
      <c r="F464" s="108">
        <v>45158.291666666672</v>
      </c>
      <c r="G464" s="97">
        <v>39.370955340067546</v>
      </c>
      <c r="H464" s="97">
        <v>5.8311313084462881</v>
      </c>
      <c r="I464" s="97"/>
      <c r="J464" s="97"/>
    </row>
    <row r="465" spans="1:10" ht="15.75" customHeight="1" x14ac:dyDescent="0.25">
      <c r="A465" s="107">
        <v>45158.333333333328</v>
      </c>
      <c r="B465" s="97">
        <v>0.43220319393135254</v>
      </c>
      <c r="C465" s="97">
        <v>0.58242405102893768</v>
      </c>
      <c r="D465" s="97"/>
      <c r="E465" s="97"/>
      <c r="F465" s="108">
        <v>45158.333333333328</v>
      </c>
      <c r="G465" s="97">
        <v>36.50632330576579</v>
      </c>
      <c r="H465" s="97">
        <v>5.8015407634818033</v>
      </c>
      <c r="I465" s="97"/>
      <c r="J465" s="97"/>
    </row>
    <row r="466" spans="1:10" ht="15.75" customHeight="1" x14ac:dyDescent="0.25">
      <c r="A466" s="107">
        <v>45158.375</v>
      </c>
      <c r="B466" s="97">
        <v>0.32769447018702824</v>
      </c>
      <c r="C466" s="97">
        <v>0.58414741219739197</v>
      </c>
      <c r="D466" s="97"/>
      <c r="E466" s="97"/>
      <c r="F466" s="108">
        <v>45158.375</v>
      </c>
      <c r="G466" s="97">
        <v>35.562423896789547</v>
      </c>
      <c r="H466" s="97">
        <v>5.8325508213325925</v>
      </c>
      <c r="I466" s="97"/>
      <c r="J466" s="97"/>
    </row>
    <row r="467" spans="1:10" ht="15.75" customHeight="1" x14ac:dyDescent="0.25">
      <c r="A467" s="107">
        <v>45158.416666666672</v>
      </c>
      <c r="B467" s="97">
        <v>0.41702754353838312</v>
      </c>
      <c r="C467" s="97">
        <v>0.60221685533938207</v>
      </c>
      <c r="D467" s="97"/>
      <c r="E467" s="97"/>
      <c r="F467" s="108">
        <v>45158.416666666672</v>
      </c>
      <c r="G467" s="97">
        <v>35.448293238594424</v>
      </c>
      <c r="H467" s="97">
        <v>5.952162314073842</v>
      </c>
      <c r="I467" s="97"/>
      <c r="J467" s="97"/>
    </row>
    <row r="468" spans="1:10" ht="15.75" customHeight="1" x14ac:dyDescent="0.25">
      <c r="A468" s="107">
        <v>45158.458333333328</v>
      </c>
      <c r="B468" s="97">
        <v>0.3247519991050164</v>
      </c>
      <c r="C468" s="97">
        <v>0.58310501889984601</v>
      </c>
      <c r="D468" s="97"/>
      <c r="E468" s="97"/>
      <c r="F468" s="108">
        <v>45158.458333333328</v>
      </c>
      <c r="G468" s="97">
        <v>35.133131917317712</v>
      </c>
      <c r="H468" s="97">
        <v>5.8701368502006224</v>
      </c>
      <c r="I468" s="97"/>
      <c r="J468" s="97"/>
    </row>
    <row r="469" spans="1:10" ht="15.75" customHeight="1" x14ac:dyDescent="0.25">
      <c r="A469" s="107">
        <v>45158.5</v>
      </c>
      <c r="B469" s="97">
        <v>0.32283983596911037</v>
      </c>
      <c r="C469" s="97">
        <v>0.58646252780799335</v>
      </c>
      <c r="D469" s="97"/>
      <c r="E469" s="97"/>
      <c r="F469" s="108">
        <v>45158.5</v>
      </c>
      <c r="G469" s="97">
        <v>33.597338422139487</v>
      </c>
      <c r="H469" s="97">
        <v>5.8670084940586165</v>
      </c>
      <c r="I469" s="97"/>
      <c r="J469" s="97"/>
    </row>
    <row r="470" spans="1:10" ht="15.75" customHeight="1" x14ac:dyDescent="0.25">
      <c r="A470" s="107">
        <v>45158.541666666672</v>
      </c>
      <c r="B470" s="97">
        <v>0.35795093218718343</v>
      </c>
      <c r="C470" s="97">
        <v>0.59398161275349115</v>
      </c>
      <c r="D470" s="97"/>
      <c r="E470" s="97"/>
      <c r="F470" s="108">
        <v>45158.541666666672</v>
      </c>
      <c r="G470" s="97">
        <v>35.051441669464111</v>
      </c>
      <c r="H470" s="97">
        <v>5.8892466284540799</v>
      </c>
      <c r="I470" s="97"/>
      <c r="J470" s="97"/>
    </row>
    <row r="471" spans="1:10" ht="15.75" customHeight="1" x14ac:dyDescent="0.25">
      <c r="A471" s="107">
        <v>45158.583333333328</v>
      </c>
      <c r="B471" s="97">
        <v>0.46963712498545651</v>
      </c>
      <c r="C471" s="97">
        <v>0.62780290058714594</v>
      </c>
      <c r="D471" s="97"/>
      <c r="E471" s="97"/>
      <c r="F471" s="108">
        <v>45158.583333333328</v>
      </c>
      <c r="G471" s="97">
        <v>37.109191226959226</v>
      </c>
      <c r="H471" s="97">
        <v>6.4315587845244426</v>
      </c>
      <c r="I471" s="97"/>
      <c r="J471" s="97"/>
    </row>
    <row r="472" spans="1:10" ht="15.75" customHeight="1" x14ac:dyDescent="0.25">
      <c r="A472" s="107">
        <v>45158.625</v>
      </c>
      <c r="B472" s="97">
        <v>0.42646244056522842</v>
      </c>
      <c r="C472" s="97">
        <v>0.60529007930529455</v>
      </c>
      <c r="D472" s="97"/>
      <c r="E472" s="97"/>
      <c r="F472" s="108">
        <v>45158.625</v>
      </c>
      <c r="G472" s="97">
        <v>36.366074085235596</v>
      </c>
      <c r="H472" s="97">
        <v>6.7145629023374775</v>
      </c>
      <c r="I472" s="97"/>
      <c r="J472" s="97"/>
    </row>
    <row r="473" spans="1:10" ht="15.75" customHeight="1" x14ac:dyDescent="0.25">
      <c r="A473" s="107">
        <v>45158.666666666672</v>
      </c>
      <c r="B473" s="97">
        <v>0.53835904200871787</v>
      </c>
      <c r="C473" s="97">
        <v>0.61217547322921606</v>
      </c>
      <c r="D473" s="97"/>
      <c r="E473" s="97"/>
      <c r="F473" s="108">
        <v>45158.666666666672</v>
      </c>
      <c r="G473" s="97">
        <v>38.194802920023598</v>
      </c>
      <c r="H473" s="97">
        <v>6.6879946214879453</v>
      </c>
      <c r="I473" s="97"/>
      <c r="J473" s="97"/>
    </row>
    <row r="474" spans="1:10" ht="15.75" customHeight="1" x14ac:dyDescent="0.25">
      <c r="A474" s="107">
        <v>45158.708333333328</v>
      </c>
      <c r="B474" s="97">
        <v>0.65352085630098977</v>
      </c>
      <c r="C474" s="97">
        <v>0.85093840562072198</v>
      </c>
      <c r="D474" s="97"/>
      <c r="E474" s="97"/>
      <c r="F474" s="108">
        <v>45158.708333333328</v>
      </c>
      <c r="G474" s="97">
        <v>43.285339291890466</v>
      </c>
      <c r="H474" s="97">
        <v>10.895404124919605</v>
      </c>
      <c r="I474" s="97"/>
      <c r="J474" s="97"/>
    </row>
    <row r="475" spans="1:10" ht="15.75" customHeight="1" x14ac:dyDescent="0.25">
      <c r="A475" s="107">
        <v>45158.75</v>
      </c>
      <c r="B475" s="97">
        <v>0.68091019723150459</v>
      </c>
      <c r="C475" s="97">
        <v>0.87700066688974854</v>
      </c>
      <c r="D475" s="97"/>
      <c r="E475" s="97"/>
      <c r="F475" s="108">
        <v>45158.75</v>
      </c>
      <c r="G475" s="97">
        <v>39.832638931274417</v>
      </c>
      <c r="H475" s="97">
        <v>10.644812581803016</v>
      </c>
      <c r="I475" s="97"/>
      <c r="J475" s="97"/>
    </row>
    <row r="476" spans="1:10" ht="15.75" customHeight="1" x14ac:dyDescent="0.25">
      <c r="A476" s="107">
        <v>45158.791666666672</v>
      </c>
      <c r="B476" s="97">
        <v>0.57125433727546981</v>
      </c>
      <c r="C476" s="97">
        <v>0.78754163306692371</v>
      </c>
      <c r="D476" s="97"/>
      <c r="E476" s="97"/>
      <c r="F476" s="108">
        <v>45158.791666666672</v>
      </c>
      <c r="G476" s="97">
        <v>34.189630109292487</v>
      </c>
      <c r="H476" s="97">
        <v>9.6997830632175859</v>
      </c>
      <c r="I476" s="97"/>
      <c r="J476" s="97"/>
    </row>
    <row r="477" spans="1:10" ht="15.75" customHeight="1" x14ac:dyDescent="0.25">
      <c r="A477" s="107">
        <v>45158.833333333328</v>
      </c>
      <c r="B477" s="97">
        <v>0.52672628561655677</v>
      </c>
      <c r="C477" s="97">
        <v>0.78155885789940949</v>
      </c>
      <c r="D477" s="97"/>
      <c r="E477" s="97"/>
      <c r="F477" s="108">
        <v>45158.833333333328</v>
      </c>
      <c r="G477" s="97">
        <v>30.700280325753347</v>
      </c>
      <c r="H477" s="97">
        <v>9.7422316437182221</v>
      </c>
      <c r="I477" s="97"/>
      <c r="J477" s="97"/>
    </row>
    <row r="478" spans="1:10" ht="15.75" customHeight="1" x14ac:dyDescent="0.25">
      <c r="A478" s="107">
        <v>45158.875</v>
      </c>
      <c r="B478" s="97">
        <v>0</v>
      </c>
      <c r="C478" s="97">
        <v>0.77988431947268988</v>
      </c>
      <c r="D478" s="97"/>
      <c r="E478" s="97"/>
      <c r="F478" s="108">
        <v>45158.875</v>
      </c>
      <c r="G478" s="97">
        <v>0</v>
      </c>
      <c r="H478" s="97">
        <v>9.7325251559494994</v>
      </c>
      <c r="I478" s="97"/>
      <c r="J478" s="97"/>
    </row>
    <row r="479" spans="1:10" ht="15.75" customHeight="1" x14ac:dyDescent="0.25">
      <c r="A479" s="107">
        <v>45158.916666666672</v>
      </c>
      <c r="B479" s="97">
        <v>0</v>
      </c>
      <c r="C479" s="97">
        <v>0.78848743479949213</v>
      </c>
      <c r="D479" s="97"/>
      <c r="E479" s="97"/>
      <c r="F479" s="108">
        <v>45158.916666666672</v>
      </c>
      <c r="G479" s="97">
        <v>0</v>
      </c>
      <c r="H479" s="97">
        <v>9.499798682367377</v>
      </c>
      <c r="I479" s="97"/>
      <c r="J479" s="97"/>
    </row>
    <row r="480" spans="1:10" ht="15.75" customHeight="1" x14ac:dyDescent="0.25">
      <c r="A480" s="107">
        <v>45158.958333333328</v>
      </c>
      <c r="B480" s="97">
        <v>0</v>
      </c>
      <c r="C480" s="97">
        <v>0.79055987734332855</v>
      </c>
      <c r="D480" s="97"/>
      <c r="E480" s="97"/>
      <c r="F480" s="108">
        <v>45158.958333333328</v>
      </c>
      <c r="G480" s="97">
        <v>0</v>
      </c>
      <c r="H480" s="97">
        <v>9.6269209997456073</v>
      </c>
      <c r="I480" s="97"/>
      <c r="J480" s="97"/>
    </row>
    <row r="481" spans="1:10" ht="15.75" customHeight="1" x14ac:dyDescent="0.25">
      <c r="A481" s="107">
        <v>45159</v>
      </c>
      <c r="B481" s="97">
        <v>0</v>
      </c>
      <c r="C481" s="97">
        <v>0.78633034450145578</v>
      </c>
      <c r="D481" s="97"/>
      <c r="E481" s="97"/>
      <c r="F481" s="108">
        <v>45159</v>
      </c>
      <c r="G481" s="97">
        <v>0</v>
      </c>
      <c r="H481" s="97">
        <v>9.4739313884214926</v>
      </c>
      <c r="I481" s="97"/>
      <c r="J481" s="97"/>
    </row>
    <row r="482" spans="1:10" ht="15.75" customHeight="1" x14ac:dyDescent="0.25">
      <c r="A482" s="107">
        <v>45159.041666666672</v>
      </c>
      <c r="B482" s="97">
        <v>0</v>
      </c>
      <c r="C482" s="97">
        <v>0.78601092159041308</v>
      </c>
      <c r="D482" s="97"/>
      <c r="E482" s="97"/>
      <c r="F482" s="108">
        <v>45159.041666666672</v>
      </c>
      <c r="G482" s="97">
        <v>0</v>
      </c>
      <c r="H482" s="97">
        <v>9.4599763315185736</v>
      </c>
      <c r="I482" s="97"/>
      <c r="J482" s="97"/>
    </row>
    <row r="483" spans="1:10" ht="15.75" customHeight="1" x14ac:dyDescent="0.25">
      <c r="A483" s="107">
        <v>45159.083333333328</v>
      </c>
      <c r="B483" s="97">
        <v>0</v>
      </c>
      <c r="C483" s="97">
        <v>0.7865734401309914</v>
      </c>
      <c r="D483" s="97"/>
      <c r="E483" s="97"/>
      <c r="F483" s="108">
        <v>45159.083333333328</v>
      </c>
      <c r="G483" s="97">
        <v>0</v>
      </c>
      <c r="H483" s="97">
        <v>9.4565650695868637</v>
      </c>
      <c r="I483" s="97"/>
      <c r="J483" s="97"/>
    </row>
    <row r="484" spans="1:10" ht="15.75" customHeight="1" x14ac:dyDescent="0.25">
      <c r="A484" s="107">
        <v>45159.125</v>
      </c>
      <c r="B484" s="97">
        <v>0</v>
      </c>
      <c r="C484" s="97">
        <v>0.78777504709398327</v>
      </c>
      <c r="D484" s="97"/>
      <c r="E484" s="97"/>
      <c r="F484" s="108">
        <v>45159.125</v>
      </c>
      <c r="G484" s="97">
        <v>0</v>
      </c>
      <c r="H484" s="97">
        <v>9.4818884044767842</v>
      </c>
      <c r="I484" s="97"/>
      <c r="J484" s="97"/>
    </row>
    <row r="485" spans="1:10" ht="15.75" customHeight="1" x14ac:dyDescent="0.25">
      <c r="A485" s="107">
        <v>45159.166666666672</v>
      </c>
      <c r="B485" s="97">
        <v>0</v>
      </c>
      <c r="C485" s="97">
        <v>0.78192240753663866</v>
      </c>
      <c r="D485" s="97"/>
      <c r="E485" s="97"/>
      <c r="F485" s="108">
        <v>45159.166666666672</v>
      </c>
      <c r="G485" s="97">
        <v>0</v>
      </c>
      <c r="H485" s="97">
        <v>9.4431182994201706</v>
      </c>
      <c r="I485" s="97"/>
      <c r="J485" s="97"/>
    </row>
    <row r="486" spans="1:10" ht="15.75" customHeight="1" x14ac:dyDescent="0.25">
      <c r="A486" s="107">
        <v>45159.208333333328</v>
      </c>
      <c r="B486" s="97">
        <v>0</v>
      </c>
      <c r="C486" s="97">
        <v>0.84766927661867475</v>
      </c>
      <c r="D486" s="97"/>
      <c r="E486" s="97"/>
      <c r="F486" s="108">
        <v>45159.208333333328</v>
      </c>
      <c r="G486" s="97">
        <v>0</v>
      </c>
      <c r="H486" s="97">
        <v>12.375701148519402</v>
      </c>
      <c r="I486" s="97"/>
      <c r="J486" s="97"/>
    </row>
    <row r="487" spans="1:10" ht="15.75" customHeight="1" x14ac:dyDescent="0.25">
      <c r="B487" s="97"/>
      <c r="C487" s="97"/>
      <c r="D487" s="97"/>
      <c r="E487" s="97"/>
      <c r="F487" s="97"/>
      <c r="G487" s="97"/>
      <c r="H487" s="97"/>
      <c r="I487" s="97"/>
      <c r="J487" s="97"/>
    </row>
    <row r="488" spans="1:10" ht="15.75" customHeight="1" x14ac:dyDescent="0.25">
      <c r="B488" s="97"/>
      <c r="C488" s="97"/>
      <c r="D488" s="97"/>
      <c r="E488" s="97"/>
      <c r="F488" s="97"/>
      <c r="G488" s="97"/>
      <c r="H488" s="97"/>
      <c r="I488" s="97"/>
      <c r="J488" s="97"/>
    </row>
    <row r="489" spans="1:10" ht="15.75" customHeight="1" x14ac:dyDescent="0.25">
      <c r="B489" s="97"/>
      <c r="C489" s="97"/>
      <c r="D489" s="97"/>
      <c r="E489" s="97"/>
      <c r="F489" s="97"/>
      <c r="G489" s="97"/>
      <c r="H489" s="97"/>
      <c r="I489" s="97"/>
      <c r="J489" s="97"/>
    </row>
    <row r="490" spans="1:10" ht="15.75" customHeight="1" x14ac:dyDescent="0.25">
      <c r="B490" s="97"/>
      <c r="C490" s="97"/>
      <c r="D490" s="97"/>
      <c r="E490" s="97"/>
      <c r="F490" s="97"/>
      <c r="G490" s="97"/>
      <c r="H490" s="97"/>
      <c r="I490" s="97"/>
      <c r="J490" s="97"/>
    </row>
    <row r="491" spans="1:10" ht="15.75" customHeight="1" x14ac:dyDescent="0.25">
      <c r="B491" s="97"/>
      <c r="C491" s="97"/>
      <c r="D491" s="97"/>
      <c r="E491" s="97"/>
      <c r="F491" s="97"/>
      <c r="G491" s="97"/>
      <c r="H491" s="97"/>
      <c r="I491" s="97"/>
      <c r="J491" s="97"/>
    </row>
    <row r="492" spans="1:10" ht="15.75" customHeight="1" x14ac:dyDescent="0.25">
      <c r="B492" s="97"/>
      <c r="C492" s="97"/>
      <c r="D492" s="97"/>
      <c r="E492" s="97"/>
      <c r="F492" s="97"/>
      <c r="G492" s="97"/>
      <c r="H492" s="97"/>
      <c r="I492" s="97"/>
      <c r="J492" s="97"/>
    </row>
    <row r="493" spans="1:10" ht="15.75" customHeight="1" x14ac:dyDescent="0.25">
      <c r="B493" s="97"/>
      <c r="C493" s="97"/>
      <c r="D493" s="97"/>
      <c r="E493" s="97"/>
      <c r="F493" s="97"/>
      <c r="G493" s="97"/>
      <c r="H493" s="97"/>
      <c r="I493" s="97"/>
      <c r="J493" s="97"/>
    </row>
    <row r="494" spans="1:10" ht="15.75" customHeight="1" x14ac:dyDescent="0.25">
      <c r="B494" s="97"/>
      <c r="C494" s="97"/>
      <c r="D494" s="97"/>
      <c r="E494" s="97"/>
      <c r="F494" s="97"/>
      <c r="G494" s="97"/>
      <c r="H494" s="97"/>
      <c r="I494" s="97"/>
      <c r="J494" s="97"/>
    </row>
    <row r="495" spans="1:10" ht="15.75" customHeight="1" x14ac:dyDescent="0.25">
      <c r="B495" s="97"/>
      <c r="C495" s="97"/>
      <c r="D495" s="97"/>
      <c r="E495" s="97"/>
      <c r="F495" s="97"/>
      <c r="G495" s="97"/>
      <c r="H495" s="97"/>
      <c r="I495" s="97"/>
      <c r="J495" s="97"/>
    </row>
    <row r="496" spans="1:10" ht="15.75" customHeight="1" x14ac:dyDescent="0.25">
      <c r="B496" s="97"/>
      <c r="C496" s="97"/>
      <c r="D496" s="97"/>
      <c r="E496" s="97"/>
      <c r="F496" s="97"/>
      <c r="G496" s="97"/>
      <c r="H496" s="97"/>
      <c r="I496" s="97"/>
      <c r="J496" s="97"/>
    </row>
    <row r="497" spans="2:10" ht="15.75" customHeight="1" x14ac:dyDescent="0.25">
      <c r="B497" s="97"/>
      <c r="C497" s="97"/>
      <c r="D497" s="97"/>
      <c r="E497" s="97"/>
      <c r="F497" s="97"/>
      <c r="G497" s="97"/>
      <c r="H497" s="97"/>
      <c r="I497" s="97"/>
      <c r="J497" s="97"/>
    </row>
    <row r="498" spans="2:10" ht="15.75" customHeight="1" x14ac:dyDescent="0.25">
      <c r="B498" s="97"/>
      <c r="C498" s="97"/>
      <c r="D498" s="97"/>
      <c r="E498" s="97"/>
      <c r="F498" s="97"/>
      <c r="G498" s="97"/>
      <c r="H498" s="97"/>
      <c r="I498" s="97"/>
      <c r="J498" s="97"/>
    </row>
    <row r="499" spans="2:10" ht="15.75" customHeight="1" x14ac:dyDescent="0.25">
      <c r="B499" s="97"/>
      <c r="C499" s="97"/>
      <c r="D499" s="97"/>
      <c r="E499" s="97"/>
      <c r="F499" s="97"/>
      <c r="G499" s="97"/>
      <c r="H499" s="97"/>
      <c r="I499" s="97"/>
      <c r="J499" s="97"/>
    </row>
    <row r="500" spans="2:10" ht="15.75" customHeight="1" x14ac:dyDescent="0.25">
      <c r="B500" s="97"/>
      <c r="C500" s="97"/>
      <c r="D500" s="97"/>
      <c r="E500" s="97"/>
      <c r="F500" s="97"/>
      <c r="G500" s="97"/>
      <c r="H500" s="97"/>
      <c r="I500" s="97"/>
      <c r="J500" s="97"/>
    </row>
    <row r="501" spans="2:10" ht="15.75" customHeight="1" x14ac:dyDescent="0.25">
      <c r="B501" s="97"/>
      <c r="C501" s="97"/>
      <c r="D501" s="97"/>
      <c r="E501" s="97"/>
      <c r="F501" s="97"/>
      <c r="G501" s="97"/>
      <c r="H501" s="97"/>
      <c r="I501" s="97"/>
      <c r="J501" s="97"/>
    </row>
    <row r="502" spans="2:10" ht="15.75" customHeight="1" x14ac:dyDescent="0.25">
      <c r="B502" s="97"/>
      <c r="C502" s="97"/>
      <c r="D502" s="97"/>
      <c r="E502" s="97"/>
      <c r="F502" s="97"/>
      <c r="G502" s="97"/>
      <c r="H502" s="97"/>
      <c r="I502" s="97"/>
      <c r="J502" s="97"/>
    </row>
    <row r="503" spans="2:10" ht="15.75" customHeight="1" x14ac:dyDescent="0.25">
      <c r="B503" s="97"/>
      <c r="C503" s="97"/>
      <c r="D503" s="97"/>
      <c r="E503" s="97"/>
      <c r="F503" s="97"/>
      <c r="G503" s="97"/>
      <c r="H503" s="97"/>
      <c r="I503" s="97"/>
      <c r="J503" s="97"/>
    </row>
    <row r="504" spans="2:10" ht="15.75" customHeight="1" x14ac:dyDescent="0.25">
      <c r="B504" s="97"/>
      <c r="C504" s="97"/>
      <c r="D504" s="97"/>
      <c r="E504" s="97"/>
      <c r="F504" s="97"/>
      <c r="G504" s="97"/>
      <c r="H504" s="97"/>
      <c r="I504" s="97"/>
      <c r="J504" s="97"/>
    </row>
    <row r="505" spans="2:10" ht="15.75" customHeight="1" x14ac:dyDescent="0.25">
      <c r="B505" s="97"/>
      <c r="C505" s="97"/>
      <c r="D505" s="97"/>
      <c r="E505" s="97"/>
      <c r="F505" s="97"/>
      <c r="G505" s="97"/>
      <c r="H505" s="97"/>
      <c r="I505" s="97"/>
      <c r="J505" s="97"/>
    </row>
    <row r="506" spans="2:10" ht="15.75" customHeight="1" x14ac:dyDescent="0.25">
      <c r="B506" s="97"/>
      <c r="C506" s="97"/>
      <c r="D506" s="97"/>
      <c r="E506" s="97"/>
      <c r="F506" s="97"/>
      <c r="G506" s="97"/>
      <c r="H506" s="97"/>
      <c r="I506" s="97"/>
      <c r="J506" s="97"/>
    </row>
    <row r="507" spans="2:10" ht="15.75" customHeight="1" x14ac:dyDescent="0.25">
      <c r="B507" s="97"/>
      <c r="C507" s="97"/>
      <c r="D507" s="97"/>
      <c r="E507" s="97"/>
      <c r="F507" s="97"/>
      <c r="G507" s="97"/>
      <c r="H507" s="97"/>
      <c r="I507" s="97"/>
      <c r="J507" s="97"/>
    </row>
    <row r="508" spans="2:10" ht="15.75" customHeight="1" x14ac:dyDescent="0.25">
      <c r="B508" s="97"/>
      <c r="C508" s="97"/>
      <c r="D508" s="97"/>
      <c r="E508" s="97"/>
      <c r="F508" s="97"/>
      <c r="G508" s="97"/>
      <c r="H508" s="97"/>
      <c r="I508" s="97"/>
      <c r="J508" s="97"/>
    </row>
    <row r="509" spans="2:10" ht="15.75" customHeight="1" x14ac:dyDescent="0.25">
      <c r="B509" s="97"/>
      <c r="C509" s="97"/>
      <c r="D509" s="97"/>
      <c r="E509" s="97"/>
      <c r="F509" s="97"/>
      <c r="G509" s="97"/>
      <c r="H509" s="97"/>
      <c r="I509" s="97"/>
      <c r="J509" s="97"/>
    </row>
    <row r="510" spans="2:10" ht="15.75" customHeight="1" x14ac:dyDescent="0.25">
      <c r="B510" s="97"/>
      <c r="C510" s="97"/>
      <c r="D510" s="97"/>
      <c r="E510" s="97"/>
      <c r="F510" s="97"/>
      <c r="G510" s="97"/>
      <c r="H510" s="97"/>
      <c r="I510" s="97"/>
      <c r="J510" s="97"/>
    </row>
    <row r="511" spans="2:10" ht="15.75" customHeight="1" x14ac:dyDescent="0.25">
      <c r="B511" s="97"/>
      <c r="C511" s="97"/>
      <c r="D511" s="97"/>
      <c r="E511" s="97"/>
      <c r="F511" s="97"/>
      <c r="G511" s="97"/>
      <c r="H511" s="97"/>
      <c r="I511" s="97"/>
      <c r="J511" s="97"/>
    </row>
    <row r="512" spans="2:10" ht="15.75" customHeight="1" x14ac:dyDescent="0.25">
      <c r="B512" s="97"/>
      <c r="C512" s="97"/>
      <c r="D512" s="97"/>
      <c r="E512" s="97"/>
      <c r="F512" s="97"/>
      <c r="G512" s="97"/>
      <c r="H512" s="97"/>
      <c r="I512" s="97"/>
      <c r="J512" s="97"/>
    </row>
    <row r="513" spans="2:10" ht="15.75" customHeight="1" x14ac:dyDescent="0.25">
      <c r="B513" s="97"/>
      <c r="C513" s="97"/>
      <c r="D513" s="97"/>
      <c r="E513" s="97"/>
      <c r="F513" s="97"/>
      <c r="G513" s="97"/>
      <c r="H513" s="97"/>
      <c r="I513" s="97"/>
      <c r="J513" s="97"/>
    </row>
    <row r="514" spans="2:10" ht="15.75" customHeight="1" x14ac:dyDescent="0.25">
      <c r="B514" s="97"/>
      <c r="C514" s="97"/>
      <c r="D514" s="97"/>
      <c r="E514" s="97"/>
      <c r="F514" s="97"/>
      <c r="G514" s="97"/>
      <c r="H514" s="97"/>
      <c r="I514" s="97"/>
      <c r="J514" s="97"/>
    </row>
    <row r="515" spans="2:10" ht="15.75" customHeight="1" x14ac:dyDescent="0.25">
      <c r="B515" s="97"/>
      <c r="C515" s="97"/>
      <c r="D515" s="97"/>
      <c r="E515" s="97"/>
      <c r="F515" s="97"/>
      <c r="G515" s="97"/>
      <c r="H515" s="97"/>
      <c r="I515" s="97"/>
      <c r="J515" s="97"/>
    </row>
    <row r="516" spans="2:10" ht="15.75" customHeight="1" x14ac:dyDescent="0.25">
      <c r="B516" s="97"/>
      <c r="C516" s="97"/>
      <c r="D516" s="97"/>
      <c r="E516" s="97"/>
      <c r="F516" s="97"/>
      <c r="G516" s="97"/>
      <c r="H516" s="97"/>
      <c r="I516" s="97"/>
      <c r="J516" s="97"/>
    </row>
    <row r="517" spans="2:10" ht="15.75" customHeight="1" x14ac:dyDescent="0.25">
      <c r="B517" s="97"/>
      <c r="C517" s="97"/>
      <c r="D517" s="97"/>
      <c r="E517" s="97"/>
      <c r="F517" s="97"/>
      <c r="G517" s="97"/>
      <c r="H517" s="97"/>
      <c r="I517" s="97"/>
      <c r="J517" s="97"/>
    </row>
    <row r="518" spans="2:10" ht="15.75" customHeight="1" x14ac:dyDescent="0.25">
      <c r="B518" s="97"/>
      <c r="C518" s="97"/>
      <c r="D518" s="97"/>
      <c r="E518" s="97"/>
      <c r="F518" s="97"/>
      <c r="G518" s="97"/>
      <c r="H518" s="97"/>
      <c r="I518" s="97"/>
      <c r="J518" s="97"/>
    </row>
    <row r="519" spans="2:10" ht="15.75" customHeight="1" x14ac:dyDescent="0.25">
      <c r="B519" s="97"/>
      <c r="C519" s="97"/>
      <c r="D519" s="97"/>
      <c r="E519" s="97"/>
      <c r="F519" s="97"/>
      <c r="G519" s="97"/>
      <c r="H519" s="97"/>
      <c r="I519" s="97"/>
      <c r="J519" s="97"/>
    </row>
    <row r="520" spans="2:10" ht="15.75" customHeight="1" x14ac:dyDescent="0.25">
      <c r="B520" s="97"/>
      <c r="C520" s="97"/>
      <c r="D520" s="97"/>
      <c r="E520" s="97"/>
      <c r="F520" s="97"/>
      <c r="G520" s="97"/>
      <c r="H520" s="97"/>
      <c r="I520" s="97"/>
      <c r="J520" s="97"/>
    </row>
    <row r="521" spans="2:10" ht="15.75" customHeight="1" x14ac:dyDescent="0.25">
      <c r="B521" s="97"/>
      <c r="C521" s="97"/>
      <c r="D521" s="97"/>
      <c r="E521" s="97"/>
      <c r="F521" s="97"/>
      <c r="G521" s="97"/>
      <c r="H521" s="97"/>
      <c r="I521" s="97"/>
      <c r="J521" s="97"/>
    </row>
    <row r="522" spans="2:10" ht="15.75" customHeight="1" x14ac:dyDescent="0.25">
      <c r="B522" s="97"/>
      <c r="C522" s="97"/>
      <c r="D522" s="97"/>
      <c r="E522" s="97"/>
      <c r="F522" s="97"/>
      <c r="G522" s="97"/>
      <c r="H522" s="97"/>
      <c r="I522" s="97"/>
      <c r="J522" s="97"/>
    </row>
    <row r="523" spans="2:10" ht="15.75" customHeight="1" x14ac:dyDescent="0.25">
      <c r="B523" s="97"/>
      <c r="C523" s="97"/>
      <c r="D523" s="97"/>
      <c r="E523" s="97"/>
      <c r="F523" s="97"/>
      <c r="G523" s="97"/>
      <c r="H523" s="97"/>
      <c r="I523" s="97"/>
      <c r="J523" s="97"/>
    </row>
    <row r="524" spans="2:10" ht="15.75" customHeight="1" x14ac:dyDescent="0.25">
      <c r="B524" s="97"/>
      <c r="C524" s="97"/>
      <c r="D524" s="97"/>
      <c r="E524" s="97"/>
      <c r="F524" s="97"/>
      <c r="G524" s="97"/>
      <c r="H524" s="97"/>
      <c r="I524" s="97"/>
      <c r="J524" s="97"/>
    </row>
    <row r="525" spans="2:10" ht="15.75" customHeight="1" x14ac:dyDescent="0.25">
      <c r="B525" s="97"/>
      <c r="C525" s="97"/>
      <c r="D525" s="97"/>
      <c r="E525" s="97"/>
      <c r="F525" s="97"/>
      <c r="G525" s="97"/>
      <c r="H525" s="97"/>
      <c r="I525" s="97"/>
      <c r="J525" s="97"/>
    </row>
    <row r="526" spans="2:10" ht="15.75" customHeight="1" x14ac:dyDescent="0.25">
      <c r="B526" s="97"/>
      <c r="C526" s="97"/>
      <c r="D526" s="97"/>
      <c r="E526" s="97"/>
      <c r="F526" s="97"/>
      <c r="G526" s="97"/>
      <c r="H526" s="97"/>
      <c r="I526" s="97"/>
      <c r="J526" s="97"/>
    </row>
    <row r="527" spans="2:10" ht="15.75" customHeight="1" x14ac:dyDescent="0.25">
      <c r="B527" s="97"/>
      <c r="C527" s="97"/>
      <c r="D527" s="97"/>
      <c r="E527" s="97"/>
      <c r="F527" s="97"/>
      <c r="G527" s="97"/>
      <c r="H527" s="97"/>
      <c r="I527" s="97"/>
      <c r="J527" s="97"/>
    </row>
    <row r="528" spans="2:10" ht="15.75" customHeight="1" x14ac:dyDescent="0.25">
      <c r="B528" s="97"/>
      <c r="C528" s="97"/>
      <c r="D528" s="97"/>
      <c r="E528" s="97"/>
      <c r="F528" s="97"/>
      <c r="G528" s="97"/>
      <c r="H528" s="97"/>
      <c r="I528" s="97"/>
      <c r="J528" s="97"/>
    </row>
    <row r="529" spans="2:10" ht="15.75" customHeight="1" x14ac:dyDescent="0.25">
      <c r="B529" s="97"/>
      <c r="C529" s="97"/>
      <c r="D529" s="97"/>
      <c r="E529" s="97"/>
      <c r="F529" s="97"/>
      <c r="G529" s="97"/>
      <c r="H529" s="97"/>
      <c r="I529" s="97"/>
      <c r="J529" s="97"/>
    </row>
    <row r="530" spans="2:10" ht="15.75" customHeight="1" x14ac:dyDescent="0.25">
      <c r="B530" s="97"/>
      <c r="C530" s="97"/>
      <c r="D530" s="97"/>
      <c r="E530" s="97"/>
      <c r="F530" s="97"/>
      <c r="G530" s="97"/>
      <c r="H530" s="97"/>
      <c r="I530" s="97"/>
      <c r="J530" s="97"/>
    </row>
    <row r="531" spans="2:10" ht="15.75" customHeight="1" x14ac:dyDescent="0.25">
      <c r="B531" s="97"/>
      <c r="C531" s="97"/>
      <c r="D531" s="97"/>
      <c r="E531" s="97"/>
      <c r="F531" s="97"/>
      <c r="G531" s="97"/>
      <c r="H531" s="97"/>
      <c r="I531" s="97"/>
      <c r="J531" s="97"/>
    </row>
    <row r="532" spans="2:10" ht="15.75" customHeight="1" x14ac:dyDescent="0.25">
      <c r="B532" s="97"/>
      <c r="C532" s="97"/>
      <c r="D532" s="97"/>
      <c r="E532" s="97"/>
      <c r="F532" s="97"/>
      <c r="G532" s="97"/>
      <c r="H532" s="97"/>
      <c r="I532" s="97"/>
      <c r="J532" s="97"/>
    </row>
    <row r="533" spans="2:10" ht="15.75" customHeight="1" x14ac:dyDescent="0.25">
      <c r="B533" s="97"/>
      <c r="C533" s="97"/>
      <c r="D533" s="97"/>
      <c r="E533" s="97"/>
      <c r="F533" s="97"/>
      <c r="G533" s="97"/>
      <c r="H533" s="97"/>
      <c r="I533" s="97"/>
      <c r="J533" s="97"/>
    </row>
    <row r="534" spans="2:10" ht="15.75" customHeight="1" x14ac:dyDescent="0.25">
      <c r="B534" s="97"/>
      <c r="C534" s="97"/>
      <c r="D534" s="97"/>
      <c r="E534" s="97"/>
      <c r="F534" s="97"/>
      <c r="G534" s="97"/>
      <c r="H534" s="97"/>
      <c r="I534" s="97"/>
      <c r="J534" s="97"/>
    </row>
    <row r="535" spans="2:10" ht="15.75" customHeight="1" x14ac:dyDescent="0.25">
      <c r="B535" s="97"/>
      <c r="C535" s="97"/>
      <c r="D535" s="97"/>
      <c r="E535" s="97"/>
      <c r="F535" s="97"/>
      <c r="G535" s="97"/>
      <c r="H535" s="97"/>
      <c r="I535" s="97"/>
      <c r="J535" s="97"/>
    </row>
    <row r="536" spans="2:10" ht="15.75" customHeight="1" x14ac:dyDescent="0.25">
      <c r="B536" s="97"/>
      <c r="C536" s="97"/>
      <c r="D536" s="97"/>
      <c r="E536" s="97"/>
      <c r="F536" s="97"/>
      <c r="G536" s="97"/>
      <c r="H536" s="97"/>
      <c r="I536" s="97"/>
      <c r="J536" s="97"/>
    </row>
    <row r="537" spans="2:10" ht="15.75" customHeight="1" x14ac:dyDescent="0.25">
      <c r="B537" s="97"/>
      <c r="C537" s="97"/>
      <c r="D537" s="97"/>
      <c r="E537" s="97"/>
      <c r="F537" s="97"/>
      <c r="G537" s="97"/>
      <c r="H537" s="97"/>
      <c r="I537" s="97"/>
      <c r="J537" s="97"/>
    </row>
    <row r="538" spans="2:10" ht="15.75" customHeight="1" x14ac:dyDescent="0.25">
      <c r="B538" s="97"/>
      <c r="C538" s="97"/>
      <c r="D538" s="97"/>
      <c r="E538" s="97"/>
      <c r="F538" s="97"/>
      <c r="G538" s="97"/>
      <c r="H538" s="97"/>
      <c r="I538" s="97"/>
      <c r="J538" s="97"/>
    </row>
    <row r="539" spans="2:10" ht="15.75" customHeight="1" x14ac:dyDescent="0.25">
      <c r="B539" s="97"/>
      <c r="C539" s="97"/>
      <c r="D539" s="97"/>
      <c r="E539" s="97"/>
      <c r="F539" s="97"/>
      <c r="G539" s="97"/>
      <c r="H539" s="97"/>
      <c r="I539" s="97"/>
      <c r="J539" s="97"/>
    </row>
    <row r="540" spans="2:10" ht="15.75" customHeight="1" x14ac:dyDescent="0.25">
      <c r="B540" s="97"/>
      <c r="C540" s="97"/>
      <c r="D540" s="97"/>
      <c r="E540" s="97"/>
      <c r="F540" s="97"/>
      <c r="G540" s="97"/>
      <c r="H540" s="97"/>
      <c r="I540" s="97"/>
      <c r="J540" s="97"/>
    </row>
    <row r="541" spans="2:10" ht="15.75" customHeight="1" x14ac:dyDescent="0.25">
      <c r="B541" s="97"/>
      <c r="C541" s="97"/>
      <c r="D541" s="97"/>
      <c r="E541" s="97"/>
      <c r="F541" s="97"/>
      <c r="G541" s="97"/>
      <c r="H541" s="97"/>
      <c r="I541" s="97"/>
      <c r="J541" s="97"/>
    </row>
    <row r="542" spans="2:10" ht="15.75" customHeight="1" x14ac:dyDescent="0.25">
      <c r="B542" s="97"/>
      <c r="C542" s="97"/>
      <c r="D542" s="97"/>
      <c r="E542" s="97"/>
      <c r="F542" s="97"/>
      <c r="G542" s="97"/>
      <c r="H542" s="97"/>
      <c r="I542" s="97"/>
      <c r="J542" s="97"/>
    </row>
    <row r="543" spans="2:10" ht="15.75" customHeight="1" x14ac:dyDescent="0.25">
      <c r="B543" s="97"/>
      <c r="C543" s="97"/>
      <c r="D543" s="97"/>
      <c r="E543" s="97"/>
      <c r="F543" s="97"/>
      <c r="G543" s="97"/>
      <c r="H543" s="97"/>
      <c r="I543" s="97"/>
      <c r="J543" s="97"/>
    </row>
    <row r="544" spans="2:10" ht="15.75" customHeight="1" x14ac:dyDescent="0.25">
      <c r="B544" s="97"/>
      <c r="C544" s="97"/>
      <c r="D544" s="97"/>
      <c r="E544" s="97"/>
      <c r="F544" s="97"/>
      <c r="G544" s="97"/>
      <c r="H544" s="97"/>
      <c r="I544" s="97"/>
      <c r="J544" s="97"/>
    </row>
    <row r="545" spans="2:10" ht="15.75" customHeight="1" x14ac:dyDescent="0.25">
      <c r="B545" s="97"/>
      <c r="C545" s="97"/>
      <c r="D545" s="97"/>
      <c r="E545" s="97"/>
      <c r="F545" s="97"/>
      <c r="G545" s="97"/>
      <c r="H545" s="97"/>
      <c r="I545" s="97"/>
      <c r="J545" s="97"/>
    </row>
    <row r="546" spans="2:10" ht="15.75" customHeight="1" x14ac:dyDescent="0.25">
      <c r="B546" s="97"/>
      <c r="C546" s="97"/>
      <c r="D546" s="97"/>
      <c r="E546" s="97"/>
      <c r="F546" s="97"/>
      <c r="G546" s="97"/>
      <c r="H546" s="97"/>
      <c r="I546" s="97"/>
      <c r="J546" s="97"/>
    </row>
    <row r="547" spans="2:10" ht="15.75" customHeight="1" x14ac:dyDescent="0.25">
      <c r="B547" s="97"/>
      <c r="C547" s="97"/>
      <c r="D547" s="97"/>
      <c r="E547" s="97"/>
      <c r="F547" s="97"/>
      <c r="G547" s="97"/>
      <c r="H547" s="97"/>
      <c r="I547" s="97"/>
      <c r="J547" s="97"/>
    </row>
    <row r="548" spans="2:10" ht="15.75" customHeight="1" x14ac:dyDescent="0.25">
      <c r="B548" s="97"/>
      <c r="C548" s="97"/>
      <c r="D548" s="97"/>
      <c r="E548" s="97"/>
      <c r="F548" s="97"/>
      <c r="G548" s="97"/>
      <c r="H548" s="97"/>
      <c r="I548" s="97"/>
      <c r="J548" s="97"/>
    </row>
    <row r="549" spans="2:10" ht="15.75" customHeight="1" x14ac:dyDescent="0.25">
      <c r="B549" s="97"/>
      <c r="C549" s="97"/>
      <c r="D549" s="97"/>
      <c r="E549" s="97"/>
      <c r="F549" s="97"/>
      <c r="G549" s="97"/>
      <c r="H549" s="97"/>
      <c r="I549" s="97"/>
      <c r="J549" s="97"/>
    </row>
    <row r="550" spans="2:10" ht="15.75" customHeight="1" x14ac:dyDescent="0.25">
      <c r="B550" s="97"/>
      <c r="C550" s="97"/>
      <c r="D550" s="97"/>
      <c r="E550" s="97"/>
      <c r="F550" s="97"/>
      <c r="G550" s="97"/>
      <c r="H550" s="97"/>
      <c r="I550" s="97"/>
      <c r="J550" s="97"/>
    </row>
    <row r="551" spans="2:10" ht="15.75" customHeight="1" x14ac:dyDescent="0.25">
      <c r="B551" s="97"/>
      <c r="C551" s="97"/>
      <c r="D551" s="97"/>
      <c r="E551" s="97"/>
      <c r="F551" s="97"/>
      <c r="G551" s="97"/>
      <c r="H551" s="97"/>
      <c r="I551" s="97"/>
      <c r="J551" s="97"/>
    </row>
    <row r="552" spans="2:10" ht="15.75" customHeight="1" x14ac:dyDescent="0.25">
      <c r="B552" s="97"/>
      <c r="C552" s="97"/>
      <c r="D552" s="97"/>
      <c r="E552" s="97"/>
      <c r="F552" s="97"/>
      <c r="G552" s="97"/>
      <c r="H552" s="97"/>
      <c r="I552" s="97"/>
      <c r="J552" s="97"/>
    </row>
    <row r="553" spans="2:10" ht="15.75" customHeight="1" x14ac:dyDescent="0.25">
      <c r="B553" s="97"/>
      <c r="C553" s="97"/>
      <c r="D553" s="97"/>
      <c r="E553" s="97"/>
      <c r="F553" s="97"/>
      <c r="G553" s="97"/>
      <c r="H553" s="97"/>
      <c r="I553" s="97"/>
      <c r="J553" s="97"/>
    </row>
    <row r="554" spans="2:10" ht="15.75" customHeight="1" x14ac:dyDescent="0.25">
      <c r="B554" s="97"/>
      <c r="C554" s="97"/>
      <c r="D554" s="97"/>
      <c r="E554" s="97"/>
      <c r="F554" s="97"/>
      <c r="G554" s="97"/>
      <c r="H554" s="97"/>
      <c r="I554" s="97"/>
      <c r="J554" s="97"/>
    </row>
    <row r="555" spans="2:10" ht="15.75" customHeight="1" x14ac:dyDescent="0.25">
      <c r="B555" s="97"/>
      <c r="C555" s="97"/>
      <c r="D555" s="97"/>
      <c r="E555" s="97"/>
      <c r="F555" s="97"/>
      <c r="G555" s="97"/>
      <c r="H555" s="97"/>
      <c r="I555" s="97"/>
      <c r="J555" s="97"/>
    </row>
    <row r="556" spans="2:10" ht="15.75" customHeight="1" x14ac:dyDescent="0.25">
      <c r="B556" s="97"/>
      <c r="C556" s="97"/>
      <c r="D556" s="97"/>
      <c r="E556" s="97"/>
      <c r="F556" s="97"/>
      <c r="G556" s="97"/>
      <c r="H556" s="97"/>
      <c r="I556" s="97"/>
      <c r="J556" s="97"/>
    </row>
    <row r="557" spans="2:10" ht="15.75" customHeight="1" x14ac:dyDescent="0.25">
      <c r="B557" s="97"/>
      <c r="C557" s="97"/>
      <c r="D557" s="97"/>
      <c r="E557" s="97"/>
      <c r="F557" s="97"/>
      <c r="G557" s="97"/>
      <c r="H557" s="97"/>
      <c r="I557" s="97"/>
      <c r="J557" s="97"/>
    </row>
    <row r="558" spans="2:10" ht="15.75" customHeight="1" x14ac:dyDescent="0.25">
      <c r="B558" s="97"/>
      <c r="C558" s="97"/>
      <c r="D558" s="97"/>
      <c r="E558" s="97"/>
      <c r="F558" s="97"/>
      <c r="G558" s="97"/>
      <c r="H558" s="97"/>
      <c r="I558" s="97"/>
      <c r="J558" s="97"/>
    </row>
    <row r="559" spans="2:10" ht="15.75" customHeight="1" x14ac:dyDescent="0.25">
      <c r="B559" s="97"/>
      <c r="C559" s="97"/>
      <c r="D559" s="97"/>
      <c r="E559" s="97"/>
      <c r="F559" s="97"/>
      <c r="G559" s="97"/>
      <c r="H559" s="97"/>
      <c r="I559" s="97"/>
      <c r="J559" s="97"/>
    </row>
    <row r="560" spans="2:10" ht="15.75" customHeight="1" x14ac:dyDescent="0.25">
      <c r="B560" s="97"/>
      <c r="C560" s="97"/>
      <c r="D560" s="97"/>
      <c r="E560" s="97"/>
      <c r="F560" s="97"/>
      <c r="G560" s="97"/>
      <c r="H560" s="97"/>
      <c r="I560" s="97"/>
      <c r="J560" s="97"/>
    </row>
    <row r="561" spans="2:10" ht="15.75" customHeight="1" x14ac:dyDescent="0.25">
      <c r="B561" s="97"/>
      <c r="C561" s="97"/>
      <c r="D561" s="97"/>
      <c r="E561" s="97"/>
      <c r="F561" s="97"/>
      <c r="G561" s="97"/>
      <c r="H561" s="97"/>
      <c r="I561" s="97"/>
      <c r="J561" s="97"/>
    </row>
    <row r="562" spans="2:10" ht="15.75" customHeight="1" x14ac:dyDescent="0.25">
      <c r="B562" s="97"/>
      <c r="C562" s="97"/>
      <c r="D562" s="97"/>
      <c r="E562" s="97"/>
      <c r="F562" s="97"/>
      <c r="G562" s="97"/>
      <c r="H562" s="97"/>
      <c r="I562" s="97"/>
      <c r="J562" s="97"/>
    </row>
    <row r="563" spans="2:10" ht="15.75" customHeight="1" x14ac:dyDescent="0.25">
      <c r="B563" s="97"/>
      <c r="C563" s="97"/>
      <c r="D563" s="97"/>
      <c r="E563" s="97"/>
      <c r="F563" s="97"/>
      <c r="G563" s="97"/>
      <c r="H563" s="97"/>
      <c r="I563" s="97"/>
      <c r="J563" s="97"/>
    </row>
    <row r="564" spans="2:10" ht="15.75" customHeight="1" x14ac:dyDescent="0.25">
      <c r="B564" s="97"/>
      <c r="C564" s="97"/>
      <c r="D564" s="97"/>
      <c r="E564" s="97"/>
      <c r="F564" s="97"/>
      <c r="G564" s="97"/>
      <c r="H564" s="97"/>
      <c r="I564" s="97"/>
      <c r="J564" s="97"/>
    </row>
    <row r="565" spans="2:10" ht="15.75" customHeight="1" x14ac:dyDescent="0.25">
      <c r="B565" s="97"/>
      <c r="C565" s="97"/>
      <c r="D565" s="97"/>
      <c r="E565" s="97"/>
      <c r="F565" s="97"/>
      <c r="G565" s="97"/>
      <c r="H565" s="97"/>
      <c r="I565" s="97"/>
      <c r="J565" s="97"/>
    </row>
    <row r="566" spans="2:10" ht="15.75" customHeight="1" x14ac:dyDescent="0.25">
      <c r="B566" s="97"/>
      <c r="C566" s="97"/>
      <c r="D566" s="97"/>
      <c r="E566" s="97"/>
      <c r="F566" s="97"/>
      <c r="G566" s="97"/>
      <c r="H566" s="97"/>
      <c r="I566" s="97"/>
      <c r="J566" s="97"/>
    </row>
    <row r="567" spans="2:10" ht="15.75" customHeight="1" x14ac:dyDescent="0.25">
      <c r="B567" s="97"/>
      <c r="C567" s="97"/>
      <c r="D567" s="97"/>
      <c r="E567" s="97"/>
      <c r="F567" s="97"/>
      <c r="G567" s="97"/>
      <c r="H567" s="97"/>
      <c r="I567" s="97"/>
      <c r="J567" s="97"/>
    </row>
    <row r="568" spans="2:10" ht="15.75" customHeight="1" x14ac:dyDescent="0.25">
      <c r="B568" s="97"/>
      <c r="C568" s="97"/>
      <c r="D568" s="97"/>
      <c r="E568" s="97"/>
      <c r="F568" s="97"/>
      <c r="G568" s="97"/>
      <c r="H568" s="97"/>
      <c r="I568" s="97"/>
      <c r="J568" s="97"/>
    </row>
    <row r="569" spans="2:10" ht="15.75" customHeight="1" x14ac:dyDescent="0.25">
      <c r="B569" s="97"/>
      <c r="C569" s="97"/>
      <c r="D569" s="97"/>
      <c r="E569" s="97"/>
      <c r="F569" s="97"/>
      <c r="G569" s="97"/>
      <c r="H569" s="97"/>
      <c r="I569" s="97"/>
      <c r="J569" s="97"/>
    </row>
    <row r="570" spans="2:10" ht="15.75" customHeight="1" x14ac:dyDescent="0.25">
      <c r="B570" s="97"/>
      <c r="C570" s="97"/>
      <c r="D570" s="97"/>
      <c r="E570" s="97"/>
      <c r="F570" s="97"/>
      <c r="G570" s="97"/>
      <c r="H570" s="97"/>
      <c r="I570" s="97"/>
      <c r="J570" s="97"/>
    </row>
    <row r="571" spans="2:10" ht="15.75" customHeight="1" x14ac:dyDescent="0.25">
      <c r="B571" s="97"/>
      <c r="C571" s="97"/>
      <c r="D571" s="97"/>
      <c r="E571" s="97"/>
      <c r="F571" s="97"/>
      <c r="G571" s="97"/>
      <c r="H571" s="97"/>
      <c r="I571" s="97"/>
      <c r="J571" s="97"/>
    </row>
    <row r="572" spans="2:10" ht="15.75" customHeight="1" x14ac:dyDescent="0.25">
      <c r="B572" s="97"/>
      <c r="C572" s="97"/>
      <c r="D572" s="97"/>
      <c r="E572" s="97"/>
      <c r="F572" s="97"/>
      <c r="G572" s="97"/>
      <c r="H572" s="97"/>
      <c r="I572" s="97"/>
      <c r="J572" s="97"/>
    </row>
    <row r="573" spans="2:10" ht="15.75" customHeight="1" x14ac:dyDescent="0.25">
      <c r="B573" s="97"/>
      <c r="C573" s="97"/>
      <c r="D573" s="97"/>
      <c r="E573" s="97"/>
      <c r="F573" s="97"/>
      <c r="G573" s="97"/>
      <c r="H573" s="97"/>
      <c r="I573" s="97"/>
      <c r="J573" s="97"/>
    </row>
    <row r="574" spans="2:10" ht="15.75" customHeight="1" x14ac:dyDescent="0.25">
      <c r="B574" s="97"/>
      <c r="C574" s="97"/>
      <c r="D574" s="97"/>
      <c r="E574" s="97"/>
      <c r="F574" s="97"/>
      <c r="G574" s="97"/>
      <c r="H574" s="97"/>
      <c r="I574" s="97"/>
      <c r="J574" s="97"/>
    </row>
    <row r="575" spans="2:10" ht="15.75" customHeight="1" x14ac:dyDescent="0.25">
      <c r="B575" s="97"/>
      <c r="C575" s="97"/>
      <c r="D575" s="97"/>
      <c r="E575" s="97"/>
      <c r="F575" s="97"/>
      <c r="G575" s="97"/>
      <c r="H575" s="97"/>
      <c r="I575" s="97"/>
      <c r="J575" s="97"/>
    </row>
    <row r="576" spans="2:10" ht="15.75" customHeight="1" x14ac:dyDescent="0.25">
      <c r="B576" s="97"/>
      <c r="C576" s="97"/>
      <c r="D576" s="97"/>
      <c r="E576" s="97"/>
      <c r="F576" s="97"/>
      <c r="G576" s="97"/>
      <c r="H576" s="97"/>
      <c r="I576" s="97"/>
      <c r="J576" s="97"/>
    </row>
    <row r="577" spans="2:10" ht="15.75" customHeight="1" x14ac:dyDescent="0.25">
      <c r="B577" s="97"/>
      <c r="C577" s="97"/>
      <c r="D577" s="97"/>
      <c r="E577" s="97"/>
      <c r="F577" s="97"/>
      <c r="G577" s="97"/>
      <c r="H577" s="97"/>
      <c r="I577" s="97"/>
      <c r="J577" s="97"/>
    </row>
    <row r="578" spans="2:10" ht="15.75" customHeight="1" x14ac:dyDescent="0.25">
      <c r="B578" s="97"/>
      <c r="C578" s="97"/>
      <c r="D578" s="97"/>
      <c r="E578" s="97"/>
      <c r="F578" s="97"/>
      <c r="G578" s="97"/>
      <c r="H578" s="97"/>
      <c r="I578" s="97"/>
      <c r="J578" s="97"/>
    </row>
    <row r="579" spans="2:10" ht="15.75" customHeight="1" x14ac:dyDescent="0.25">
      <c r="B579" s="97"/>
      <c r="C579" s="97"/>
      <c r="D579" s="97"/>
      <c r="E579" s="97"/>
      <c r="F579" s="97"/>
      <c r="G579" s="97"/>
      <c r="H579" s="97"/>
      <c r="I579" s="97"/>
      <c r="J579" s="97"/>
    </row>
    <row r="580" spans="2:10" ht="15.75" customHeight="1" x14ac:dyDescent="0.25">
      <c r="B580" s="97"/>
      <c r="C580" s="97"/>
      <c r="D580" s="97"/>
      <c r="E580" s="97"/>
      <c r="F580" s="97"/>
      <c r="G580" s="97"/>
      <c r="H580" s="97"/>
      <c r="I580" s="97"/>
      <c r="J580" s="97"/>
    </row>
    <row r="581" spans="2:10" ht="15.75" customHeight="1" x14ac:dyDescent="0.25">
      <c r="B581" s="97"/>
      <c r="C581" s="97"/>
      <c r="D581" s="97"/>
      <c r="E581" s="97"/>
      <c r="F581" s="97"/>
      <c r="G581" s="97"/>
      <c r="H581" s="97"/>
      <c r="I581" s="97"/>
      <c r="J581" s="97"/>
    </row>
    <row r="582" spans="2:10" ht="15.75" customHeight="1" x14ac:dyDescent="0.25">
      <c r="B582" s="97"/>
      <c r="C582" s="97"/>
      <c r="D582" s="97"/>
      <c r="E582" s="97"/>
      <c r="F582" s="97"/>
      <c r="G582" s="97"/>
      <c r="H582" s="97"/>
      <c r="I582" s="97"/>
      <c r="J582" s="97"/>
    </row>
    <row r="583" spans="2:10" ht="15.75" customHeight="1" x14ac:dyDescent="0.25">
      <c r="B583" s="97"/>
      <c r="C583" s="97"/>
      <c r="D583" s="97"/>
      <c r="E583" s="97"/>
      <c r="F583" s="97"/>
      <c r="G583" s="97"/>
      <c r="H583" s="97"/>
      <c r="I583" s="97"/>
      <c r="J583" s="97"/>
    </row>
    <row r="584" spans="2:10" ht="15.75" customHeight="1" x14ac:dyDescent="0.25">
      <c r="B584" s="97"/>
      <c r="C584" s="97"/>
      <c r="D584" s="97"/>
      <c r="E584" s="97"/>
      <c r="F584" s="97"/>
      <c r="G584" s="97"/>
      <c r="H584" s="97"/>
      <c r="I584" s="97"/>
      <c r="J584" s="97"/>
    </row>
    <row r="585" spans="2:10" ht="15.75" customHeight="1" x14ac:dyDescent="0.25">
      <c r="B585" s="97"/>
      <c r="C585" s="97"/>
      <c r="D585" s="97"/>
      <c r="E585" s="97"/>
      <c r="F585" s="97"/>
      <c r="G585" s="97"/>
      <c r="H585" s="97"/>
      <c r="I585" s="97"/>
      <c r="J585" s="97"/>
    </row>
    <row r="586" spans="2:10" ht="15.75" customHeight="1" x14ac:dyDescent="0.25">
      <c r="B586" s="97"/>
      <c r="C586" s="97"/>
      <c r="D586" s="97"/>
      <c r="E586" s="97"/>
      <c r="F586" s="97"/>
      <c r="G586" s="97"/>
      <c r="H586" s="97"/>
      <c r="I586" s="97"/>
      <c r="J586" s="97"/>
    </row>
    <row r="587" spans="2:10" ht="15.75" customHeight="1" x14ac:dyDescent="0.25">
      <c r="B587" s="97"/>
      <c r="C587" s="97"/>
      <c r="D587" s="97"/>
      <c r="E587" s="97"/>
      <c r="F587" s="97"/>
      <c r="G587" s="97"/>
      <c r="H587" s="97"/>
      <c r="I587" s="97"/>
      <c r="J587" s="97"/>
    </row>
    <row r="588" spans="2:10" ht="15.75" customHeight="1" x14ac:dyDescent="0.25">
      <c r="B588" s="97"/>
      <c r="C588" s="97"/>
      <c r="D588" s="97"/>
      <c r="E588" s="97"/>
      <c r="F588" s="97"/>
      <c r="G588" s="97"/>
      <c r="H588" s="97"/>
      <c r="I588" s="97"/>
      <c r="J588" s="97"/>
    </row>
    <row r="589" spans="2:10" ht="15.75" customHeight="1" x14ac:dyDescent="0.25">
      <c r="B589" s="97"/>
      <c r="C589" s="97"/>
      <c r="D589" s="97"/>
      <c r="E589" s="97"/>
      <c r="F589" s="97"/>
      <c r="G589" s="97"/>
      <c r="H589" s="97"/>
      <c r="I589" s="97"/>
      <c r="J589" s="97"/>
    </row>
    <row r="590" spans="2:10" ht="15.75" customHeight="1" x14ac:dyDescent="0.25">
      <c r="B590" s="97"/>
      <c r="C590" s="97"/>
      <c r="D590" s="97"/>
      <c r="E590" s="97"/>
      <c r="F590" s="97"/>
      <c r="G590" s="97"/>
      <c r="H590" s="97"/>
      <c r="I590" s="97"/>
      <c r="J590" s="97"/>
    </row>
    <row r="591" spans="2:10" ht="15.75" customHeight="1" x14ac:dyDescent="0.25">
      <c r="B591" s="97"/>
      <c r="C591" s="97"/>
      <c r="D591" s="97"/>
      <c r="E591" s="97"/>
      <c r="F591" s="97"/>
      <c r="G591" s="97"/>
      <c r="H591" s="97"/>
      <c r="I591" s="97"/>
      <c r="J591" s="97"/>
    </row>
    <row r="592" spans="2:10" ht="15.75" customHeight="1" x14ac:dyDescent="0.25">
      <c r="B592" s="97"/>
      <c r="C592" s="97"/>
      <c r="D592" s="97"/>
      <c r="E592" s="97"/>
      <c r="F592" s="97"/>
      <c r="G592" s="97"/>
      <c r="H592" s="97"/>
      <c r="I592" s="97"/>
      <c r="J592" s="97"/>
    </row>
    <row r="593" spans="2:10" ht="15.75" customHeight="1" x14ac:dyDescent="0.25">
      <c r="B593" s="97"/>
      <c r="C593" s="97"/>
      <c r="D593" s="97"/>
      <c r="E593" s="97"/>
      <c r="F593" s="97"/>
      <c r="G593" s="97"/>
      <c r="H593" s="97"/>
      <c r="I593" s="97"/>
      <c r="J593" s="97"/>
    </row>
    <row r="594" spans="2:10" ht="15.75" customHeight="1" x14ac:dyDescent="0.25">
      <c r="B594" s="97"/>
      <c r="C594" s="97"/>
      <c r="D594" s="97"/>
      <c r="E594" s="97"/>
      <c r="F594" s="97"/>
      <c r="G594" s="97"/>
      <c r="H594" s="97"/>
      <c r="I594" s="97"/>
      <c r="J594" s="97"/>
    </row>
    <row r="595" spans="2:10" ht="15.75" customHeight="1" x14ac:dyDescent="0.25">
      <c r="B595" s="97"/>
      <c r="C595" s="97"/>
      <c r="D595" s="97"/>
      <c r="E595" s="97"/>
      <c r="F595" s="97"/>
      <c r="G595" s="97"/>
      <c r="H595" s="97"/>
      <c r="I595" s="97"/>
      <c r="J595" s="97"/>
    </row>
    <row r="596" spans="2:10" ht="15.75" customHeight="1" x14ac:dyDescent="0.25">
      <c r="B596" s="97"/>
      <c r="C596" s="97"/>
      <c r="D596" s="97"/>
      <c r="E596" s="97"/>
      <c r="F596" s="97"/>
      <c r="G596" s="97"/>
      <c r="H596" s="97"/>
      <c r="I596" s="97"/>
      <c r="J596" s="97"/>
    </row>
    <row r="597" spans="2:10" ht="15.75" customHeight="1" x14ac:dyDescent="0.25">
      <c r="B597" s="97"/>
      <c r="C597" s="97"/>
      <c r="D597" s="97"/>
      <c r="E597" s="97"/>
      <c r="F597" s="97"/>
      <c r="G597" s="97"/>
      <c r="H597" s="97"/>
      <c r="I597" s="97"/>
      <c r="J597" s="97"/>
    </row>
    <row r="598" spans="2:10" ht="15.75" customHeight="1" x14ac:dyDescent="0.25">
      <c r="B598" s="97"/>
      <c r="C598" s="97"/>
      <c r="D598" s="97"/>
      <c r="E598" s="97"/>
      <c r="F598" s="97"/>
      <c r="G598" s="97"/>
      <c r="H598" s="97"/>
      <c r="I598" s="97"/>
      <c r="J598" s="97"/>
    </row>
    <row r="599" spans="2:10" ht="15.75" customHeight="1" x14ac:dyDescent="0.25">
      <c r="B599" s="97"/>
      <c r="C599" s="97"/>
      <c r="D599" s="97"/>
      <c r="E599" s="97"/>
      <c r="F599" s="97"/>
      <c r="G599" s="97"/>
      <c r="H599" s="97"/>
      <c r="I599" s="97"/>
      <c r="J599" s="97"/>
    </row>
    <row r="600" spans="2:10" ht="15.75" customHeight="1" x14ac:dyDescent="0.25">
      <c r="B600" s="97"/>
      <c r="C600" s="97"/>
      <c r="D600" s="97"/>
      <c r="E600" s="97"/>
      <c r="F600" s="97"/>
      <c r="G600" s="97"/>
      <c r="H600" s="97"/>
      <c r="I600" s="97"/>
      <c r="J600" s="97"/>
    </row>
    <row r="601" spans="2:10" ht="15.75" customHeight="1" x14ac:dyDescent="0.25">
      <c r="B601" s="97"/>
      <c r="C601" s="97"/>
      <c r="D601" s="97"/>
      <c r="E601" s="97"/>
      <c r="F601" s="97"/>
      <c r="G601" s="97"/>
      <c r="H601" s="97"/>
      <c r="I601" s="97"/>
      <c r="J601" s="97"/>
    </row>
    <row r="602" spans="2:10" ht="15.75" customHeight="1" x14ac:dyDescent="0.25">
      <c r="B602" s="97"/>
      <c r="C602" s="97"/>
      <c r="D602" s="97"/>
      <c r="E602" s="97"/>
      <c r="F602" s="97"/>
      <c r="G602" s="97"/>
      <c r="H602" s="97"/>
      <c r="I602" s="97"/>
      <c r="J602" s="97"/>
    </row>
    <row r="603" spans="2:10" ht="15.75" customHeight="1" x14ac:dyDescent="0.25">
      <c r="B603" s="97"/>
      <c r="C603" s="97"/>
      <c r="D603" s="97"/>
      <c r="E603" s="97"/>
      <c r="F603" s="97"/>
      <c r="G603" s="97"/>
      <c r="H603" s="97"/>
      <c r="I603" s="97"/>
      <c r="J603" s="97"/>
    </row>
    <row r="604" spans="2:10" ht="15.75" customHeight="1" x14ac:dyDescent="0.25">
      <c r="B604" s="97"/>
      <c r="C604" s="97"/>
      <c r="D604" s="97"/>
      <c r="E604" s="97"/>
      <c r="F604" s="97"/>
      <c r="G604" s="97"/>
      <c r="H604" s="97"/>
      <c r="I604" s="97"/>
      <c r="J604" s="97"/>
    </row>
    <row r="605" spans="2:10" ht="15.75" customHeight="1" x14ac:dyDescent="0.25">
      <c r="B605" s="97"/>
      <c r="C605" s="97"/>
      <c r="D605" s="97"/>
      <c r="E605" s="97"/>
      <c r="F605" s="97"/>
      <c r="G605" s="97"/>
      <c r="H605" s="97"/>
      <c r="I605" s="97"/>
      <c r="J605" s="97"/>
    </row>
    <row r="606" spans="2:10" ht="15.75" customHeight="1" x14ac:dyDescent="0.25">
      <c r="B606" s="97"/>
      <c r="C606" s="97"/>
      <c r="D606" s="97"/>
      <c r="E606" s="97"/>
      <c r="F606" s="97"/>
      <c r="G606" s="97"/>
      <c r="H606" s="97"/>
      <c r="I606" s="97"/>
      <c r="J606" s="97"/>
    </row>
    <row r="607" spans="2:10" ht="15.75" customHeight="1" x14ac:dyDescent="0.25">
      <c r="B607" s="97"/>
      <c r="C607" s="97"/>
      <c r="D607" s="97"/>
      <c r="E607" s="97"/>
      <c r="F607" s="97"/>
      <c r="G607" s="97"/>
      <c r="H607" s="97"/>
      <c r="I607" s="97"/>
      <c r="J607" s="97"/>
    </row>
    <row r="608" spans="2:10" ht="15.75" customHeight="1" x14ac:dyDescent="0.25">
      <c r="B608" s="97"/>
      <c r="C608" s="97"/>
      <c r="D608" s="97"/>
      <c r="E608" s="97"/>
      <c r="F608" s="97"/>
      <c r="G608" s="97"/>
      <c r="H608" s="97"/>
      <c r="I608" s="97"/>
      <c r="J608" s="97"/>
    </row>
    <row r="609" spans="2:10" ht="15.75" customHeight="1" x14ac:dyDescent="0.25">
      <c r="B609" s="97"/>
      <c r="C609" s="97"/>
      <c r="D609" s="97"/>
      <c r="E609" s="97"/>
      <c r="F609" s="97"/>
      <c r="G609" s="97"/>
      <c r="H609" s="97"/>
      <c r="I609" s="97"/>
      <c r="J609" s="97"/>
    </row>
    <row r="610" spans="2:10" ht="15.75" customHeight="1" x14ac:dyDescent="0.25">
      <c r="B610" s="97"/>
      <c r="C610" s="97"/>
      <c r="D610" s="97"/>
      <c r="E610" s="97"/>
      <c r="F610" s="97"/>
      <c r="G610" s="97"/>
      <c r="H610" s="97"/>
      <c r="I610" s="97"/>
      <c r="J610" s="97"/>
    </row>
    <row r="611" spans="2:10" ht="15.75" customHeight="1" x14ac:dyDescent="0.25">
      <c r="B611" s="97"/>
      <c r="C611" s="97"/>
      <c r="D611" s="97"/>
      <c r="E611" s="97"/>
      <c r="F611" s="97"/>
      <c r="G611" s="97"/>
      <c r="H611" s="97"/>
      <c r="I611" s="97"/>
      <c r="J611" s="97"/>
    </row>
    <row r="612" spans="2:10" ht="15.75" customHeight="1" x14ac:dyDescent="0.25">
      <c r="B612" s="97"/>
      <c r="C612" s="97"/>
      <c r="D612" s="97"/>
      <c r="E612" s="97"/>
      <c r="F612" s="97"/>
      <c r="G612" s="97"/>
      <c r="H612" s="97"/>
      <c r="I612" s="97"/>
      <c r="J612" s="97"/>
    </row>
    <row r="613" spans="2:10" ht="15.75" customHeight="1" x14ac:dyDescent="0.25">
      <c r="B613" s="97"/>
      <c r="C613" s="97"/>
      <c r="D613" s="97"/>
      <c r="E613" s="97"/>
      <c r="F613" s="97"/>
      <c r="G613" s="97"/>
      <c r="H613" s="97"/>
      <c r="I613" s="97"/>
      <c r="J613" s="97"/>
    </row>
    <row r="614" spans="2:10" ht="15.75" customHeight="1" x14ac:dyDescent="0.25">
      <c r="B614" s="97"/>
      <c r="C614" s="97"/>
      <c r="D614" s="97"/>
      <c r="E614" s="97"/>
      <c r="F614" s="97"/>
      <c r="G614" s="97"/>
      <c r="H614" s="97"/>
      <c r="I614" s="97"/>
      <c r="J614" s="97"/>
    </row>
    <row r="615" spans="2:10" ht="15.75" customHeight="1" x14ac:dyDescent="0.25">
      <c r="B615" s="97"/>
      <c r="C615" s="97"/>
      <c r="D615" s="97"/>
      <c r="E615" s="97"/>
      <c r="F615" s="97"/>
      <c r="G615" s="97"/>
      <c r="H615" s="97"/>
      <c r="I615" s="97"/>
      <c r="J615" s="97"/>
    </row>
    <row r="616" spans="2:10" ht="15.75" customHeight="1" x14ac:dyDescent="0.25">
      <c r="B616" s="97"/>
      <c r="C616" s="97"/>
      <c r="D616" s="97"/>
      <c r="E616" s="97"/>
      <c r="F616" s="97"/>
      <c r="G616" s="97"/>
      <c r="H616" s="97"/>
      <c r="I616" s="97"/>
      <c r="J616" s="97"/>
    </row>
    <row r="617" spans="2:10" ht="15.75" customHeight="1" x14ac:dyDescent="0.25">
      <c r="B617" s="97"/>
      <c r="C617" s="97"/>
      <c r="D617" s="97"/>
      <c r="E617" s="97"/>
      <c r="F617" s="97"/>
      <c r="G617" s="97"/>
      <c r="H617" s="97"/>
      <c r="I617" s="97"/>
      <c r="J617" s="97"/>
    </row>
    <row r="618" spans="2:10" ht="15.75" customHeight="1" x14ac:dyDescent="0.25">
      <c r="B618" s="97"/>
      <c r="C618" s="97"/>
      <c r="D618" s="97"/>
      <c r="E618" s="97"/>
      <c r="F618" s="97"/>
      <c r="G618" s="97"/>
      <c r="H618" s="97"/>
      <c r="I618" s="97"/>
      <c r="J618" s="97"/>
    </row>
    <row r="619" spans="2:10" ht="15.75" customHeight="1" x14ac:dyDescent="0.25">
      <c r="B619" s="97"/>
      <c r="C619" s="97"/>
      <c r="D619" s="97"/>
      <c r="E619" s="97"/>
      <c r="F619" s="97"/>
      <c r="G619" s="97"/>
      <c r="H619" s="97"/>
      <c r="I619" s="97"/>
      <c r="J619" s="97"/>
    </row>
    <row r="620" spans="2:10" ht="15.75" customHeight="1" x14ac:dyDescent="0.25">
      <c r="B620" s="97"/>
      <c r="C620" s="97"/>
      <c r="D620" s="97"/>
      <c r="E620" s="97"/>
      <c r="F620" s="97"/>
      <c r="G620" s="97"/>
      <c r="H620" s="97"/>
      <c r="I620" s="97"/>
      <c r="J620" s="97"/>
    </row>
    <row r="621" spans="2:10" ht="15.75" customHeight="1" x14ac:dyDescent="0.25">
      <c r="B621" s="97"/>
      <c r="C621" s="97"/>
      <c r="D621" s="97"/>
      <c r="E621" s="97"/>
      <c r="F621" s="97"/>
      <c r="G621" s="97"/>
      <c r="H621" s="97"/>
      <c r="I621" s="97"/>
      <c r="J621" s="97"/>
    </row>
    <row r="622" spans="2:10" ht="15.75" customHeight="1" x14ac:dyDescent="0.25">
      <c r="B622" s="97"/>
      <c r="C622" s="97"/>
      <c r="D622" s="97"/>
      <c r="E622" s="97"/>
      <c r="F622" s="97"/>
      <c r="G622" s="97"/>
      <c r="H622" s="97"/>
      <c r="I622" s="97"/>
      <c r="J622" s="97"/>
    </row>
    <row r="623" spans="2:10" ht="15.75" customHeight="1" x14ac:dyDescent="0.25">
      <c r="B623" s="97"/>
      <c r="C623" s="97"/>
      <c r="D623" s="97"/>
      <c r="E623" s="97"/>
      <c r="F623" s="97"/>
      <c r="G623" s="97"/>
      <c r="H623" s="97"/>
      <c r="I623" s="97"/>
      <c r="J623" s="97"/>
    </row>
    <row r="624" spans="2:10" ht="15.75" customHeight="1" x14ac:dyDescent="0.25">
      <c r="B624" s="97"/>
      <c r="C624" s="97"/>
      <c r="D624" s="97"/>
      <c r="E624" s="97"/>
      <c r="F624" s="97"/>
      <c r="G624" s="97"/>
      <c r="H624" s="97"/>
      <c r="I624" s="97"/>
      <c r="J624" s="97"/>
    </row>
    <row r="625" spans="2:10" ht="15.75" customHeight="1" x14ac:dyDescent="0.25">
      <c r="B625" s="97"/>
      <c r="C625" s="97"/>
      <c r="D625" s="97"/>
      <c r="E625" s="97"/>
      <c r="F625" s="97"/>
      <c r="G625" s="97"/>
      <c r="H625" s="97"/>
      <c r="I625" s="97"/>
      <c r="J625" s="97"/>
    </row>
    <row r="626" spans="2:10" ht="15.75" customHeight="1" x14ac:dyDescent="0.25">
      <c r="B626" s="97"/>
      <c r="C626" s="97"/>
      <c r="D626" s="97"/>
      <c r="E626" s="97"/>
      <c r="F626" s="97"/>
      <c r="G626" s="97"/>
      <c r="H626" s="97"/>
      <c r="I626" s="97"/>
      <c r="J626" s="97"/>
    </row>
    <row r="627" spans="2:10" ht="15.75" customHeight="1" x14ac:dyDescent="0.25">
      <c r="B627" s="97"/>
      <c r="C627" s="97"/>
      <c r="D627" s="97"/>
      <c r="E627" s="97"/>
      <c r="F627" s="97"/>
      <c r="G627" s="97"/>
      <c r="H627" s="97"/>
      <c r="I627" s="97"/>
      <c r="J627" s="97"/>
    </row>
    <row r="628" spans="2:10" ht="15.75" customHeight="1" x14ac:dyDescent="0.25">
      <c r="B628" s="97"/>
      <c r="C628" s="97"/>
      <c r="D628" s="97"/>
      <c r="E628" s="97"/>
      <c r="F628" s="97"/>
      <c r="G628" s="97"/>
      <c r="H628" s="97"/>
      <c r="I628" s="97"/>
      <c r="J628" s="97"/>
    </row>
    <row r="629" spans="2:10" ht="15.75" customHeight="1" x14ac:dyDescent="0.25">
      <c r="B629" s="97"/>
      <c r="C629" s="97"/>
      <c r="D629" s="97"/>
      <c r="E629" s="97"/>
      <c r="F629" s="97"/>
      <c r="G629" s="97"/>
      <c r="H629" s="97"/>
      <c r="I629" s="97"/>
      <c r="J629" s="97"/>
    </row>
    <row r="630" spans="2:10" ht="15.75" customHeight="1" x14ac:dyDescent="0.25">
      <c r="B630" s="97"/>
      <c r="C630" s="97"/>
      <c r="D630" s="97"/>
      <c r="E630" s="97"/>
      <c r="F630" s="97"/>
      <c r="G630" s="97"/>
      <c r="H630" s="97"/>
      <c r="I630" s="97"/>
      <c r="J630" s="97"/>
    </row>
    <row r="631" spans="2:10" ht="15.75" customHeight="1" x14ac:dyDescent="0.25">
      <c r="B631" s="97"/>
      <c r="C631" s="97"/>
      <c r="D631" s="97"/>
      <c r="E631" s="97"/>
      <c r="F631" s="97"/>
      <c r="G631" s="97"/>
      <c r="H631" s="97"/>
      <c r="I631" s="97"/>
      <c r="J631" s="97"/>
    </row>
    <row r="632" spans="2:10" ht="15.75" customHeight="1" x14ac:dyDescent="0.25">
      <c r="B632" s="97"/>
      <c r="C632" s="97"/>
      <c r="D632" s="97"/>
      <c r="E632" s="97"/>
      <c r="F632" s="97"/>
      <c r="G632" s="97"/>
      <c r="H632" s="97"/>
      <c r="I632" s="97"/>
      <c r="J632" s="97"/>
    </row>
    <row r="633" spans="2:10" ht="15.75" customHeight="1" x14ac:dyDescent="0.25">
      <c r="B633" s="97"/>
      <c r="C633" s="97"/>
      <c r="D633" s="97"/>
      <c r="E633" s="97"/>
      <c r="F633" s="97"/>
      <c r="G633" s="97"/>
      <c r="H633" s="97"/>
      <c r="I633" s="97"/>
      <c r="J633" s="97"/>
    </row>
    <row r="634" spans="2:10" ht="15.75" customHeight="1" x14ac:dyDescent="0.25">
      <c r="B634" s="97"/>
      <c r="C634" s="97"/>
      <c r="D634" s="97"/>
      <c r="E634" s="97"/>
      <c r="F634" s="97"/>
      <c r="G634" s="97"/>
      <c r="H634" s="97"/>
      <c r="I634" s="97"/>
      <c r="J634" s="97"/>
    </row>
    <row r="635" spans="2:10" ht="15.75" customHeight="1" x14ac:dyDescent="0.25">
      <c r="B635" s="97"/>
      <c r="C635" s="97"/>
      <c r="D635" s="97"/>
      <c r="E635" s="97"/>
      <c r="F635" s="97"/>
      <c r="G635" s="97"/>
      <c r="H635" s="97"/>
      <c r="I635" s="97"/>
      <c r="J635" s="97"/>
    </row>
    <row r="636" spans="2:10" ht="15.75" customHeight="1" x14ac:dyDescent="0.25">
      <c r="B636" s="97"/>
      <c r="C636" s="97"/>
      <c r="D636" s="97"/>
      <c r="E636" s="97"/>
      <c r="F636" s="97"/>
      <c r="G636" s="97"/>
      <c r="H636" s="97"/>
      <c r="I636" s="97"/>
      <c r="J636" s="97"/>
    </row>
    <row r="637" spans="2:10" ht="15.75" customHeight="1" x14ac:dyDescent="0.25">
      <c r="B637" s="97"/>
      <c r="C637" s="97"/>
      <c r="D637" s="97"/>
      <c r="E637" s="97"/>
      <c r="F637" s="97"/>
      <c r="G637" s="97"/>
      <c r="H637" s="97"/>
      <c r="I637" s="97"/>
      <c r="J637" s="97"/>
    </row>
    <row r="638" spans="2:10" ht="15.75" customHeight="1" x14ac:dyDescent="0.25">
      <c r="B638" s="97"/>
      <c r="C638" s="97"/>
      <c r="D638" s="97"/>
      <c r="E638" s="97"/>
      <c r="F638" s="97"/>
      <c r="G638" s="97"/>
      <c r="H638" s="97"/>
      <c r="I638" s="97"/>
      <c r="J638" s="97"/>
    </row>
    <row r="639" spans="2:10" ht="15.75" customHeight="1" x14ac:dyDescent="0.25">
      <c r="B639" s="97"/>
      <c r="C639" s="97"/>
      <c r="D639" s="97"/>
      <c r="E639" s="97"/>
      <c r="F639" s="97"/>
      <c r="G639" s="97"/>
      <c r="H639" s="97"/>
      <c r="I639" s="97"/>
      <c r="J639" s="97"/>
    </row>
    <row r="640" spans="2:10" ht="15.75" customHeight="1" x14ac:dyDescent="0.25">
      <c r="B640" s="97"/>
      <c r="C640" s="97"/>
      <c r="D640" s="97"/>
      <c r="E640" s="97"/>
      <c r="F640" s="97"/>
      <c r="G640" s="97"/>
      <c r="H640" s="97"/>
      <c r="I640" s="97"/>
      <c r="J640" s="97"/>
    </row>
    <row r="641" spans="2:10" ht="15.75" customHeight="1" x14ac:dyDescent="0.25">
      <c r="B641" s="97"/>
      <c r="C641" s="97"/>
      <c r="D641" s="97"/>
      <c r="E641" s="97"/>
      <c r="F641" s="97"/>
      <c r="G641" s="97"/>
      <c r="H641" s="97"/>
      <c r="I641" s="97"/>
      <c r="J641" s="97"/>
    </row>
    <row r="642" spans="2:10" ht="15.75" customHeight="1" x14ac:dyDescent="0.25">
      <c r="B642" s="97"/>
      <c r="C642" s="97"/>
      <c r="D642" s="97"/>
      <c r="E642" s="97"/>
      <c r="F642" s="97"/>
      <c r="G642" s="97"/>
      <c r="H642" s="97"/>
      <c r="I642" s="97"/>
      <c r="J642" s="97"/>
    </row>
    <row r="643" spans="2:10" ht="15.75" customHeight="1" x14ac:dyDescent="0.25">
      <c r="B643" s="97"/>
      <c r="C643" s="97"/>
      <c r="D643" s="97"/>
      <c r="E643" s="97"/>
      <c r="F643" s="97"/>
      <c r="G643" s="97"/>
      <c r="H643" s="97"/>
      <c r="I643" s="97"/>
      <c r="J643" s="97"/>
    </row>
    <row r="644" spans="2:10" ht="15.75" customHeight="1" x14ac:dyDescent="0.25">
      <c r="B644" s="97"/>
      <c r="C644" s="97"/>
      <c r="D644" s="97"/>
      <c r="E644" s="97"/>
      <c r="F644" s="97"/>
      <c r="G644" s="97"/>
      <c r="H644" s="97"/>
      <c r="I644" s="97"/>
      <c r="J644" s="97"/>
    </row>
    <row r="645" spans="2:10" ht="15.75" customHeight="1" x14ac:dyDescent="0.25">
      <c r="B645" s="97"/>
      <c r="C645" s="97"/>
      <c r="D645" s="97"/>
      <c r="E645" s="97"/>
      <c r="F645" s="97"/>
      <c r="G645" s="97"/>
      <c r="H645" s="97"/>
      <c r="I645" s="97"/>
      <c r="J645" s="97"/>
    </row>
    <row r="646" spans="2:10" ht="15.75" customHeight="1" x14ac:dyDescent="0.25">
      <c r="B646" s="97"/>
      <c r="C646" s="97"/>
      <c r="D646" s="97"/>
      <c r="E646" s="97"/>
      <c r="F646" s="97"/>
      <c r="G646" s="97"/>
      <c r="H646" s="97"/>
      <c r="I646" s="97"/>
      <c r="J646" s="97"/>
    </row>
    <row r="647" spans="2:10" ht="15.75" customHeight="1" x14ac:dyDescent="0.25">
      <c r="B647" s="97"/>
      <c r="C647" s="97"/>
      <c r="D647" s="97"/>
      <c r="E647" s="97"/>
      <c r="F647" s="97"/>
      <c r="G647" s="97"/>
      <c r="H647" s="97"/>
      <c r="I647" s="97"/>
      <c r="J647" s="97"/>
    </row>
    <row r="648" spans="2:10" ht="15.75" customHeight="1" x14ac:dyDescent="0.25">
      <c r="B648" s="97"/>
      <c r="C648" s="97"/>
      <c r="D648" s="97"/>
      <c r="E648" s="97"/>
      <c r="F648" s="97"/>
      <c r="G648" s="97"/>
      <c r="H648" s="97"/>
      <c r="I648" s="97"/>
      <c r="J648" s="97"/>
    </row>
    <row r="649" spans="2:10" ht="15.75" customHeight="1" x14ac:dyDescent="0.25">
      <c r="B649" s="97"/>
      <c r="C649" s="97"/>
      <c r="D649" s="97"/>
      <c r="E649" s="97"/>
      <c r="F649" s="97"/>
      <c r="G649" s="97"/>
      <c r="H649" s="97"/>
      <c r="I649" s="97"/>
      <c r="J649" s="97"/>
    </row>
    <row r="650" spans="2:10" ht="15.75" customHeight="1" x14ac:dyDescent="0.25">
      <c r="B650" s="97"/>
      <c r="C650" s="97"/>
      <c r="D650" s="97"/>
      <c r="E650" s="97"/>
      <c r="F650" s="97"/>
      <c r="G650" s="97"/>
      <c r="H650" s="97"/>
      <c r="I650" s="97"/>
      <c r="J650" s="97"/>
    </row>
    <row r="651" spans="2:10" ht="15.75" customHeight="1" x14ac:dyDescent="0.25">
      <c r="B651" s="97"/>
      <c r="C651" s="97"/>
      <c r="D651" s="97"/>
      <c r="E651" s="97"/>
      <c r="F651" s="97"/>
      <c r="G651" s="97"/>
      <c r="H651" s="97"/>
      <c r="I651" s="97"/>
      <c r="J651" s="97"/>
    </row>
    <row r="652" spans="2:10" ht="15.75" customHeight="1" x14ac:dyDescent="0.25">
      <c r="B652" s="97"/>
      <c r="C652" s="97"/>
      <c r="D652" s="97"/>
      <c r="E652" s="97"/>
      <c r="F652" s="97"/>
      <c r="G652" s="97"/>
      <c r="H652" s="97"/>
      <c r="I652" s="97"/>
      <c r="J652" s="97"/>
    </row>
    <row r="653" spans="2:10" ht="15.75" customHeight="1" x14ac:dyDescent="0.25">
      <c r="B653" s="97"/>
      <c r="C653" s="97"/>
      <c r="D653" s="97"/>
      <c r="E653" s="97"/>
      <c r="F653" s="97"/>
      <c r="G653" s="97"/>
      <c r="H653" s="97"/>
      <c r="I653" s="97"/>
      <c r="J653" s="97"/>
    </row>
    <row r="654" spans="2:10" ht="15.75" customHeight="1" x14ac:dyDescent="0.25">
      <c r="B654" s="97"/>
      <c r="C654" s="97"/>
      <c r="D654" s="97"/>
      <c r="E654" s="97"/>
      <c r="F654" s="97"/>
      <c r="G654" s="97"/>
      <c r="H654" s="97"/>
      <c r="I654" s="97"/>
      <c r="J654" s="97"/>
    </row>
    <row r="655" spans="2:10" ht="15.75" customHeight="1" x14ac:dyDescent="0.25">
      <c r="B655" s="97"/>
      <c r="C655" s="97"/>
      <c r="D655" s="97"/>
      <c r="E655" s="97"/>
      <c r="F655" s="97"/>
      <c r="G655" s="97"/>
      <c r="H655" s="97"/>
      <c r="I655" s="97"/>
      <c r="J655" s="97"/>
    </row>
    <row r="656" spans="2:10" ht="15.75" customHeight="1" x14ac:dyDescent="0.25">
      <c r="B656" s="97"/>
      <c r="C656" s="97"/>
      <c r="D656" s="97"/>
      <c r="E656" s="97"/>
      <c r="F656" s="97"/>
      <c r="G656" s="97"/>
      <c r="H656" s="97"/>
      <c r="I656" s="97"/>
      <c r="J656" s="97"/>
    </row>
    <row r="657" spans="2:10" ht="15.75" customHeight="1" x14ac:dyDescent="0.25">
      <c r="B657" s="97"/>
      <c r="C657" s="97"/>
      <c r="D657" s="97"/>
      <c r="E657" s="97"/>
      <c r="F657" s="97"/>
      <c r="G657" s="97"/>
      <c r="H657" s="97"/>
      <c r="I657" s="97"/>
      <c r="J657" s="97"/>
    </row>
    <row r="658" spans="2:10" ht="15.75" customHeight="1" x14ac:dyDescent="0.25">
      <c r="B658" s="97"/>
      <c r="C658" s="97"/>
      <c r="D658" s="97"/>
      <c r="E658" s="97"/>
      <c r="F658" s="97"/>
      <c r="G658" s="97"/>
      <c r="H658" s="97"/>
      <c r="I658" s="97"/>
      <c r="J658" s="97"/>
    </row>
    <row r="659" spans="2:10" ht="15.75" customHeight="1" x14ac:dyDescent="0.25">
      <c r="B659" s="97"/>
      <c r="C659" s="97"/>
      <c r="D659" s="97"/>
      <c r="E659" s="97"/>
      <c r="F659" s="97"/>
      <c r="G659" s="97"/>
      <c r="H659" s="97"/>
      <c r="I659" s="97"/>
      <c r="J659" s="97"/>
    </row>
    <row r="660" spans="2:10" ht="15.75" customHeight="1" x14ac:dyDescent="0.25">
      <c r="B660" s="97"/>
      <c r="C660" s="97"/>
      <c r="D660" s="97"/>
      <c r="E660" s="97"/>
      <c r="F660" s="97"/>
      <c r="G660" s="97"/>
      <c r="H660" s="97"/>
      <c r="I660" s="97"/>
      <c r="J660" s="97"/>
    </row>
    <row r="661" spans="2:10" ht="15.75" customHeight="1" x14ac:dyDescent="0.25">
      <c r="B661" s="97"/>
      <c r="C661" s="97"/>
      <c r="D661" s="97"/>
      <c r="E661" s="97"/>
      <c r="F661" s="97"/>
      <c r="G661" s="97"/>
      <c r="H661" s="97"/>
      <c r="I661" s="97"/>
      <c r="J661" s="97"/>
    </row>
    <row r="662" spans="2:10" ht="15.75" customHeight="1" x14ac:dyDescent="0.25">
      <c r="B662" s="97"/>
      <c r="C662" s="97"/>
      <c r="D662" s="97"/>
      <c r="E662" s="97"/>
      <c r="F662" s="97"/>
      <c r="G662" s="97"/>
      <c r="H662" s="97"/>
      <c r="I662" s="97"/>
      <c r="J662" s="97"/>
    </row>
    <row r="663" spans="2:10" ht="15.75" customHeight="1" x14ac:dyDescent="0.25">
      <c r="B663" s="97"/>
      <c r="C663" s="97"/>
      <c r="D663" s="97"/>
      <c r="E663" s="97"/>
      <c r="F663" s="97"/>
      <c r="G663" s="97"/>
      <c r="H663" s="97"/>
      <c r="I663" s="97"/>
      <c r="J663" s="97"/>
    </row>
    <row r="664" spans="2:10" ht="15.75" customHeight="1" x14ac:dyDescent="0.25">
      <c r="B664" s="97"/>
      <c r="C664" s="97"/>
      <c r="D664" s="97"/>
      <c r="E664" s="97"/>
      <c r="F664" s="97"/>
      <c r="G664" s="97"/>
      <c r="H664" s="97"/>
      <c r="I664" s="97"/>
      <c r="J664" s="97"/>
    </row>
    <row r="665" spans="2:10" ht="15.75" customHeight="1" x14ac:dyDescent="0.25">
      <c r="B665" s="97"/>
      <c r="C665" s="97"/>
      <c r="D665" s="97"/>
      <c r="E665" s="97"/>
      <c r="F665" s="97"/>
      <c r="G665" s="97"/>
      <c r="H665" s="97"/>
      <c r="I665" s="97"/>
      <c r="J665" s="97"/>
    </row>
    <row r="666" spans="2:10" ht="15.75" customHeight="1" x14ac:dyDescent="0.25">
      <c r="B666" s="97"/>
      <c r="C666" s="97"/>
      <c r="D666" s="97"/>
      <c r="E666" s="97"/>
      <c r="F666" s="97"/>
      <c r="G666" s="97"/>
      <c r="H666" s="97"/>
      <c r="I666" s="97"/>
      <c r="J666" s="97"/>
    </row>
    <row r="667" spans="2:10" ht="15.75" customHeight="1" x14ac:dyDescent="0.25">
      <c r="B667" s="97"/>
      <c r="C667" s="97"/>
      <c r="D667" s="97"/>
      <c r="E667" s="97"/>
      <c r="F667" s="97"/>
      <c r="G667" s="97"/>
      <c r="H667" s="97"/>
      <c r="I667" s="97"/>
      <c r="J667" s="97"/>
    </row>
    <row r="668" spans="2:10" ht="15.75" customHeight="1" x14ac:dyDescent="0.25">
      <c r="B668" s="97"/>
      <c r="C668" s="97"/>
      <c r="D668" s="97"/>
      <c r="E668" s="97"/>
      <c r="F668" s="97"/>
      <c r="G668" s="97"/>
      <c r="H668" s="97"/>
      <c r="I668" s="97"/>
      <c r="J668" s="97"/>
    </row>
    <row r="669" spans="2:10" ht="15.75" customHeight="1" x14ac:dyDescent="0.25">
      <c r="B669" s="97"/>
      <c r="C669" s="97"/>
      <c r="D669" s="97"/>
      <c r="E669" s="97"/>
      <c r="F669" s="97"/>
      <c r="G669" s="97"/>
      <c r="H669" s="97"/>
      <c r="I669" s="97"/>
      <c r="J669" s="97"/>
    </row>
    <row r="670" spans="2:10" ht="15.75" customHeight="1" x14ac:dyDescent="0.25">
      <c r="B670" s="97"/>
      <c r="C670" s="97"/>
      <c r="D670" s="97"/>
      <c r="E670" s="97"/>
      <c r="F670" s="97"/>
      <c r="G670" s="97"/>
      <c r="H670" s="97"/>
      <c r="I670" s="97"/>
      <c r="J670" s="97"/>
    </row>
    <row r="671" spans="2:10" ht="15.75" customHeight="1" x14ac:dyDescent="0.25">
      <c r="B671" s="97"/>
      <c r="C671" s="97"/>
      <c r="D671" s="97"/>
      <c r="E671" s="97"/>
      <c r="F671" s="97"/>
      <c r="G671" s="97"/>
      <c r="H671" s="97"/>
      <c r="I671" s="97"/>
      <c r="J671" s="97"/>
    </row>
    <row r="672" spans="2:10" ht="15.75" customHeight="1" x14ac:dyDescent="0.25">
      <c r="B672" s="97"/>
      <c r="C672" s="97"/>
      <c r="D672" s="97"/>
      <c r="E672" s="97"/>
      <c r="F672" s="97"/>
      <c r="G672" s="97"/>
      <c r="H672" s="97"/>
      <c r="I672" s="97"/>
      <c r="J672" s="97"/>
    </row>
    <row r="673" spans="2:10" ht="15.75" customHeight="1" x14ac:dyDescent="0.25">
      <c r="B673" s="97"/>
      <c r="C673" s="97"/>
      <c r="D673" s="97"/>
      <c r="E673" s="97"/>
      <c r="F673" s="97"/>
      <c r="G673" s="97"/>
      <c r="H673" s="97"/>
      <c r="I673" s="97"/>
      <c r="J673" s="97"/>
    </row>
    <row r="674" spans="2:10" ht="15.75" customHeight="1" x14ac:dyDescent="0.25">
      <c r="B674" s="97"/>
      <c r="C674" s="97"/>
      <c r="D674" s="97"/>
      <c r="E674" s="97"/>
      <c r="F674" s="97"/>
      <c r="G674" s="97"/>
      <c r="H674" s="97"/>
      <c r="I674" s="97"/>
      <c r="J674" s="97"/>
    </row>
    <row r="675" spans="2:10" ht="15.75" customHeight="1" x14ac:dyDescent="0.25">
      <c r="B675" s="97"/>
      <c r="C675" s="97"/>
      <c r="D675" s="97"/>
      <c r="E675" s="97"/>
      <c r="F675" s="97"/>
      <c r="G675" s="97"/>
      <c r="H675" s="97"/>
      <c r="I675" s="97"/>
      <c r="J675" s="97"/>
    </row>
    <row r="676" spans="2:10" ht="15.75" customHeight="1" x14ac:dyDescent="0.25">
      <c r="B676" s="97"/>
      <c r="C676" s="97"/>
      <c r="D676" s="97"/>
      <c r="E676" s="97"/>
      <c r="F676" s="97"/>
      <c r="G676" s="97"/>
      <c r="H676" s="97"/>
      <c r="I676" s="97"/>
      <c r="J676" s="97"/>
    </row>
    <row r="677" spans="2:10" ht="15.75" customHeight="1" x14ac:dyDescent="0.25">
      <c r="B677" s="97"/>
      <c r="C677" s="97"/>
      <c r="D677" s="97"/>
      <c r="E677" s="97"/>
      <c r="F677" s="97"/>
      <c r="G677" s="97"/>
      <c r="H677" s="97"/>
      <c r="I677" s="97"/>
      <c r="J677" s="97"/>
    </row>
    <row r="678" spans="2:10" ht="15.75" customHeight="1" x14ac:dyDescent="0.25">
      <c r="B678" s="97"/>
      <c r="C678" s="97"/>
      <c r="D678" s="97"/>
      <c r="E678" s="97"/>
      <c r="F678" s="97"/>
      <c r="G678" s="97"/>
      <c r="H678" s="97"/>
      <c r="I678" s="97"/>
      <c r="J678" s="97"/>
    </row>
    <row r="679" spans="2:10" ht="15.75" customHeight="1" x14ac:dyDescent="0.25">
      <c r="B679" s="97"/>
      <c r="C679" s="97"/>
      <c r="D679" s="97"/>
      <c r="E679" s="97"/>
      <c r="F679" s="97"/>
      <c r="G679" s="97"/>
      <c r="H679" s="97"/>
      <c r="I679" s="97"/>
      <c r="J679" s="97"/>
    </row>
    <row r="680" spans="2:10" ht="15.75" customHeight="1" x14ac:dyDescent="0.25">
      <c r="B680" s="97"/>
      <c r="C680" s="97"/>
      <c r="D680" s="97"/>
      <c r="E680" s="97"/>
      <c r="F680" s="97"/>
      <c r="G680" s="97"/>
      <c r="H680" s="97"/>
      <c r="I680" s="97"/>
      <c r="J680" s="97"/>
    </row>
    <row r="681" spans="2:10" ht="15.75" customHeight="1" x14ac:dyDescent="0.25">
      <c r="B681" s="97"/>
      <c r="C681" s="97"/>
      <c r="D681" s="97"/>
      <c r="E681" s="97"/>
      <c r="F681" s="97"/>
      <c r="G681" s="97"/>
      <c r="H681" s="97"/>
      <c r="I681" s="97"/>
      <c r="J681" s="97"/>
    </row>
    <row r="682" spans="2:10" ht="15.75" customHeight="1" x14ac:dyDescent="0.25">
      <c r="B682" s="97"/>
      <c r="C682" s="97"/>
      <c r="D682" s="97"/>
      <c r="E682" s="97"/>
      <c r="F682" s="97"/>
      <c r="G682" s="97"/>
      <c r="H682" s="97"/>
      <c r="I682" s="97"/>
      <c r="J682" s="97"/>
    </row>
    <row r="683" spans="2:10" ht="15.75" customHeight="1" x14ac:dyDescent="0.25">
      <c r="B683" s="97"/>
      <c r="C683" s="97"/>
      <c r="D683" s="97"/>
      <c r="E683" s="97"/>
      <c r="F683" s="97"/>
      <c r="G683" s="97"/>
      <c r="H683" s="97"/>
      <c r="I683" s="97"/>
      <c r="J683" s="97"/>
    </row>
    <row r="684" spans="2:10" ht="15.75" customHeight="1" x14ac:dyDescent="0.25">
      <c r="B684" s="97"/>
      <c r="C684" s="97"/>
      <c r="D684" s="97"/>
      <c r="E684" s="97"/>
      <c r="F684" s="97"/>
      <c r="G684" s="97"/>
      <c r="H684" s="97"/>
      <c r="I684" s="97"/>
      <c r="J684" s="97"/>
    </row>
    <row r="685" spans="2:10" ht="15.75" customHeight="1" x14ac:dyDescent="0.25">
      <c r="B685" s="97"/>
      <c r="C685" s="97"/>
      <c r="D685" s="97"/>
      <c r="E685" s="97"/>
      <c r="F685" s="97"/>
      <c r="G685" s="97"/>
      <c r="H685" s="97"/>
      <c r="I685" s="97"/>
      <c r="J685" s="97"/>
    </row>
    <row r="686" spans="2:10" ht="15.75" customHeight="1" x14ac:dyDescent="0.25">
      <c r="B686" s="97"/>
      <c r="C686" s="97"/>
      <c r="D686" s="97"/>
      <c r="E686" s="97"/>
      <c r="F686" s="97"/>
      <c r="G686" s="97"/>
      <c r="H686" s="97"/>
      <c r="I686" s="97"/>
      <c r="J686" s="97"/>
    </row>
    <row r="687" spans="2:10" ht="15.75" customHeight="1" x14ac:dyDescent="0.2"/>
    <row r="688" spans="2:10"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4">
    <mergeCell ref="B4:D4"/>
    <mergeCell ref="G4:I4"/>
    <mergeCell ref="L5:N5"/>
    <mergeCell ref="P5:R5"/>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AA1000"/>
  <sheetViews>
    <sheetView workbookViewId="0"/>
  </sheetViews>
  <sheetFormatPr defaultColWidth="12.5703125" defaultRowHeight="15" customHeight="1" x14ac:dyDescent="0.2"/>
  <cols>
    <col min="1" max="1" width="4" customWidth="1"/>
    <col min="2" max="2" width="22.7109375" customWidth="1"/>
    <col min="3" max="3" width="9.7109375" customWidth="1"/>
    <col min="4" max="4" width="11" customWidth="1"/>
    <col min="5" max="5" width="11.85546875" customWidth="1"/>
    <col min="6" max="11" width="4.85546875" customWidth="1"/>
    <col min="12" max="12" width="17.42578125" customWidth="1"/>
    <col min="13" max="13" width="18.42578125" customWidth="1"/>
    <col min="14" max="14" width="11.28515625" customWidth="1"/>
    <col min="16" max="16" width="6.140625" customWidth="1"/>
  </cols>
  <sheetData>
    <row r="1" spans="1:27" ht="22.5" customHeight="1" x14ac:dyDescent="0.2">
      <c r="A1" s="48"/>
      <c r="B1" s="48"/>
      <c r="C1" s="48"/>
      <c r="D1" s="48"/>
      <c r="E1" s="48"/>
      <c r="F1" s="48"/>
      <c r="G1" s="48"/>
      <c r="H1" s="48"/>
      <c r="I1" s="48"/>
      <c r="J1" s="48"/>
      <c r="K1" s="48"/>
      <c r="L1" s="272"/>
      <c r="M1" s="271"/>
      <c r="N1" s="271"/>
      <c r="O1" s="271"/>
      <c r="P1" s="48"/>
      <c r="Q1" s="48"/>
      <c r="R1" s="48"/>
      <c r="S1" s="48"/>
      <c r="T1" s="48"/>
      <c r="U1" s="48"/>
      <c r="V1" s="48"/>
      <c r="W1" s="48"/>
      <c r="X1" s="48"/>
      <c r="Y1" s="48"/>
      <c r="Z1" s="48"/>
      <c r="AA1" s="48"/>
    </row>
    <row r="2" spans="1:27" ht="22.5" customHeight="1" x14ac:dyDescent="0.2">
      <c r="A2" s="48"/>
      <c r="B2" s="48"/>
      <c r="C2" s="48"/>
      <c r="D2" s="48"/>
      <c r="E2" s="48"/>
      <c r="F2" s="48"/>
      <c r="G2" s="48"/>
      <c r="H2" s="48"/>
      <c r="I2" s="48"/>
      <c r="J2" s="48"/>
      <c r="K2" s="48"/>
      <c r="L2" s="271"/>
      <c r="M2" s="271"/>
      <c r="N2" s="271"/>
      <c r="O2" s="271"/>
      <c r="P2" s="48"/>
      <c r="Q2" s="48"/>
      <c r="R2" s="48"/>
      <c r="S2" s="48"/>
      <c r="T2" s="48"/>
      <c r="U2" s="48"/>
      <c r="V2" s="48"/>
      <c r="W2" s="48"/>
      <c r="X2" s="48"/>
      <c r="Y2" s="48"/>
      <c r="Z2" s="48"/>
      <c r="AA2" s="48"/>
    </row>
    <row r="3" spans="1:27" ht="22.5" customHeight="1" x14ac:dyDescent="0.2">
      <c r="A3" s="48"/>
      <c r="B3" s="48"/>
      <c r="C3" s="48"/>
      <c r="D3" s="48"/>
      <c r="E3" s="48"/>
      <c r="F3" s="48"/>
      <c r="G3" s="48"/>
      <c r="H3" s="48"/>
      <c r="I3" s="48"/>
      <c r="J3" s="48"/>
      <c r="K3" s="48"/>
      <c r="L3" s="271"/>
      <c r="M3" s="271"/>
      <c r="N3" s="271"/>
      <c r="O3" s="271"/>
      <c r="P3" s="48"/>
      <c r="Q3" s="48"/>
      <c r="R3" s="48"/>
      <c r="S3" s="48"/>
      <c r="T3" s="48"/>
      <c r="U3" s="48"/>
      <c r="V3" s="48"/>
      <c r="W3" s="48"/>
      <c r="X3" s="48"/>
      <c r="Y3" s="48"/>
      <c r="Z3" s="48"/>
      <c r="AA3" s="48"/>
    </row>
    <row r="4" spans="1:27" ht="15.75" customHeight="1" x14ac:dyDescent="0.25">
      <c r="A4" s="48"/>
      <c r="B4" s="275" t="s">
        <v>23</v>
      </c>
      <c r="C4" s="269"/>
      <c r="D4" s="109" t="s">
        <v>3</v>
      </c>
      <c r="E4" s="110" t="s">
        <v>4</v>
      </c>
      <c r="F4" s="95"/>
      <c r="G4" s="95"/>
      <c r="H4" s="95"/>
      <c r="I4" s="95"/>
      <c r="J4" s="95"/>
      <c r="K4" s="95"/>
      <c r="L4" s="276"/>
      <c r="M4" s="269"/>
      <c r="N4" s="109" t="s">
        <v>3</v>
      </c>
      <c r="O4" s="110" t="s">
        <v>4</v>
      </c>
      <c r="P4" s="95"/>
      <c r="Q4" s="48"/>
      <c r="R4" s="48"/>
      <c r="S4" s="48"/>
      <c r="T4" s="48"/>
      <c r="U4" s="48"/>
      <c r="V4" s="48"/>
      <c r="W4" s="48"/>
      <c r="X4" s="48"/>
      <c r="Y4" s="48"/>
      <c r="Z4" s="48"/>
      <c r="AA4" s="48"/>
    </row>
    <row r="5" spans="1:27" ht="15.75" customHeight="1" x14ac:dyDescent="0.25">
      <c r="A5" s="48"/>
      <c r="B5" s="277" t="s">
        <v>16</v>
      </c>
      <c r="C5" s="274"/>
      <c r="D5" s="112"/>
      <c r="E5" s="113"/>
      <c r="F5" s="95"/>
      <c r="G5" s="95"/>
      <c r="H5" s="95"/>
      <c r="I5" s="95"/>
      <c r="J5" s="95"/>
      <c r="K5" s="95"/>
      <c r="L5" s="111" t="s">
        <v>16</v>
      </c>
      <c r="M5" s="112"/>
      <c r="N5" s="112"/>
      <c r="O5" s="113"/>
      <c r="P5" s="95"/>
      <c r="Q5" s="48"/>
      <c r="R5" s="48"/>
      <c r="S5" s="48"/>
      <c r="T5" s="48"/>
      <c r="U5" s="48"/>
      <c r="V5" s="48"/>
      <c r="W5" s="48"/>
      <c r="X5" s="48"/>
      <c r="Y5" s="48"/>
      <c r="Z5" s="48"/>
      <c r="AA5" s="48"/>
    </row>
    <row r="6" spans="1:27" ht="15.75" customHeight="1" x14ac:dyDescent="0.25">
      <c r="A6" s="48"/>
      <c r="B6" s="278" t="s">
        <v>6</v>
      </c>
      <c r="C6" s="279"/>
      <c r="D6" s="114">
        <f ca="1">'Formulas_Consumption Summary'!E7</f>
        <v>1870.3952868850902</v>
      </c>
      <c r="E6" s="115">
        <f ca="1">'Formulas_Consumption Summary'!F7</f>
        <v>27153.949999999721</v>
      </c>
      <c r="F6" s="95"/>
      <c r="G6" s="95"/>
      <c r="H6" s="95"/>
      <c r="I6" s="95"/>
      <c r="J6" s="95"/>
      <c r="K6" s="95"/>
      <c r="L6" s="280" t="s">
        <v>11</v>
      </c>
      <c r="M6" s="281"/>
      <c r="N6" s="114">
        <f ca="1">'Formulas_Consumption Summary'!K7</f>
        <v>503.8984375</v>
      </c>
      <c r="O6" s="115">
        <f ca="1">'Formulas_Consumption Summary'!L7</f>
        <v>5866.2312499999534</v>
      </c>
      <c r="P6" s="95"/>
      <c r="Q6" s="48"/>
      <c r="R6" s="48"/>
      <c r="S6" s="48"/>
      <c r="T6" s="48"/>
      <c r="U6" s="48"/>
      <c r="V6" s="48"/>
      <c r="W6" s="48"/>
      <c r="X6" s="48"/>
      <c r="Y6" s="48"/>
      <c r="Z6" s="48"/>
      <c r="AA6" s="48"/>
    </row>
    <row r="7" spans="1:27" ht="15.75" customHeight="1" x14ac:dyDescent="0.25">
      <c r="A7" s="48"/>
      <c r="B7" s="116" t="s">
        <v>24</v>
      </c>
      <c r="C7" s="117"/>
      <c r="D7" s="118">
        <f t="shared" ref="D7:E7" ca="1" si="0">D6*2.72</f>
        <v>5087.4751803274457</v>
      </c>
      <c r="E7" s="119">
        <f t="shared" ca="1" si="0"/>
        <v>73858.743999999249</v>
      </c>
      <c r="F7" s="95"/>
      <c r="G7" s="95"/>
      <c r="H7" s="95"/>
      <c r="I7" s="95"/>
      <c r="J7" s="95"/>
      <c r="K7" s="95"/>
      <c r="L7" s="116" t="s">
        <v>24</v>
      </c>
      <c r="M7" s="117"/>
      <c r="N7" s="120">
        <f t="shared" ref="N7:O7" ca="1" si="1">N6*2.72</f>
        <v>1370.60375</v>
      </c>
      <c r="O7" s="121">
        <f t="shared" ca="1" si="1"/>
        <v>15956.148999999874</v>
      </c>
      <c r="P7" s="95"/>
      <c r="Q7" s="48"/>
      <c r="R7" s="48"/>
      <c r="S7" s="48"/>
      <c r="T7" s="48"/>
      <c r="U7" s="48"/>
      <c r="V7" s="48"/>
      <c r="W7" s="48"/>
      <c r="X7" s="48"/>
      <c r="Y7" s="48"/>
      <c r="Z7" s="48"/>
      <c r="AA7" s="48"/>
    </row>
    <row r="8" spans="1:27" ht="15.75" customHeight="1" x14ac:dyDescent="0.25">
      <c r="A8" s="48"/>
      <c r="B8" s="273" t="s">
        <v>19</v>
      </c>
      <c r="C8" s="274"/>
      <c r="D8" s="122">
        <f>'Formulas_Consumption Summary'!D9</f>
        <v>0</v>
      </c>
      <c r="E8" s="123">
        <f ca="1">SUM(E9:E10)</f>
        <v>847.3984375</v>
      </c>
      <c r="F8" s="95"/>
      <c r="G8" s="95"/>
      <c r="H8" s="95"/>
      <c r="I8" s="95"/>
      <c r="J8" s="95"/>
      <c r="K8" s="95"/>
      <c r="L8" s="273" t="s">
        <v>19</v>
      </c>
      <c r="M8" s="274"/>
      <c r="N8" s="122">
        <f>'Formulas_Consumption Summary'!J8</f>
        <v>0</v>
      </c>
      <c r="O8" s="123">
        <f ca="1">'Formulas_Consumption Summary'!K8</f>
        <v>47.371320117603652</v>
      </c>
      <c r="P8" s="95"/>
      <c r="Q8" s="48"/>
      <c r="R8" s="48"/>
      <c r="S8" s="48"/>
      <c r="T8" s="48"/>
      <c r="U8" s="48"/>
      <c r="V8" s="48"/>
      <c r="W8" s="48"/>
      <c r="X8" s="48"/>
      <c r="Y8" s="48"/>
      <c r="Z8" s="48"/>
      <c r="AA8" s="48"/>
    </row>
    <row r="9" spans="1:27" ht="15.75" customHeight="1" x14ac:dyDescent="0.25">
      <c r="A9" s="48"/>
      <c r="B9" s="280" t="s">
        <v>7</v>
      </c>
      <c r="C9" s="281"/>
      <c r="D9" s="124">
        <f ca="1">'Formulas_Consumption Summary'!E11</f>
        <v>0</v>
      </c>
      <c r="E9" s="125">
        <f ca="1">'Formulas_Consumption Summary'!F11</f>
        <v>847.3984375</v>
      </c>
      <c r="F9" s="95"/>
      <c r="G9" s="95"/>
      <c r="H9" s="95"/>
      <c r="I9" s="95"/>
      <c r="J9" s="95"/>
      <c r="K9" s="95"/>
      <c r="L9" s="280" t="s">
        <v>12</v>
      </c>
      <c r="M9" s="281"/>
      <c r="N9" s="69">
        <f ca="1">'Formulas_Consumption Summary'!K11</f>
        <v>0</v>
      </c>
      <c r="O9" s="125">
        <f ca="1">'Formulas_Consumption Summary'!L11</f>
        <v>161.583984375</v>
      </c>
      <c r="P9" s="95"/>
      <c r="Q9" s="48"/>
      <c r="R9" s="48"/>
      <c r="S9" s="48"/>
      <c r="T9" s="48"/>
      <c r="U9" s="48"/>
      <c r="V9" s="48"/>
      <c r="W9" s="48"/>
      <c r="X9" s="48"/>
      <c r="Y9" s="48"/>
      <c r="Z9" s="48"/>
      <c r="AA9" s="48"/>
    </row>
    <row r="10" spans="1:27" ht="15.75" customHeight="1" x14ac:dyDescent="0.25">
      <c r="A10" s="48"/>
      <c r="B10" s="280" t="s">
        <v>8</v>
      </c>
      <c r="C10" s="281"/>
      <c r="D10" s="124">
        <f ca="1">'Formulas_Consumption Summary'!E12</f>
        <v>0</v>
      </c>
      <c r="E10" s="125">
        <f ca="1">'Formulas_Consumption Summary'!F12</f>
        <v>0</v>
      </c>
      <c r="F10" s="95"/>
      <c r="G10" s="95"/>
      <c r="H10" s="95"/>
      <c r="I10" s="95"/>
      <c r="J10" s="95"/>
      <c r="K10" s="95"/>
      <c r="L10" s="284"/>
      <c r="M10" s="281"/>
      <c r="N10" s="83"/>
      <c r="O10" s="126"/>
      <c r="P10" s="95"/>
      <c r="Q10" s="48"/>
      <c r="R10" s="48"/>
      <c r="S10" s="48"/>
      <c r="T10" s="48"/>
      <c r="U10" s="48"/>
      <c r="V10" s="48"/>
      <c r="W10" s="48"/>
      <c r="X10" s="48"/>
      <c r="Y10" s="48"/>
      <c r="Z10" s="48"/>
      <c r="AA10" s="48"/>
    </row>
    <row r="11" spans="1:27" ht="15.75" customHeight="1" x14ac:dyDescent="0.25">
      <c r="A11" s="48"/>
      <c r="B11" s="116" t="s">
        <v>25</v>
      </c>
      <c r="C11" s="117"/>
      <c r="D11" s="127">
        <f>D8*2.72</f>
        <v>0</v>
      </c>
      <c r="E11" s="128">
        <f ca="1">E7*2.72</f>
        <v>200895.78367999799</v>
      </c>
      <c r="F11" s="95"/>
      <c r="G11" s="95"/>
      <c r="H11" s="95"/>
      <c r="I11" s="95"/>
      <c r="J11" s="95"/>
      <c r="K11" s="95"/>
      <c r="L11" s="116" t="s">
        <v>25</v>
      </c>
      <c r="M11" s="117"/>
      <c r="N11" s="127">
        <f t="shared" ref="N11:O11" si="2">N8*2.72</f>
        <v>0</v>
      </c>
      <c r="O11" s="121">
        <f t="shared" ca="1" si="2"/>
        <v>128.84999071988193</v>
      </c>
      <c r="P11" s="95"/>
      <c r="Q11" s="48"/>
      <c r="R11" s="48"/>
      <c r="S11" s="48"/>
      <c r="T11" s="48"/>
      <c r="U11" s="48"/>
      <c r="V11" s="48"/>
      <c r="W11" s="48"/>
      <c r="X11" s="48"/>
      <c r="Y11" s="48"/>
      <c r="Z11" s="48"/>
      <c r="AA11" s="48"/>
    </row>
    <row r="12" spans="1:27" ht="15.75" customHeight="1" x14ac:dyDescent="0.25">
      <c r="A12" s="48"/>
      <c r="B12" s="286" t="s">
        <v>26</v>
      </c>
      <c r="C12" s="271"/>
      <c r="D12" s="129">
        <f>'Formulas_Consumption Summary'!D15</f>
        <v>0</v>
      </c>
      <c r="E12" s="130">
        <f>'Formulas_Consumption Summary'!E15</f>
        <v>0</v>
      </c>
      <c r="F12" s="95"/>
      <c r="G12" s="95"/>
      <c r="H12" s="95"/>
      <c r="I12" s="95"/>
      <c r="J12" s="95"/>
      <c r="K12" s="95"/>
      <c r="L12" s="285" t="s">
        <v>26</v>
      </c>
      <c r="M12" s="274"/>
      <c r="N12" s="131"/>
      <c r="O12" s="132"/>
      <c r="P12" s="95"/>
      <c r="Q12" s="48"/>
      <c r="R12" s="48"/>
      <c r="S12" s="48"/>
      <c r="T12" s="48"/>
      <c r="U12" s="48"/>
      <c r="V12" s="48"/>
      <c r="W12" s="48"/>
      <c r="X12" s="48"/>
      <c r="Y12" s="48"/>
      <c r="Z12" s="48"/>
      <c r="AA12" s="48"/>
    </row>
    <row r="13" spans="1:27" ht="15.75" customHeight="1" x14ac:dyDescent="0.25">
      <c r="A13" s="48"/>
      <c r="B13" s="287" t="s">
        <v>27</v>
      </c>
      <c r="C13" s="255"/>
      <c r="D13" s="133">
        <f t="shared" ref="D13:E13" ca="1" si="3">D7+D11</f>
        <v>5087.4751803274457</v>
      </c>
      <c r="E13" s="134">
        <f t="shared" ca="1" si="3"/>
        <v>274754.52767999726</v>
      </c>
      <c r="F13" s="48"/>
      <c r="G13" s="48"/>
      <c r="H13" s="48"/>
      <c r="I13" s="48"/>
      <c r="J13" s="48"/>
      <c r="K13" s="48"/>
      <c r="L13" s="135" t="s">
        <v>27</v>
      </c>
      <c r="M13" s="136"/>
      <c r="N13" s="137">
        <f t="shared" ref="N13:O13" ca="1" si="4">N7+N9</f>
        <v>1370.60375</v>
      </c>
      <c r="O13" s="138">
        <f t="shared" ca="1" si="4"/>
        <v>16117.732984374874</v>
      </c>
      <c r="P13" s="48"/>
      <c r="Q13" s="48"/>
      <c r="R13" s="48"/>
      <c r="S13" s="48"/>
      <c r="T13" s="48"/>
      <c r="U13" s="48"/>
      <c r="V13" s="48"/>
      <c r="W13" s="48"/>
      <c r="X13" s="48"/>
      <c r="Y13" s="48"/>
      <c r="Z13" s="48"/>
      <c r="AA13" s="48"/>
    </row>
    <row r="14" spans="1:27" ht="15.75" customHeight="1" x14ac:dyDescent="0.25">
      <c r="A14" s="48"/>
      <c r="B14" s="282"/>
      <c r="C14" s="269"/>
      <c r="D14" s="269"/>
      <c r="E14" s="283"/>
      <c r="F14" s="48"/>
      <c r="G14" s="48"/>
      <c r="H14" s="48"/>
      <c r="I14" s="48"/>
      <c r="J14" s="48"/>
      <c r="K14" s="48"/>
      <c r="L14" s="282"/>
      <c r="M14" s="269"/>
      <c r="N14" s="269"/>
      <c r="O14" s="283"/>
      <c r="P14" s="48"/>
      <c r="Q14" s="48"/>
      <c r="R14" s="48"/>
      <c r="S14" s="48"/>
      <c r="T14" s="48"/>
      <c r="U14" s="48"/>
      <c r="V14" s="48"/>
      <c r="W14" s="48"/>
      <c r="X14" s="48"/>
      <c r="Y14" s="48"/>
      <c r="Z14" s="48"/>
      <c r="AA14" s="48"/>
    </row>
    <row r="15" spans="1:27" ht="15.75" customHeight="1" x14ac:dyDescent="0.2">
      <c r="A15" s="48"/>
      <c r="B15" s="48"/>
      <c r="C15" s="48"/>
      <c r="D15" s="48"/>
      <c r="E15" s="48"/>
      <c r="F15" s="48"/>
      <c r="G15" s="48"/>
      <c r="H15" s="48"/>
      <c r="I15" s="48"/>
      <c r="J15" s="48"/>
      <c r="K15" s="48"/>
      <c r="L15" s="48"/>
      <c r="M15" s="48"/>
      <c r="N15" s="48"/>
      <c r="O15" s="48"/>
      <c r="P15" s="48"/>
      <c r="Q15" s="48"/>
      <c r="R15" s="48"/>
      <c r="S15" s="48"/>
      <c r="T15" s="48"/>
      <c r="U15" s="48"/>
      <c r="V15" s="48"/>
      <c r="W15" s="48"/>
      <c r="X15" s="48"/>
      <c r="Y15" s="48"/>
      <c r="Z15" s="48"/>
      <c r="AA15" s="48"/>
    </row>
    <row r="16" spans="1:27" ht="15.75" customHeight="1" x14ac:dyDescent="0.2">
      <c r="A16" s="48"/>
      <c r="B16" s="48"/>
      <c r="C16" s="48"/>
      <c r="D16" s="48"/>
      <c r="E16" s="48"/>
      <c r="F16" s="48"/>
      <c r="G16" s="48"/>
      <c r="H16" s="48"/>
      <c r="I16" s="48"/>
      <c r="J16" s="48"/>
      <c r="K16" s="48"/>
      <c r="L16" s="48"/>
      <c r="M16" s="48"/>
      <c r="N16" s="48"/>
      <c r="O16" s="48"/>
      <c r="P16" s="48"/>
      <c r="Q16" s="48"/>
      <c r="R16" s="48"/>
      <c r="S16" s="48"/>
      <c r="T16" s="48"/>
      <c r="U16" s="48"/>
      <c r="V16" s="48"/>
      <c r="W16" s="48"/>
      <c r="X16" s="48"/>
      <c r="Y16" s="48"/>
      <c r="Z16" s="48"/>
      <c r="AA16" s="48"/>
    </row>
    <row r="17" spans="1:27" ht="15.75" customHeight="1" x14ac:dyDescent="0.2">
      <c r="A17" s="48"/>
      <c r="B17" s="48"/>
      <c r="C17" s="48"/>
      <c r="D17" s="48"/>
      <c r="E17" s="48"/>
      <c r="F17" s="48"/>
      <c r="G17" s="48"/>
      <c r="H17" s="48"/>
      <c r="I17" s="48"/>
      <c r="J17" s="48"/>
      <c r="K17" s="48"/>
      <c r="L17" s="48"/>
      <c r="M17" s="48"/>
      <c r="N17" s="48"/>
      <c r="O17" s="48"/>
      <c r="P17" s="48"/>
      <c r="Q17" s="48"/>
      <c r="R17" s="48"/>
      <c r="S17" s="48"/>
      <c r="T17" s="48"/>
      <c r="U17" s="48"/>
      <c r="V17" s="48"/>
      <c r="W17" s="48"/>
      <c r="X17" s="48"/>
      <c r="Y17" s="48"/>
      <c r="Z17" s="48"/>
      <c r="AA17" s="48"/>
    </row>
    <row r="18" spans="1:27" ht="15.75" customHeight="1" x14ac:dyDescent="0.2">
      <c r="A18" s="48"/>
      <c r="B18" s="48"/>
      <c r="C18" s="48"/>
      <c r="D18" s="48"/>
      <c r="E18" s="48"/>
      <c r="F18" s="48"/>
      <c r="G18" s="48"/>
      <c r="H18" s="48"/>
      <c r="I18" s="48"/>
      <c r="J18" s="48"/>
      <c r="K18" s="48"/>
      <c r="L18" s="48"/>
      <c r="M18" s="48"/>
      <c r="N18" s="48"/>
      <c r="O18" s="48"/>
      <c r="P18" s="48"/>
      <c r="Q18" s="48"/>
      <c r="R18" s="48"/>
      <c r="S18" s="48"/>
      <c r="T18" s="48"/>
      <c r="U18" s="48"/>
      <c r="V18" s="48"/>
      <c r="W18" s="48"/>
      <c r="X18" s="48"/>
      <c r="Y18" s="48"/>
      <c r="Z18" s="48"/>
      <c r="AA18" s="48"/>
    </row>
    <row r="19" spans="1:27" ht="15.75" customHeight="1" x14ac:dyDescent="0.2">
      <c r="A19" s="48"/>
      <c r="B19" s="48"/>
      <c r="C19" s="48"/>
      <c r="D19" s="48"/>
      <c r="E19" s="48"/>
      <c r="F19" s="48"/>
      <c r="G19" s="48"/>
      <c r="H19" s="48"/>
      <c r="I19" s="48"/>
      <c r="J19" s="48"/>
      <c r="K19" s="48"/>
      <c r="L19" s="48"/>
      <c r="M19" s="48"/>
      <c r="N19" s="48"/>
      <c r="O19" s="48"/>
      <c r="P19" s="48"/>
      <c r="Q19" s="48"/>
      <c r="R19" s="48"/>
      <c r="S19" s="48"/>
      <c r="T19" s="48"/>
      <c r="U19" s="48"/>
      <c r="V19" s="48"/>
      <c r="W19" s="48"/>
      <c r="X19" s="48"/>
      <c r="Y19" s="48"/>
      <c r="Z19" s="48"/>
      <c r="AA19" s="48"/>
    </row>
    <row r="20" spans="1:27" ht="15.75" customHeight="1" x14ac:dyDescent="0.2">
      <c r="A20" s="48"/>
      <c r="B20" s="48"/>
      <c r="C20" s="48"/>
      <c r="D20" s="48"/>
      <c r="E20" s="48"/>
      <c r="F20" s="48"/>
      <c r="G20" s="48"/>
      <c r="H20" s="48"/>
      <c r="I20" s="48"/>
      <c r="J20" s="48"/>
      <c r="K20" s="48"/>
      <c r="L20" s="48"/>
      <c r="M20" s="48"/>
      <c r="N20" s="48"/>
      <c r="O20" s="48"/>
      <c r="P20" s="48"/>
      <c r="Q20" s="48"/>
      <c r="R20" s="48"/>
      <c r="S20" s="48"/>
      <c r="T20" s="48"/>
      <c r="U20" s="48"/>
      <c r="V20" s="48"/>
      <c r="W20" s="48"/>
      <c r="X20" s="48"/>
      <c r="Y20" s="48"/>
      <c r="Z20" s="48"/>
      <c r="AA20" s="48"/>
    </row>
    <row r="21" spans="1:27" ht="15.75" customHeight="1" x14ac:dyDescent="0.2">
      <c r="A21" s="48"/>
      <c r="B21" s="48"/>
      <c r="C21" s="48"/>
      <c r="D21" s="48"/>
      <c r="E21" s="48"/>
      <c r="F21" s="48"/>
      <c r="G21" s="48"/>
      <c r="H21" s="48"/>
      <c r="I21" s="48"/>
      <c r="J21" s="48"/>
      <c r="K21" s="48"/>
      <c r="L21" s="48"/>
      <c r="M21" s="48"/>
      <c r="N21" s="48"/>
      <c r="O21" s="48"/>
      <c r="P21" s="48"/>
      <c r="Q21" s="48"/>
      <c r="R21" s="48"/>
      <c r="S21" s="48"/>
      <c r="T21" s="48"/>
      <c r="U21" s="48"/>
      <c r="V21" s="48"/>
      <c r="W21" s="48"/>
      <c r="X21" s="48"/>
      <c r="Y21" s="48"/>
      <c r="Z21" s="48"/>
      <c r="AA21" s="48"/>
    </row>
    <row r="22" spans="1:27" ht="15.75" customHeight="1" x14ac:dyDescent="0.2">
      <c r="A22" s="48"/>
      <c r="B22" s="48"/>
      <c r="C22" s="48"/>
      <c r="D22" s="48"/>
      <c r="E22" s="48"/>
      <c r="F22" s="48"/>
      <c r="G22" s="48"/>
      <c r="H22" s="48"/>
      <c r="I22" s="48"/>
      <c r="J22" s="48"/>
      <c r="K22" s="48"/>
      <c r="L22" s="48"/>
      <c r="M22" s="48"/>
      <c r="N22" s="48"/>
      <c r="O22" s="48"/>
      <c r="P22" s="48"/>
      <c r="Q22" s="48"/>
      <c r="R22" s="48"/>
      <c r="S22" s="48"/>
      <c r="T22" s="48"/>
      <c r="U22" s="48"/>
      <c r="V22" s="48"/>
      <c r="W22" s="48"/>
      <c r="X22" s="48"/>
      <c r="Y22" s="48"/>
      <c r="Z22" s="48"/>
      <c r="AA22" s="48"/>
    </row>
    <row r="23" spans="1:27" ht="15.75" customHeight="1" x14ac:dyDescent="0.2">
      <c r="A23" s="48"/>
      <c r="B23" s="48"/>
      <c r="C23" s="48"/>
      <c r="D23" s="48"/>
      <c r="E23" s="48"/>
      <c r="F23" s="48"/>
      <c r="G23" s="48"/>
      <c r="H23" s="48"/>
      <c r="I23" s="48"/>
      <c r="J23" s="48"/>
      <c r="K23" s="48"/>
      <c r="L23" s="48"/>
      <c r="M23" s="48"/>
      <c r="N23" s="48"/>
      <c r="O23" s="48"/>
      <c r="P23" s="48"/>
      <c r="Q23" s="48"/>
      <c r="R23" s="48"/>
      <c r="S23" s="48"/>
      <c r="T23" s="48"/>
      <c r="U23" s="48"/>
      <c r="V23" s="48"/>
      <c r="W23" s="48"/>
      <c r="X23" s="48"/>
      <c r="Y23" s="48"/>
      <c r="Z23" s="48"/>
      <c r="AA23" s="48"/>
    </row>
    <row r="24" spans="1:27" ht="15.75" customHeight="1" x14ac:dyDescent="0.2">
      <c r="A24" s="48"/>
      <c r="B24" s="48"/>
      <c r="C24" s="48"/>
      <c r="D24" s="48"/>
      <c r="E24" s="48"/>
      <c r="F24" s="48"/>
      <c r="G24" s="48"/>
      <c r="H24" s="48"/>
      <c r="I24" s="48"/>
      <c r="J24" s="48"/>
      <c r="K24" s="48"/>
      <c r="L24" s="48"/>
      <c r="M24" s="48"/>
      <c r="N24" s="48"/>
      <c r="O24" s="48"/>
      <c r="P24" s="48"/>
      <c r="Q24" s="48"/>
      <c r="R24" s="48"/>
      <c r="S24" s="48"/>
      <c r="T24" s="48"/>
      <c r="U24" s="48"/>
      <c r="V24" s="48"/>
      <c r="W24" s="48"/>
      <c r="X24" s="48"/>
      <c r="Y24" s="48"/>
      <c r="Z24" s="48"/>
      <c r="AA24" s="48"/>
    </row>
    <row r="25" spans="1:27" ht="15.75" customHeight="1" x14ac:dyDescent="0.2">
      <c r="A25" s="48"/>
      <c r="B25" s="48"/>
      <c r="C25" s="48"/>
      <c r="D25" s="48"/>
      <c r="E25" s="48"/>
      <c r="F25" s="48"/>
      <c r="G25" s="48"/>
      <c r="H25" s="48"/>
      <c r="I25" s="48"/>
      <c r="J25" s="48"/>
      <c r="K25" s="48"/>
      <c r="L25" s="48"/>
      <c r="M25" s="48"/>
      <c r="N25" s="48"/>
      <c r="O25" s="48"/>
      <c r="P25" s="48"/>
      <c r="Q25" s="48"/>
      <c r="R25" s="48"/>
      <c r="S25" s="48"/>
      <c r="T25" s="48"/>
      <c r="U25" s="48"/>
      <c r="V25" s="48"/>
      <c r="W25" s="48"/>
      <c r="X25" s="48"/>
      <c r="Y25" s="48"/>
      <c r="Z25" s="48"/>
      <c r="AA25" s="48"/>
    </row>
    <row r="26" spans="1:27" ht="15.75" customHeight="1" x14ac:dyDescent="0.2">
      <c r="A26" s="48"/>
      <c r="B26" s="48"/>
      <c r="C26" s="48"/>
      <c r="D26" s="48"/>
      <c r="E26" s="48"/>
      <c r="F26" s="48"/>
      <c r="G26" s="48"/>
      <c r="H26" s="48"/>
      <c r="I26" s="48"/>
      <c r="J26" s="48"/>
      <c r="K26" s="48"/>
      <c r="L26" s="48"/>
      <c r="M26" s="48"/>
      <c r="N26" s="48"/>
      <c r="O26" s="48"/>
      <c r="P26" s="48"/>
      <c r="Q26" s="48"/>
      <c r="R26" s="48"/>
      <c r="S26" s="48"/>
      <c r="T26" s="48"/>
      <c r="U26" s="48"/>
      <c r="V26" s="48"/>
      <c r="W26" s="48"/>
      <c r="X26" s="48"/>
      <c r="Y26" s="48"/>
      <c r="Z26" s="48"/>
      <c r="AA26" s="48"/>
    </row>
    <row r="27" spans="1:27" ht="15.75" customHeight="1" x14ac:dyDescent="0.2">
      <c r="A27" s="48"/>
      <c r="B27" s="48"/>
      <c r="C27" s="48"/>
      <c r="D27" s="48"/>
      <c r="E27" s="48"/>
      <c r="F27" s="48"/>
      <c r="G27" s="48"/>
      <c r="H27" s="48"/>
      <c r="I27" s="48"/>
      <c r="J27" s="48"/>
      <c r="K27" s="48"/>
      <c r="L27" s="48"/>
      <c r="M27" s="48"/>
      <c r="N27" s="48"/>
      <c r="O27" s="48"/>
      <c r="P27" s="48"/>
      <c r="Q27" s="48"/>
      <c r="R27" s="48"/>
      <c r="S27" s="48"/>
      <c r="T27" s="48"/>
      <c r="U27" s="48"/>
      <c r="V27" s="48"/>
      <c r="W27" s="48"/>
      <c r="X27" s="48"/>
      <c r="Y27" s="48"/>
      <c r="Z27" s="48"/>
      <c r="AA27" s="48"/>
    </row>
    <row r="28" spans="1:27" ht="15.75" customHeight="1" x14ac:dyDescent="0.2">
      <c r="A28" s="48"/>
      <c r="B28" s="48"/>
      <c r="C28" s="48"/>
      <c r="D28" s="48"/>
      <c r="E28" s="48"/>
      <c r="F28" s="48"/>
      <c r="G28" s="48"/>
      <c r="H28" s="48"/>
      <c r="I28" s="48"/>
      <c r="J28" s="48"/>
      <c r="K28" s="48"/>
      <c r="L28" s="48"/>
      <c r="M28" s="48"/>
      <c r="N28" s="48"/>
      <c r="O28" s="48"/>
      <c r="P28" s="48"/>
      <c r="Q28" s="48"/>
      <c r="R28" s="48"/>
      <c r="S28" s="48"/>
      <c r="T28" s="48"/>
      <c r="U28" s="48"/>
      <c r="V28" s="48"/>
      <c r="W28" s="48"/>
      <c r="X28" s="48"/>
      <c r="Y28" s="48"/>
      <c r="Z28" s="48"/>
      <c r="AA28" s="48"/>
    </row>
    <row r="29" spans="1:27" ht="15.75" customHeight="1" x14ac:dyDescent="0.2">
      <c r="A29" s="48"/>
      <c r="B29" s="48"/>
      <c r="C29" s="48"/>
      <c r="D29" s="48"/>
      <c r="E29" s="48"/>
      <c r="F29" s="48"/>
      <c r="G29" s="48"/>
      <c r="H29" s="48"/>
      <c r="I29" s="48"/>
      <c r="J29" s="48"/>
      <c r="K29" s="48"/>
      <c r="L29" s="48"/>
      <c r="M29" s="48"/>
      <c r="N29" s="48"/>
      <c r="O29" s="48"/>
      <c r="P29" s="48"/>
      <c r="Q29" s="48"/>
      <c r="R29" s="48"/>
      <c r="S29" s="48"/>
      <c r="T29" s="48"/>
      <c r="U29" s="48"/>
      <c r="V29" s="48"/>
      <c r="W29" s="48"/>
      <c r="X29" s="48"/>
      <c r="Y29" s="48"/>
      <c r="Z29" s="48"/>
      <c r="AA29" s="48"/>
    </row>
    <row r="30" spans="1:27" ht="15.75" customHeight="1" x14ac:dyDescent="0.2">
      <c r="A30" s="48"/>
      <c r="B30" s="48"/>
      <c r="C30" s="48"/>
      <c r="D30" s="48"/>
      <c r="E30" s="48"/>
      <c r="F30" s="48"/>
      <c r="G30" s="48"/>
      <c r="H30" s="48"/>
      <c r="I30" s="48"/>
      <c r="J30" s="48"/>
      <c r="K30" s="48"/>
      <c r="L30" s="48"/>
      <c r="M30" s="48"/>
      <c r="N30" s="48"/>
      <c r="O30" s="48"/>
      <c r="P30" s="48"/>
      <c r="Q30" s="48"/>
      <c r="R30" s="48"/>
      <c r="S30" s="48"/>
      <c r="T30" s="48"/>
      <c r="U30" s="48"/>
      <c r="V30" s="48"/>
      <c r="W30" s="48"/>
      <c r="X30" s="48"/>
      <c r="Y30" s="48"/>
      <c r="Z30" s="48"/>
      <c r="AA30" s="48"/>
    </row>
    <row r="31" spans="1:27" ht="15.75" customHeight="1" x14ac:dyDescent="0.2">
      <c r="A31" s="48"/>
      <c r="B31" s="48"/>
      <c r="C31" s="48"/>
      <c r="D31" s="48"/>
      <c r="E31" s="48"/>
      <c r="F31" s="48"/>
      <c r="G31" s="48"/>
      <c r="H31" s="48"/>
      <c r="I31" s="48"/>
      <c r="J31" s="48"/>
      <c r="K31" s="48"/>
      <c r="L31" s="48"/>
      <c r="M31" s="48"/>
      <c r="N31" s="48"/>
      <c r="O31" s="48"/>
      <c r="P31" s="48"/>
      <c r="Q31" s="48"/>
      <c r="R31" s="48"/>
      <c r="S31" s="48"/>
      <c r="T31" s="48"/>
      <c r="U31" s="48"/>
      <c r="V31" s="48"/>
      <c r="W31" s="48"/>
      <c r="X31" s="48"/>
      <c r="Y31" s="48"/>
      <c r="Z31" s="48"/>
      <c r="AA31" s="48"/>
    </row>
    <row r="32" spans="1:27" ht="15.75" customHeight="1" x14ac:dyDescent="0.2">
      <c r="A32" s="48"/>
      <c r="B32" s="48"/>
      <c r="C32" s="48"/>
      <c r="D32" s="48"/>
      <c r="E32" s="48"/>
      <c r="F32" s="48"/>
      <c r="G32" s="48"/>
      <c r="H32" s="48"/>
      <c r="I32" s="48"/>
      <c r="J32" s="48"/>
      <c r="K32" s="48"/>
      <c r="L32" s="48"/>
      <c r="M32" s="48"/>
      <c r="N32" s="48"/>
      <c r="O32" s="48"/>
      <c r="P32" s="48"/>
      <c r="Q32" s="48"/>
      <c r="R32" s="48"/>
      <c r="S32" s="48"/>
      <c r="T32" s="48"/>
      <c r="U32" s="48"/>
      <c r="V32" s="48"/>
      <c r="W32" s="48"/>
      <c r="X32" s="48"/>
      <c r="Y32" s="48"/>
      <c r="Z32" s="48"/>
      <c r="AA32" s="48"/>
    </row>
    <row r="33" spans="1:27" ht="15.75" customHeight="1" x14ac:dyDescent="0.2">
      <c r="A33" s="48"/>
      <c r="B33" s="48"/>
      <c r="C33" s="48"/>
      <c r="D33" s="48"/>
      <c r="E33" s="48"/>
      <c r="F33" s="48"/>
      <c r="G33" s="48"/>
      <c r="H33" s="48"/>
      <c r="I33" s="48"/>
      <c r="J33" s="48"/>
      <c r="K33" s="48"/>
      <c r="L33" s="48"/>
      <c r="M33" s="48"/>
      <c r="N33" s="48"/>
      <c r="O33" s="48"/>
      <c r="P33" s="48"/>
      <c r="Q33" s="48"/>
      <c r="R33" s="48"/>
      <c r="S33" s="48"/>
      <c r="T33" s="48"/>
      <c r="U33" s="48"/>
      <c r="V33" s="48"/>
      <c r="W33" s="48"/>
      <c r="X33" s="48"/>
      <c r="Y33" s="48"/>
      <c r="Z33" s="48"/>
      <c r="AA33" s="48"/>
    </row>
    <row r="34" spans="1:27" ht="15.75" customHeight="1" x14ac:dyDescent="0.2">
      <c r="A34" s="48"/>
      <c r="B34" s="48"/>
      <c r="C34" s="48"/>
      <c r="D34" s="48"/>
      <c r="E34" s="48"/>
      <c r="F34" s="48"/>
      <c r="G34" s="48"/>
      <c r="H34" s="48"/>
      <c r="I34" s="48"/>
      <c r="J34" s="48"/>
      <c r="K34" s="48"/>
      <c r="L34" s="48"/>
      <c r="M34" s="48"/>
      <c r="N34" s="48"/>
      <c r="O34" s="48"/>
      <c r="P34" s="48"/>
      <c r="Q34" s="48"/>
      <c r="R34" s="48"/>
      <c r="S34" s="48"/>
      <c r="T34" s="48"/>
      <c r="U34" s="48"/>
      <c r="V34" s="48"/>
      <c r="W34" s="48"/>
      <c r="X34" s="48"/>
      <c r="Y34" s="48"/>
      <c r="Z34" s="48"/>
      <c r="AA34" s="48"/>
    </row>
    <row r="35" spans="1:27" ht="15.75" customHeight="1" x14ac:dyDescent="0.2">
      <c r="A35" s="48"/>
      <c r="B35" s="48"/>
      <c r="C35" s="48"/>
      <c r="D35" s="48"/>
      <c r="E35" s="48"/>
      <c r="F35" s="48"/>
      <c r="G35" s="48"/>
      <c r="H35" s="48"/>
      <c r="I35" s="48"/>
      <c r="J35" s="48"/>
      <c r="K35" s="48"/>
      <c r="L35" s="48"/>
      <c r="M35" s="48"/>
      <c r="N35" s="48"/>
      <c r="O35" s="48"/>
      <c r="P35" s="48"/>
      <c r="Q35" s="48"/>
      <c r="R35" s="48"/>
      <c r="S35" s="48"/>
      <c r="T35" s="48"/>
      <c r="U35" s="48"/>
      <c r="V35" s="48"/>
      <c r="W35" s="48"/>
      <c r="X35" s="48"/>
      <c r="Y35" s="48"/>
      <c r="Z35" s="48"/>
      <c r="AA35" s="48"/>
    </row>
    <row r="36" spans="1:27" ht="15.75" customHeight="1" x14ac:dyDescent="0.2">
      <c r="A36" s="48"/>
      <c r="B36" s="48"/>
      <c r="C36" s="48"/>
      <c r="D36" s="48"/>
      <c r="E36" s="48"/>
      <c r="F36" s="48"/>
      <c r="G36" s="48"/>
      <c r="H36" s="48"/>
      <c r="I36" s="48"/>
      <c r="J36" s="48"/>
      <c r="K36" s="48"/>
      <c r="L36" s="48"/>
      <c r="M36" s="48"/>
      <c r="N36" s="48"/>
      <c r="O36" s="48"/>
      <c r="P36" s="48"/>
      <c r="Q36" s="48"/>
      <c r="R36" s="48"/>
      <c r="S36" s="48"/>
      <c r="T36" s="48"/>
      <c r="U36" s="48"/>
      <c r="V36" s="48"/>
      <c r="W36" s="48"/>
      <c r="X36" s="48"/>
      <c r="Y36" s="48"/>
      <c r="Z36" s="48"/>
      <c r="AA36" s="48"/>
    </row>
    <row r="37" spans="1:27" ht="15.75" customHeight="1" x14ac:dyDescent="0.2">
      <c r="A37" s="48"/>
      <c r="B37" s="48"/>
      <c r="C37" s="48"/>
      <c r="D37" s="48"/>
      <c r="E37" s="48"/>
      <c r="F37" s="48"/>
      <c r="G37" s="48"/>
      <c r="H37" s="48"/>
      <c r="I37" s="48"/>
      <c r="J37" s="48"/>
      <c r="K37" s="48"/>
      <c r="L37" s="48"/>
      <c r="M37" s="48"/>
      <c r="N37" s="48"/>
      <c r="O37" s="48"/>
      <c r="P37" s="48"/>
      <c r="Q37" s="48"/>
      <c r="R37" s="48"/>
      <c r="S37" s="48"/>
      <c r="T37" s="48"/>
      <c r="U37" s="48"/>
      <c r="V37" s="48"/>
      <c r="W37" s="48"/>
      <c r="X37" s="48"/>
      <c r="Y37" s="48"/>
      <c r="Z37" s="48"/>
      <c r="AA37" s="48"/>
    </row>
    <row r="38" spans="1:27" ht="15.75" customHeight="1" x14ac:dyDescent="0.2">
      <c r="A38" s="48"/>
      <c r="B38" s="48"/>
      <c r="C38" s="48"/>
      <c r="D38" s="48"/>
      <c r="E38" s="48"/>
      <c r="F38" s="48"/>
      <c r="G38" s="48"/>
      <c r="H38" s="48"/>
      <c r="I38" s="48"/>
      <c r="J38" s="48"/>
      <c r="K38" s="48"/>
      <c r="L38" s="48"/>
      <c r="M38" s="48"/>
      <c r="N38" s="48"/>
      <c r="O38" s="48"/>
      <c r="P38" s="48"/>
      <c r="Q38" s="48"/>
      <c r="R38" s="48"/>
      <c r="S38" s="48"/>
      <c r="T38" s="48"/>
      <c r="U38" s="48"/>
      <c r="V38" s="48"/>
      <c r="W38" s="48"/>
      <c r="X38" s="48"/>
      <c r="Y38" s="48"/>
      <c r="Z38" s="48"/>
      <c r="AA38" s="48"/>
    </row>
    <row r="39" spans="1:27" ht="15.75" customHeight="1" x14ac:dyDescent="0.2">
      <c r="A39" s="48"/>
      <c r="B39" s="48"/>
      <c r="C39" s="48"/>
      <c r="D39" s="48"/>
      <c r="E39" s="48"/>
      <c r="F39" s="48"/>
      <c r="G39" s="48"/>
      <c r="H39" s="48"/>
      <c r="I39" s="48"/>
      <c r="J39" s="48"/>
      <c r="K39" s="48"/>
      <c r="L39" s="48"/>
      <c r="M39" s="48"/>
      <c r="N39" s="48"/>
      <c r="O39" s="48"/>
      <c r="P39" s="48"/>
      <c r="Q39" s="48"/>
      <c r="R39" s="48"/>
      <c r="S39" s="48"/>
      <c r="T39" s="48"/>
      <c r="U39" s="48"/>
      <c r="V39" s="48"/>
      <c r="W39" s="48"/>
      <c r="X39" s="48"/>
      <c r="Y39" s="48"/>
      <c r="Z39" s="48"/>
      <c r="AA39" s="48"/>
    </row>
    <row r="40" spans="1:27" ht="15.75" customHeight="1" x14ac:dyDescent="0.2">
      <c r="A40" s="48"/>
      <c r="B40" s="48"/>
      <c r="C40" s="48"/>
      <c r="D40" s="48"/>
      <c r="E40" s="48"/>
      <c r="F40" s="48"/>
      <c r="G40" s="48"/>
      <c r="H40" s="48"/>
      <c r="I40" s="48"/>
      <c r="J40" s="48"/>
      <c r="K40" s="48"/>
      <c r="L40" s="48"/>
      <c r="M40" s="48"/>
      <c r="N40" s="48"/>
      <c r="O40" s="48"/>
      <c r="P40" s="48"/>
      <c r="Q40" s="48"/>
      <c r="R40" s="48"/>
      <c r="S40" s="48"/>
      <c r="T40" s="48"/>
      <c r="U40" s="48"/>
      <c r="V40" s="48"/>
      <c r="W40" s="48"/>
      <c r="X40" s="48"/>
      <c r="Y40" s="48"/>
      <c r="Z40" s="48"/>
      <c r="AA40" s="48"/>
    </row>
    <row r="41" spans="1:27" ht="15.75" customHeight="1" x14ac:dyDescent="0.2">
      <c r="A41" s="48"/>
      <c r="B41" s="48"/>
      <c r="C41" s="48"/>
      <c r="D41" s="48"/>
      <c r="E41" s="48"/>
      <c r="F41" s="48"/>
      <c r="G41" s="48"/>
      <c r="H41" s="48"/>
      <c r="I41" s="48"/>
      <c r="J41" s="48"/>
      <c r="K41" s="48"/>
      <c r="L41" s="48"/>
      <c r="M41" s="48"/>
      <c r="N41" s="48"/>
      <c r="O41" s="48"/>
      <c r="P41" s="48"/>
      <c r="Q41" s="48"/>
      <c r="R41" s="48"/>
      <c r="S41" s="48"/>
      <c r="T41" s="48"/>
      <c r="U41" s="48"/>
      <c r="V41" s="48"/>
      <c r="W41" s="48"/>
      <c r="X41" s="48"/>
      <c r="Y41" s="48"/>
      <c r="Z41" s="48"/>
      <c r="AA41" s="48"/>
    </row>
    <row r="42" spans="1:27" ht="15.75" customHeight="1" x14ac:dyDescent="0.2">
      <c r="A42" s="48"/>
      <c r="B42" s="48"/>
      <c r="C42" s="48"/>
      <c r="D42" s="48"/>
      <c r="E42" s="48"/>
      <c r="F42" s="48"/>
      <c r="G42" s="48"/>
      <c r="H42" s="48"/>
      <c r="I42" s="48"/>
      <c r="J42" s="48"/>
      <c r="K42" s="48"/>
      <c r="L42" s="48"/>
      <c r="M42" s="48"/>
      <c r="N42" s="48"/>
      <c r="O42" s="48"/>
      <c r="P42" s="48"/>
      <c r="Q42" s="48"/>
      <c r="R42" s="48"/>
      <c r="S42" s="48"/>
      <c r="T42" s="48"/>
      <c r="U42" s="48"/>
      <c r="V42" s="48"/>
      <c r="W42" s="48"/>
      <c r="X42" s="48"/>
      <c r="Y42" s="48"/>
      <c r="Z42" s="48"/>
      <c r="AA42" s="48"/>
    </row>
    <row r="43" spans="1:27" ht="15.75" customHeight="1" x14ac:dyDescent="0.2">
      <c r="A43" s="48"/>
      <c r="B43" s="48"/>
      <c r="C43" s="48"/>
      <c r="D43" s="48"/>
      <c r="E43" s="48"/>
      <c r="F43" s="48"/>
      <c r="G43" s="48"/>
      <c r="H43" s="48"/>
      <c r="I43" s="48"/>
      <c r="J43" s="48"/>
      <c r="K43" s="48"/>
      <c r="L43" s="48"/>
      <c r="M43" s="48"/>
      <c r="N43" s="48"/>
      <c r="O43" s="48"/>
      <c r="P43" s="48"/>
      <c r="Q43" s="48"/>
      <c r="R43" s="48"/>
      <c r="S43" s="48"/>
      <c r="T43" s="48"/>
      <c r="U43" s="48"/>
      <c r="V43" s="48"/>
      <c r="W43" s="48"/>
      <c r="X43" s="48"/>
      <c r="Y43" s="48"/>
      <c r="Z43" s="48"/>
      <c r="AA43" s="48"/>
    </row>
    <row r="44" spans="1:27" ht="15.75" customHeight="1" x14ac:dyDescent="0.2">
      <c r="A44" s="48"/>
      <c r="B44" s="48"/>
      <c r="C44" s="48"/>
      <c r="D44" s="48"/>
      <c r="E44" s="48"/>
      <c r="F44" s="48"/>
      <c r="G44" s="48"/>
      <c r="H44" s="48"/>
      <c r="I44" s="48"/>
      <c r="J44" s="48"/>
      <c r="K44" s="48"/>
      <c r="L44" s="48"/>
      <c r="M44" s="48"/>
      <c r="N44" s="48"/>
      <c r="O44" s="48"/>
      <c r="P44" s="48"/>
      <c r="Q44" s="48"/>
      <c r="R44" s="48"/>
      <c r="S44" s="48"/>
      <c r="T44" s="48"/>
      <c r="U44" s="48"/>
      <c r="V44" s="48"/>
      <c r="W44" s="48"/>
      <c r="X44" s="48"/>
      <c r="Y44" s="48"/>
      <c r="Z44" s="48"/>
      <c r="AA44" s="48"/>
    </row>
    <row r="45" spans="1:27" ht="15.75" customHeight="1" x14ac:dyDescent="0.2">
      <c r="A45" s="48"/>
      <c r="B45" s="48"/>
      <c r="C45" s="48"/>
      <c r="D45" s="48"/>
      <c r="E45" s="48"/>
      <c r="F45" s="48"/>
      <c r="G45" s="48"/>
      <c r="H45" s="48"/>
      <c r="I45" s="48"/>
      <c r="J45" s="48"/>
      <c r="K45" s="48"/>
      <c r="L45" s="48"/>
      <c r="M45" s="48"/>
      <c r="N45" s="48"/>
      <c r="O45" s="48"/>
      <c r="P45" s="48"/>
      <c r="Q45" s="48"/>
      <c r="R45" s="48"/>
      <c r="S45" s="48"/>
      <c r="T45" s="48"/>
      <c r="U45" s="48"/>
      <c r="V45" s="48"/>
      <c r="W45" s="48"/>
      <c r="X45" s="48"/>
      <c r="Y45" s="48"/>
      <c r="Z45" s="48"/>
      <c r="AA45" s="48"/>
    </row>
    <row r="46" spans="1:27" ht="15.75" customHeight="1" x14ac:dyDescent="0.2">
      <c r="A46" s="48"/>
      <c r="B46" s="48"/>
      <c r="C46" s="48"/>
      <c r="D46" s="48"/>
      <c r="E46" s="48"/>
      <c r="F46" s="48"/>
      <c r="G46" s="48"/>
      <c r="H46" s="48"/>
      <c r="I46" s="48"/>
      <c r="J46" s="48"/>
      <c r="K46" s="48"/>
      <c r="L46" s="48"/>
      <c r="M46" s="48"/>
      <c r="N46" s="48"/>
      <c r="O46" s="48"/>
      <c r="P46" s="48"/>
      <c r="Q46" s="48"/>
      <c r="R46" s="48"/>
      <c r="S46" s="48"/>
      <c r="T46" s="48"/>
      <c r="U46" s="48"/>
      <c r="V46" s="48"/>
      <c r="W46" s="48"/>
      <c r="X46" s="48"/>
      <c r="Y46" s="48"/>
      <c r="Z46" s="48"/>
      <c r="AA46" s="48"/>
    </row>
    <row r="47" spans="1:27" ht="15.75" customHeight="1" x14ac:dyDescent="0.2">
      <c r="A47" s="48"/>
      <c r="B47" s="48"/>
      <c r="C47" s="48"/>
      <c r="D47" s="48"/>
      <c r="E47" s="48"/>
      <c r="F47" s="48"/>
      <c r="G47" s="48"/>
      <c r="H47" s="48"/>
      <c r="I47" s="48"/>
      <c r="J47" s="48"/>
      <c r="K47" s="48"/>
      <c r="L47" s="48"/>
      <c r="M47" s="48"/>
      <c r="N47" s="48"/>
      <c r="O47" s="48"/>
      <c r="P47" s="48"/>
      <c r="Q47" s="48"/>
      <c r="R47" s="48"/>
      <c r="S47" s="48"/>
      <c r="T47" s="48"/>
      <c r="U47" s="48"/>
      <c r="V47" s="48"/>
      <c r="W47" s="48"/>
      <c r="X47" s="48"/>
      <c r="Y47" s="48"/>
      <c r="Z47" s="48"/>
      <c r="AA47" s="48"/>
    </row>
    <row r="48" spans="1:27" ht="15.75" customHeight="1" x14ac:dyDescent="0.2">
      <c r="A48" s="48"/>
      <c r="B48" s="48"/>
      <c r="C48" s="48"/>
      <c r="D48" s="48"/>
      <c r="E48" s="48"/>
      <c r="F48" s="48"/>
      <c r="G48" s="48"/>
      <c r="H48" s="48"/>
      <c r="I48" s="48"/>
      <c r="J48" s="48"/>
      <c r="K48" s="48"/>
      <c r="L48" s="48"/>
      <c r="M48" s="48"/>
      <c r="N48" s="48"/>
      <c r="O48" s="48"/>
      <c r="P48" s="48"/>
      <c r="Q48" s="48"/>
      <c r="R48" s="48"/>
      <c r="S48" s="48"/>
      <c r="T48" s="48"/>
      <c r="U48" s="48"/>
      <c r="V48" s="48"/>
      <c r="W48" s="48"/>
      <c r="X48" s="48"/>
      <c r="Y48" s="48"/>
      <c r="Z48" s="48"/>
      <c r="AA48" s="48"/>
    </row>
    <row r="49" spans="1:27" ht="15.75" customHeight="1" x14ac:dyDescent="0.2">
      <c r="A49" s="48"/>
      <c r="B49" s="48"/>
      <c r="C49" s="48"/>
      <c r="D49" s="48"/>
      <c r="E49" s="48"/>
      <c r="F49" s="48"/>
      <c r="G49" s="48"/>
      <c r="H49" s="48"/>
      <c r="I49" s="48"/>
      <c r="J49" s="48"/>
      <c r="K49" s="48"/>
      <c r="L49" s="48"/>
      <c r="M49" s="48"/>
      <c r="N49" s="48"/>
      <c r="O49" s="48"/>
      <c r="P49" s="48"/>
      <c r="Q49" s="48"/>
      <c r="R49" s="48"/>
      <c r="S49" s="48"/>
      <c r="T49" s="48"/>
      <c r="U49" s="48"/>
      <c r="V49" s="48"/>
      <c r="W49" s="48"/>
      <c r="X49" s="48"/>
      <c r="Y49" s="48"/>
      <c r="Z49" s="48"/>
      <c r="AA49" s="48"/>
    </row>
    <row r="50" spans="1:27" ht="15.75" customHeight="1" x14ac:dyDescent="0.2">
      <c r="A50" s="48"/>
      <c r="B50" s="48"/>
      <c r="C50" s="48"/>
      <c r="D50" s="48"/>
      <c r="E50" s="48"/>
      <c r="F50" s="48"/>
      <c r="G50" s="48"/>
      <c r="H50" s="48"/>
      <c r="I50" s="48"/>
      <c r="J50" s="48"/>
      <c r="K50" s="48"/>
      <c r="L50" s="48"/>
      <c r="M50" s="48"/>
      <c r="N50" s="48"/>
      <c r="O50" s="48"/>
      <c r="P50" s="48"/>
      <c r="Q50" s="48"/>
      <c r="R50" s="48"/>
      <c r="S50" s="48"/>
      <c r="T50" s="48"/>
      <c r="U50" s="48"/>
      <c r="V50" s="48"/>
      <c r="W50" s="48"/>
      <c r="X50" s="48"/>
      <c r="Y50" s="48"/>
      <c r="Z50" s="48"/>
      <c r="AA50" s="48"/>
    </row>
    <row r="51" spans="1:27" ht="15.75" customHeight="1" x14ac:dyDescent="0.2">
      <c r="A51" s="48"/>
      <c r="B51" s="48"/>
      <c r="C51" s="48"/>
      <c r="D51" s="48"/>
      <c r="E51" s="48"/>
      <c r="F51" s="48"/>
      <c r="G51" s="48"/>
      <c r="H51" s="48"/>
      <c r="I51" s="48"/>
      <c r="J51" s="48"/>
      <c r="K51" s="48"/>
      <c r="L51" s="48"/>
      <c r="M51" s="48"/>
      <c r="N51" s="48"/>
      <c r="O51" s="48"/>
      <c r="P51" s="48"/>
      <c r="Q51" s="48"/>
      <c r="R51" s="48"/>
      <c r="S51" s="48"/>
      <c r="T51" s="48"/>
      <c r="U51" s="48"/>
      <c r="V51" s="48"/>
      <c r="W51" s="48"/>
      <c r="X51" s="48"/>
      <c r="Y51" s="48"/>
      <c r="Z51" s="48"/>
      <c r="AA51" s="48"/>
    </row>
    <row r="52" spans="1:27" ht="15.75" customHeight="1" x14ac:dyDescent="0.2">
      <c r="A52" s="48"/>
      <c r="B52" s="48"/>
      <c r="C52" s="48"/>
      <c r="D52" s="48"/>
      <c r="E52" s="48"/>
      <c r="F52" s="48"/>
      <c r="G52" s="48"/>
      <c r="H52" s="48"/>
      <c r="I52" s="48"/>
      <c r="J52" s="48"/>
      <c r="K52" s="48"/>
      <c r="L52" s="48"/>
      <c r="M52" s="48"/>
      <c r="N52" s="48"/>
      <c r="O52" s="48"/>
      <c r="P52" s="48"/>
      <c r="Q52" s="48"/>
      <c r="R52" s="48"/>
      <c r="S52" s="48"/>
      <c r="T52" s="48"/>
      <c r="U52" s="48"/>
      <c r="V52" s="48"/>
      <c r="W52" s="48"/>
      <c r="X52" s="48"/>
      <c r="Y52" s="48"/>
      <c r="Z52" s="48"/>
      <c r="AA52" s="48"/>
    </row>
    <row r="53" spans="1:27" ht="15.75" customHeight="1" x14ac:dyDescent="0.2">
      <c r="A53" s="48"/>
      <c r="B53" s="48"/>
      <c r="C53" s="48"/>
      <c r="D53" s="48"/>
      <c r="E53" s="48"/>
      <c r="F53" s="48"/>
      <c r="G53" s="48"/>
      <c r="H53" s="48"/>
      <c r="I53" s="48"/>
      <c r="J53" s="48"/>
      <c r="K53" s="48"/>
      <c r="L53" s="48"/>
      <c r="M53" s="48"/>
      <c r="N53" s="48"/>
      <c r="O53" s="48"/>
      <c r="P53" s="48"/>
      <c r="Q53" s="48"/>
      <c r="R53" s="48"/>
      <c r="S53" s="48"/>
      <c r="T53" s="48"/>
      <c r="U53" s="48"/>
      <c r="V53" s="48"/>
      <c r="W53" s="48"/>
      <c r="X53" s="48"/>
      <c r="Y53" s="48"/>
      <c r="Z53" s="48"/>
      <c r="AA53" s="48"/>
    </row>
    <row r="54" spans="1:27" ht="15.75" customHeight="1" x14ac:dyDescent="0.2">
      <c r="A54" s="48"/>
      <c r="B54" s="48"/>
      <c r="C54" s="48"/>
      <c r="D54" s="48"/>
      <c r="E54" s="48"/>
      <c r="F54" s="48"/>
      <c r="G54" s="48"/>
      <c r="H54" s="48"/>
      <c r="I54" s="48"/>
      <c r="J54" s="48"/>
      <c r="K54" s="48"/>
      <c r="L54" s="48"/>
      <c r="M54" s="48"/>
      <c r="N54" s="48"/>
      <c r="O54" s="48"/>
      <c r="P54" s="48"/>
      <c r="Q54" s="48"/>
      <c r="R54" s="48"/>
      <c r="S54" s="48"/>
      <c r="T54" s="48"/>
      <c r="U54" s="48"/>
      <c r="V54" s="48"/>
      <c r="W54" s="48"/>
      <c r="X54" s="48"/>
      <c r="Y54" s="48"/>
      <c r="Z54" s="48"/>
      <c r="AA54" s="48"/>
    </row>
    <row r="55" spans="1:27" ht="15.75" customHeight="1" x14ac:dyDescent="0.2">
      <c r="A55" s="48"/>
      <c r="B55" s="48"/>
      <c r="C55" s="48"/>
      <c r="D55" s="48"/>
      <c r="E55" s="48"/>
      <c r="F55" s="48"/>
      <c r="G55" s="48"/>
      <c r="H55" s="48"/>
      <c r="I55" s="48"/>
      <c r="J55" s="48"/>
      <c r="K55" s="48"/>
      <c r="L55" s="48"/>
      <c r="M55" s="48"/>
      <c r="N55" s="48"/>
      <c r="O55" s="48"/>
      <c r="P55" s="48"/>
      <c r="Q55" s="48"/>
      <c r="R55" s="48"/>
      <c r="S55" s="48"/>
      <c r="T55" s="48"/>
      <c r="U55" s="48"/>
      <c r="V55" s="48"/>
      <c r="W55" s="48"/>
      <c r="X55" s="48"/>
      <c r="Y55" s="48"/>
      <c r="Z55" s="48"/>
      <c r="AA55" s="48"/>
    </row>
    <row r="56" spans="1:27" ht="15.75" customHeight="1" x14ac:dyDescent="0.2">
      <c r="A56" s="48"/>
      <c r="B56" s="48"/>
      <c r="C56" s="48"/>
      <c r="D56" s="48"/>
      <c r="E56" s="48"/>
      <c r="F56" s="48"/>
      <c r="G56" s="48"/>
      <c r="H56" s="48"/>
      <c r="I56" s="48"/>
      <c r="J56" s="48"/>
      <c r="K56" s="48"/>
      <c r="L56" s="48"/>
      <c r="M56" s="48"/>
      <c r="N56" s="48"/>
      <c r="O56" s="48"/>
      <c r="P56" s="48"/>
      <c r="Q56" s="48"/>
      <c r="R56" s="48"/>
      <c r="S56" s="48"/>
      <c r="T56" s="48"/>
      <c r="U56" s="48"/>
      <c r="V56" s="48"/>
      <c r="W56" s="48"/>
      <c r="X56" s="48"/>
      <c r="Y56" s="48"/>
      <c r="Z56" s="48"/>
      <c r="AA56" s="48"/>
    </row>
    <row r="57" spans="1:27" ht="15.75" customHeight="1" x14ac:dyDescent="0.2">
      <c r="A57" s="48"/>
      <c r="B57" s="48"/>
      <c r="C57" s="48"/>
      <c r="D57" s="48"/>
      <c r="E57" s="48"/>
      <c r="F57" s="48"/>
      <c r="G57" s="48"/>
      <c r="H57" s="48"/>
      <c r="I57" s="48"/>
      <c r="J57" s="48"/>
      <c r="K57" s="48"/>
      <c r="L57" s="48"/>
      <c r="M57" s="48"/>
      <c r="N57" s="48"/>
      <c r="O57" s="48"/>
      <c r="P57" s="48"/>
      <c r="Q57" s="48"/>
      <c r="R57" s="48"/>
      <c r="S57" s="48"/>
      <c r="T57" s="48"/>
      <c r="U57" s="48"/>
      <c r="V57" s="48"/>
      <c r="W57" s="48"/>
      <c r="X57" s="48"/>
      <c r="Y57" s="48"/>
      <c r="Z57" s="48"/>
      <c r="AA57" s="48"/>
    </row>
    <row r="58" spans="1:27" ht="15.75" customHeight="1" x14ac:dyDescent="0.2">
      <c r="A58" s="48"/>
      <c r="B58" s="48"/>
      <c r="C58" s="48"/>
      <c r="D58" s="48"/>
      <c r="E58" s="48"/>
      <c r="F58" s="48"/>
      <c r="G58" s="48"/>
      <c r="H58" s="48"/>
      <c r="I58" s="48"/>
      <c r="J58" s="48"/>
      <c r="K58" s="48"/>
      <c r="L58" s="48"/>
      <c r="M58" s="48"/>
      <c r="N58" s="48"/>
      <c r="O58" s="48"/>
      <c r="P58" s="48"/>
      <c r="Q58" s="48"/>
      <c r="R58" s="48"/>
      <c r="S58" s="48"/>
      <c r="T58" s="48"/>
      <c r="U58" s="48"/>
      <c r="V58" s="48"/>
      <c r="W58" s="48"/>
      <c r="X58" s="48"/>
      <c r="Y58" s="48"/>
      <c r="Z58" s="48"/>
      <c r="AA58" s="48"/>
    </row>
    <row r="59" spans="1:27" ht="15.75" customHeight="1" x14ac:dyDescent="0.2">
      <c r="A59" s="48"/>
      <c r="B59" s="48"/>
      <c r="C59" s="48"/>
      <c r="D59" s="48"/>
      <c r="E59" s="48"/>
      <c r="F59" s="48"/>
      <c r="G59" s="48"/>
      <c r="H59" s="48"/>
      <c r="I59" s="48"/>
      <c r="J59" s="48"/>
      <c r="K59" s="48"/>
      <c r="L59" s="48"/>
      <c r="M59" s="48"/>
      <c r="N59" s="48"/>
      <c r="O59" s="48"/>
      <c r="P59" s="48"/>
      <c r="Q59" s="48"/>
      <c r="R59" s="48"/>
      <c r="S59" s="48"/>
      <c r="T59" s="48"/>
      <c r="U59" s="48"/>
      <c r="V59" s="48"/>
      <c r="W59" s="48"/>
      <c r="X59" s="48"/>
      <c r="Y59" s="48"/>
      <c r="Z59" s="48"/>
      <c r="AA59" s="48"/>
    </row>
    <row r="60" spans="1:27" ht="15.75" customHeight="1" x14ac:dyDescent="0.2">
      <c r="A60" s="48"/>
      <c r="B60" s="48"/>
      <c r="C60" s="48"/>
      <c r="D60" s="48"/>
      <c r="E60" s="48"/>
      <c r="F60" s="48"/>
      <c r="G60" s="48"/>
      <c r="H60" s="48"/>
      <c r="I60" s="48"/>
      <c r="J60" s="48"/>
      <c r="K60" s="48"/>
      <c r="L60" s="48"/>
      <c r="M60" s="48"/>
      <c r="N60" s="48"/>
      <c r="O60" s="48"/>
      <c r="P60" s="48"/>
      <c r="Q60" s="48"/>
      <c r="R60" s="48"/>
      <c r="S60" s="48"/>
      <c r="T60" s="48"/>
      <c r="U60" s="48"/>
      <c r="V60" s="48"/>
      <c r="W60" s="48"/>
      <c r="X60" s="48"/>
      <c r="Y60" s="48"/>
      <c r="Z60" s="48"/>
      <c r="AA60" s="48"/>
    </row>
    <row r="61" spans="1:27" ht="15.75" customHeight="1" x14ac:dyDescent="0.2">
      <c r="A61" s="48"/>
      <c r="B61" s="48"/>
      <c r="C61" s="48"/>
      <c r="D61" s="48"/>
      <c r="E61" s="48"/>
      <c r="F61" s="48"/>
      <c r="G61" s="48"/>
      <c r="H61" s="48"/>
      <c r="I61" s="48"/>
      <c r="J61" s="48"/>
      <c r="K61" s="48"/>
      <c r="L61" s="48"/>
      <c r="M61" s="48"/>
      <c r="N61" s="48"/>
      <c r="O61" s="48"/>
      <c r="P61" s="48"/>
      <c r="Q61" s="48"/>
      <c r="R61" s="48"/>
      <c r="S61" s="48"/>
      <c r="T61" s="48"/>
      <c r="U61" s="48"/>
      <c r="V61" s="48"/>
      <c r="W61" s="48"/>
      <c r="X61" s="48"/>
      <c r="Y61" s="48"/>
      <c r="Z61" s="48"/>
      <c r="AA61" s="48"/>
    </row>
    <row r="62" spans="1:27" ht="15.75" customHeight="1" x14ac:dyDescent="0.2">
      <c r="A62" s="48"/>
      <c r="B62" s="48"/>
      <c r="C62" s="48"/>
      <c r="D62" s="48"/>
      <c r="E62" s="48"/>
      <c r="F62" s="48"/>
      <c r="G62" s="48"/>
      <c r="H62" s="48"/>
      <c r="I62" s="48"/>
      <c r="J62" s="48"/>
      <c r="K62" s="48"/>
      <c r="L62" s="48"/>
      <c r="M62" s="48"/>
      <c r="N62" s="48"/>
      <c r="O62" s="48"/>
      <c r="P62" s="48"/>
      <c r="Q62" s="48"/>
      <c r="R62" s="48"/>
      <c r="S62" s="48"/>
      <c r="T62" s="48"/>
      <c r="U62" s="48"/>
      <c r="V62" s="48"/>
      <c r="W62" s="48"/>
      <c r="X62" s="48"/>
      <c r="Y62" s="48"/>
      <c r="Z62" s="48"/>
      <c r="AA62" s="48"/>
    </row>
    <row r="63" spans="1:27" ht="15.75" customHeight="1" x14ac:dyDescent="0.2">
      <c r="A63" s="48"/>
      <c r="B63" s="48"/>
      <c r="C63" s="48"/>
      <c r="D63" s="48"/>
      <c r="E63" s="48"/>
      <c r="F63" s="48"/>
      <c r="G63" s="48"/>
      <c r="H63" s="48"/>
      <c r="I63" s="48"/>
      <c r="J63" s="48"/>
      <c r="K63" s="48"/>
      <c r="L63" s="48"/>
      <c r="M63" s="48"/>
      <c r="N63" s="48"/>
      <c r="O63" s="48"/>
      <c r="P63" s="48"/>
      <c r="Q63" s="48"/>
      <c r="R63" s="48"/>
      <c r="S63" s="48"/>
      <c r="T63" s="48"/>
      <c r="U63" s="48"/>
      <c r="V63" s="48"/>
      <c r="W63" s="48"/>
      <c r="X63" s="48"/>
      <c r="Y63" s="48"/>
      <c r="Z63" s="48"/>
      <c r="AA63" s="48"/>
    </row>
    <row r="64" spans="1:27" ht="15.75" customHeight="1" x14ac:dyDescent="0.2">
      <c r="A64" s="48"/>
      <c r="B64" s="48"/>
      <c r="C64" s="48"/>
      <c r="D64" s="48"/>
      <c r="E64" s="48"/>
      <c r="F64" s="48"/>
      <c r="G64" s="48"/>
      <c r="H64" s="48"/>
      <c r="I64" s="48"/>
      <c r="J64" s="48"/>
      <c r="K64" s="48"/>
      <c r="L64" s="48"/>
      <c r="M64" s="48"/>
      <c r="N64" s="48"/>
      <c r="O64" s="48"/>
      <c r="P64" s="48"/>
      <c r="Q64" s="48"/>
      <c r="R64" s="48"/>
      <c r="S64" s="48"/>
      <c r="T64" s="48"/>
      <c r="U64" s="48"/>
      <c r="V64" s="48"/>
      <c r="W64" s="48"/>
      <c r="X64" s="48"/>
      <c r="Y64" s="48"/>
      <c r="Z64" s="48"/>
      <c r="AA64" s="48"/>
    </row>
    <row r="65" spans="1:27" ht="15.75" customHeight="1" x14ac:dyDescent="0.2">
      <c r="A65" s="48"/>
      <c r="B65" s="48"/>
      <c r="C65" s="48"/>
      <c r="D65" s="48"/>
      <c r="E65" s="48"/>
      <c r="F65" s="48"/>
      <c r="G65" s="48"/>
      <c r="H65" s="48"/>
      <c r="I65" s="48"/>
      <c r="J65" s="48"/>
      <c r="K65" s="48"/>
      <c r="L65" s="48"/>
      <c r="M65" s="48"/>
      <c r="N65" s="48"/>
      <c r="O65" s="48"/>
      <c r="P65" s="48"/>
      <c r="Q65" s="48"/>
      <c r="R65" s="48"/>
      <c r="S65" s="48"/>
      <c r="T65" s="48"/>
      <c r="U65" s="48"/>
      <c r="V65" s="48"/>
      <c r="W65" s="48"/>
      <c r="X65" s="48"/>
      <c r="Y65" s="48"/>
      <c r="Z65" s="48"/>
      <c r="AA65" s="48"/>
    </row>
    <row r="66" spans="1:27" ht="15.75" customHeight="1" x14ac:dyDescent="0.2">
      <c r="A66" s="48"/>
      <c r="B66" s="48"/>
      <c r="C66" s="48"/>
      <c r="D66" s="48"/>
      <c r="E66" s="48"/>
      <c r="F66" s="48"/>
      <c r="G66" s="48"/>
      <c r="H66" s="48"/>
      <c r="I66" s="48"/>
      <c r="J66" s="48"/>
      <c r="K66" s="48"/>
      <c r="L66" s="48"/>
      <c r="M66" s="48"/>
      <c r="N66" s="48"/>
      <c r="O66" s="48"/>
      <c r="P66" s="48"/>
      <c r="Q66" s="48"/>
      <c r="R66" s="48"/>
      <c r="S66" s="48"/>
      <c r="T66" s="48"/>
      <c r="U66" s="48"/>
      <c r="V66" s="48"/>
      <c r="W66" s="48"/>
      <c r="X66" s="48"/>
      <c r="Y66" s="48"/>
      <c r="Z66" s="48"/>
      <c r="AA66" s="48"/>
    </row>
    <row r="67" spans="1:27" ht="15.75" customHeight="1" x14ac:dyDescent="0.2">
      <c r="A67" s="48"/>
      <c r="B67" s="48"/>
      <c r="C67" s="48"/>
      <c r="D67" s="48"/>
      <c r="E67" s="48"/>
      <c r="F67" s="48"/>
      <c r="G67" s="48"/>
      <c r="H67" s="48"/>
      <c r="I67" s="48"/>
      <c r="J67" s="48"/>
      <c r="K67" s="48"/>
      <c r="L67" s="48"/>
      <c r="M67" s="48"/>
      <c r="N67" s="48"/>
      <c r="O67" s="48"/>
      <c r="P67" s="48"/>
      <c r="Q67" s="48"/>
      <c r="R67" s="48"/>
      <c r="S67" s="48"/>
      <c r="T67" s="48"/>
      <c r="U67" s="48"/>
      <c r="V67" s="48"/>
      <c r="W67" s="48"/>
      <c r="X67" s="48"/>
      <c r="Y67" s="48"/>
      <c r="Z67" s="48"/>
      <c r="AA67" s="48"/>
    </row>
    <row r="68" spans="1:27" ht="15.75" customHeight="1" x14ac:dyDescent="0.2">
      <c r="A68" s="48"/>
      <c r="B68" s="48"/>
      <c r="C68" s="48"/>
      <c r="D68" s="48"/>
      <c r="E68" s="48"/>
      <c r="F68" s="48"/>
      <c r="G68" s="48"/>
      <c r="H68" s="48"/>
      <c r="I68" s="48"/>
      <c r="J68" s="48"/>
      <c r="K68" s="48"/>
      <c r="L68" s="48"/>
      <c r="M68" s="48"/>
      <c r="N68" s="48"/>
      <c r="O68" s="48"/>
      <c r="P68" s="48"/>
      <c r="Q68" s="48"/>
      <c r="R68" s="48"/>
      <c r="S68" s="48"/>
      <c r="T68" s="48"/>
      <c r="U68" s="48"/>
      <c r="V68" s="48"/>
      <c r="W68" s="48"/>
      <c r="X68" s="48"/>
      <c r="Y68" s="48"/>
      <c r="Z68" s="48"/>
      <c r="AA68" s="48"/>
    </row>
    <row r="69" spans="1:27" ht="15.75" customHeight="1" x14ac:dyDescent="0.2">
      <c r="A69" s="48"/>
      <c r="B69" s="48"/>
      <c r="C69" s="48"/>
      <c r="D69" s="48"/>
      <c r="E69" s="48"/>
      <c r="F69" s="48"/>
      <c r="G69" s="48"/>
      <c r="H69" s="48"/>
      <c r="I69" s="48"/>
      <c r="J69" s="48"/>
      <c r="K69" s="48"/>
      <c r="L69" s="48"/>
      <c r="M69" s="48"/>
      <c r="N69" s="48"/>
      <c r="O69" s="48"/>
      <c r="P69" s="48"/>
      <c r="Q69" s="48"/>
      <c r="R69" s="48"/>
      <c r="S69" s="48"/>
      <c r="T69" s="48"/>
      <c r="U69" s="48"/>
      <c r="V69" s="48"/>
      <c r="W69" s="48"/>
      <c r="X69" s="48"/>
      <c r="Y69" s="48"/>
      <c r="Z69" s="48"/>
      <c r="AA69" s="48"/>
    </row>
    <row r="70" spans="1:27" ht="15.75" customHeight="1" x14ac:dyDescent="0.2">
      <c r="A70" s="48"/>
      <c r="B70" s="48"/>
      <c r="C70" s="48"/>
      <c r="D70" s="48"/>
      <c r="E70" s="48"/>
      <c r="F70" s="48"/>
      <c r="G70" s="48"/>
      <c r="H70" s="48"/>
      <c r="I70" s="48"/>
      <c r="J70" s="48"/>
      <c r="K70" s="48"/>
      <c r="L70" s="48"/>
      <c r="M70" s="48"/>
      <c r="N70" s="48"/>
      <c r="O70" s="48"/>
      <c r="P70" s="48"/>
      <c r="Q70" s="48"/>
      <c r="R70" s="48"/>
      <c r="S70" s="48"/>
      <c r="T70" s="48"/>
      <c r="U70" s="48"/>
      <c r="V70" s="48"/>
      <c r="W70" s="48"/>
      <c r="X70" s="48"/>
      <c r="Y70" s="48"/>
      <c r="Z70" s="48"/>
      <c r="AA70" s="48"/>
    </row>
    <row r="71" spans="1:27" ht="15.75" customHeight="1" x14ac:dyDescent="0.2">
      <c r="A71" s="48"/>
      <c r="B71" s="48"/>
      <c r="C71" s="48"/>
      <c r="D71" s="48"/>
      <c r="E71" s="48"/>
      <c r="F71" s="48"/>
      <c r="G71" s="48"/>
      <c r="H71" s="48"/>
      <c r="I71" s="48"/>
      <c r="J71" s="48"/>
      <c r="K71" s="48"/>
      <c r="L71" s="48"/>
      <c r="M71" s="48"/>
      <c r="N71" s="48"/>
      <c r="O71" s="48"/>
      <c r="P71" s="48"/>
      <c r="Q71" s="48"/>
      <c r="R71" s="48"/>
      <c r="S71" s="48"/>
      <c r="T71" s="48"/>
      <c r="U71" s="48"/>
      <c r="V71" s="48"/>
      <c r="W71" s="48"/>
      <c r="X71" s="48"/>
      <c r="Y71" s="48"/>
      <c r="Z71" s="48"/>
      <c r="AA71" s="48"/>
    </row>
    <row r="72" spans="1:27" ht="15.75" customHeight="1" x14ac:dyDescent="0.2">
      <c r="A72" s="48"/>
      <c r="B72" s="48"/>
      <c r="C72" s="48"/>
      <c r="D72" s="48"/>
      <c r="E72" s="48"/>
      <c r="F72" s="48"/>
      <c r="G72" s="48"/>
      <c r="H72" s="48"/>
      <c r="I72" s="48"/>
      <c r="J72" s="48"/>
      <c r="K72" s="48"/>
      <c r="L72" s="48"/>
      <c r="M72" s="48"/>
      <c r="N72" s="48"/>
      <c r="O72" s="48"/>
      <c r="P72" s="48"/>
      <c r="Q72" s="48"/>
      <c r="R72" s="48"/>
      <c r="S72" s="48"/>
      <c r="T72" s="48"/>
      <c r="U72" s="48"/>
      <c r="V72" s="48"/>
      <c r="W72" s="48"/>
      <c r="X72" s="48"/>
      <c r="Y72" s="48"/>
      <c r="Z72" s="48"/>
      <c r="AA72" s="48"/>
    </row>
    <row r="73" spans="1:27" ht="15.75" customHeight="1" x14ac:dyDescent="0.2">
      <c r="A73" s="48"/>
      <c r="B73" s="48"/>
      <c r="C73" s="48"/>
      <c r="D73" s="48"/>
      <c r="E73" s="48"/>
      <c r="F73" s="48"/>
      <c r="G73" s="48"/>
      <c r="H73" s="48"/>
      <c r="I73" s="48"/>
      <c r="J73" s="48"/>
      <c r="K73" s="48"/>
      <c r="L73" s="48"/>
      <c r="M73" s="48"/>
      <c r="N73" s="48"/>
      <c r="O73" s="48"/>
      <c r="P73" s="48"/>
      <c r="Q73" s="48"/>
      <c r="R73" s="48"/>
      <c r="S73" s="48"/>
      <c r="T73" s="48"/>
      <c r="U73" s="48"/>
      <c r="V73" s="48"/>
      <c r="W73" s="48"/>
      <c r="X73" s="48"/>
      <c r="Y73" s="48"/>
      <c r="Z73" s="48"/>
      <c r="AA73" s="48"/>
    </row>
    <row r="74" spans="1:27" ht="15.75" customHeight="1" x14ac:dyDescent="0.2">
      <c r="A74" s="48"/>
      <c r="B74" s="48"/>
      <c r="C74" s="48"/>
      <c r="D74" s="48"/>
      <c r="E74" s="48"/>
      <c r="F74" s="48"/>
      <c r="G74" s="48"/>
      <c r="H74" s="48"/>
      <c r="I74" s="48"/>
      <c r="J74" s="48"/>
      <c r="K74" s="48"/>
      <c r="L74" s="48"/>
      <c r="M74" s="48"/>
      <c r="N74" s="48"/>
      <c r="O74" s="48"/>
      <c r="P74" s="48"/>
      <c r="Q74" s="48"/>
      <c r="R74" s="48"/>
      <c r="S74" s="48"/>
      <c r="T74" s="48"/>
      <c r="U74" s="48"/>
      <c r="V74" s="48"/>
      <c r="W74" s="48"/>
      <c r="X74" s="48"/>
      <c r="Y74" s="48"/>
      <c r="Z74" s="48"/>
      <c r="AA74" s="48"/>
    </row>
    <row r="75" spans="1:27" ht="15.75" customHeight="1" x14ac:dyDescent="0.2">
      <c r="A75" s="48"/>
      <c r="B75" s="48"/>
      <c r="C75" s="48"/>
      <c r="D75" s="48"/>
      <c r="E75" s="48"/>
      <c r="F75" s="48"/>
      <c r="G75" s="48"/>
      <c r="H75" s="48"/>
      <c r="I75" s="48"/>
      <c r="J75" s="48"/>
      <c r="K75" s="48"/>
      <c r="L75" s="48"/>
      <c r="M75" s="48"/>
      <c r="N75" s="48"/>
      <c r="O75" s="48"/>
      <c r="P75" s="48"/>
      <c r="Q75" s="48"/>
      <c r="R75" s="48"/>
      <c r="S75" s="48"/>
      <c r="T75" s="48"/>
      <c r="U75" s="48"/>
      <c r="V75" s="48"/>
      <c r="W75" s="48"/>
      <c r="X75" s="48"/>
      <c r="Y75" s="48"/>
      <c r="Z75" s="48"/>
      <c r="AA75" s="48"/>
    </row>
    <row r="76" spans="1:27" ht="15.75" customHeight="1" x14ac:dyDescent="0.2">
      <c r="A76" s="48"/>
      <c r="B76" s="48"/>
      <c r="C76" s="48"/>
      <c r="D76" s="48"/>
      <c r="E76" s="48"/>
      <c r="F76" s="48"/>
      <c r="G76" s="48"/>
      <c r="H76" s="48"/>
      <c r="I76" s="48"/>
      <c r="J76" s="48"/>
      <c r="K76" s="48"/>
      <c r="L76" s="48"/>
      <c r="M76" s="48"/>
      <c r="N76" s="48"/>
      <c r="O76" s="48"/>
      <c r="P76" s="48"/>
      <c r="Q76" s="48"/>
      <c r="R76" s="48"/>
      <c r="S76" s="48"/>
      <c r="T76" s="48"/>
      <c r="U76" s="48"/>
      <c r="V76" s="48"/>
      <c r="W76" s="48"/>
      <c r="X76" s="48"/>
      <c r="Y76" s="48"/>
      <c r="Z76" s="48"/>
      <c r="AA76" s="48"/>
    </row>
    <row r="77" spans="1:27" ht="15.75" customHeight="1" x14ac:dyDescent="0.2">
      <c r="A77" s="48"/>
      <c r="B77" s="48"/>
      <c r="C77" s="48"/>
      <c r="D77" s="48"/>
      <c r="E77" s="48"/>
      <c r="F77" s="48"/>
      <c r="G77" s="48"/>
      <c r="H77" s="48"/>
      <c r="I77" s="48"/>
      <c r="J77" s="48"/>
      <c r="K77" s="48"/>
      <c r="L77" s="48"/>
      <c r="M77" s="48"/>
      <c r="N77" s="48"/>
      <c r="O77" s="48"/>
      <c r="P77" s="48"/>
      <c r="Q77" s="48"/>
      <c r="R77" s="48"/>
      <c r="S77" s="48"/>
      <c r="T77" s="48"/>
      <c r="U77" s="48"/>
      <c r="V77" s="48"/>
      <c r="W77" s="48"/>
      <c r="X77" s="48"/>
      <c r="Y77" s="48"/>
      <c r="Z77" s="48"/>
      <c r="AA77" s="48"/>
    </row>
    <row r="78" spans="1:27" ht="15.75" customHeight="1" x14ac:dyDescent="0.2">
      <c r="A78" s="48"/>
      <c r="B78" s="48"/>
      <c r="C78" s="48"/>
      <c r="D78" s="48"/>
      <c r="E78" s="48"/>
      <c r="F78" s="48"/>
      <c r="G78" s="48"/>
      <c r="H78" s="48"/>
      <c r="I78" s="48"/>
      <c r="J78" s="48"/>
      <c r="K78" s="48"/>
      <c r="L78" s="48"/>
      <c r="M78" s="48"/>
      <c r="N78" s="48"/>
      <c r="O78" s="48"/>
      <c r="P78" s="48"/>
      <c r="Q78" s="48"/>
      <c r="R78" s="48"/>
      <c r="S78" s="48"/>
      <c r="T78" s="48"/>
      <c r="U78" s="48"/>
      <c r="V78" s="48"/>
      <c r="W78" s="48"/>
      <c r="X78" s="48"/>
      <c r="Y78" s="48"/>
      <c r="Z78" s="48"/>
      <c r="AA78" s="48"/>
    </row>
    <row r="79" spans="1:27" ht="15.75" customHeight="1" x14ac:dyDescent="0.2">
      <c r="A79" s="48"/>
      <c r="B79" s="48"/>
      <c r="C79" s="48"/>
      <c r="D79" s="48"/>
      <c r="E79" s="48"/>
      <c r="F79" s="48"/>
      <c r="G79" s="48"/>
      <c r="H79" s="48"/>
      <c r="I79" s="48"/>
      <c r="J79" s="48"/>
      <c r="K79" s="48"/>
      <c r="L79" s="48"/>
      <c r="M79" s="48"/>
      <c r="N79" s="48"/>
      <c r="O79" s="48"/>
      <c r="P79" s="48"/>
      <c r="Q79" s="48"/>
      <c r="R79" s="48"/>
      <c r="S79" s="48"/>
      <c r="T79" s="48"/>
      <c r="U79" s="48"/>
      <c r="V79" s="48"/>
      <c r="W79" s="48"/>
      <c r="X79" s="48"/>
      <c r="Y79" s="48"/>
      <c r="Z79" s="48"/>
      <c r="AA79" s="48"/>
    </row>
    <row r="80" spans="1:27" ht="15.75" customHeight="1" x14ac:dyDescent="0.2">
      <c r="A80" s="48"/>
      <c r="B80" s="48"/>
      <c r="C80" s="48"/>
      <c r="D80" s="48"/>
      <c r="E80" s="48"/>
      <c r="F80" s="48"/>
      <c r="G80" s="48"/>
      <c r="H80" s="48"/>
      <c r="I80" s="48"/>
      <c r="J80" s="48"/>
      <c r="K80" s="48"/>
      <c r="L80" s="48"/>
      <c r="M80" s="48"/>
      <c r="N80" s="48"/>
      <c r="O80" s="48"/>
      <c r="P80" s="48"/>
      <c r="Q80" s="48"/>
      <c r="R80" s="48"/>
      <c r="S80" s="48"/>
      <c r="T80" s="48"/>
      <c r="U80" s="48"/>
      <c r="V80" s="48"/>
      <c r="W80" s="48"/>
      <c r="X80" s="48"/>
      <c r="Y80" s="48"/>
      <c r="Z80" s="48"/>
      <c r="AA80" s="48"/>
    </row>
    <row r="81" spans="1:27" ht="15.75" customHeight="1" x14ac:dyDescent="0.2">
      <c r="A81" s="48"/>
      <c r="B81" s="48"/>
      <c r="C81" s="48"/>
      <c r="D81" s="48"/>
      <c r="E81" s="48"/>
      <c r="F81" s="48"/>
      <c r="G81" s="48"/>
      <c r="H81" s="48"/>
      <c r="I81" s="48"/>
      <c r="J81" s="48"/>
      <c r="K81" s="48"/>
      <c r="L81" s="48"/>
      <c r="M81" s="48"/>
      <c r="N81" s="48"/>
      <c r="O81" s="48"/>
      <c r="P81" s="48"/>
      <c r="Q81" s="48"/>
      <c r="R81" s="48"/>
      <c r="S81" s="48"/>
      <c r="T81" s="48"/>
      <c r="U81" s="48"/>
      <c r="V81" s="48"/>
      <c r="W81" s="48"/>
      <c r="X81" s="48"/>
      <c r="Y81" s="48"/>
      <c r="Z81" s="48"/>
      <c r="AA81" s="48"/>
    </row>
    <row r="82" spans="1:27" ht="15.75" customHeight="1" x14ac:dyDescent="0.2">
      <c r="A82" s="48"/>
      <c r="B82" s="48"/>
      <c r="C82" s="48"/>
      <c r="D82" s="48"/>
      <c r="E82" s="48"/>
      <c r="F82" s="48"/>
      <c r="G82" s="48"/>
      <c r="H82" s="48"/>
      <c r="I82" s="48"/>
      <c r="J82" s="48"/>
      <c r="K82" s="48"/>
      <c r="L82" s="48"/>
      <c r="M82" s="48"/>
      <c r="N82" s="48"/>
      <c r="O82" s="48"/>
      <c r="P82" s="48"/>
      <c r="Q82" s="48"/>
      <c r="R82" s="48"/>
      <c r="S82" s="48"/>
      <c r="T82" s="48"/>
      <c r="U82" s="48"/>
      <c r="V82" s="48"/>
      <c r="W82" s="48"/>
      <c r="X82" s="48"/>
      <c r="Y82" s="48"/>
      <c r="Z82" s="48"/>
      <c r="AA82" s="48"/>
    </row>
    <row r="83" spans="1:27" ht="15.75" customHeight="1" x14ac:dyDescent="0.2">
      <c r="A83" s="48"/>
      <c r="B83" s="48"/>
      <c r="C83" s="48"/>
      <c r="D83" s="48"/>
      <c r="E83" s="48"/>
      <c r="F83" s="48"/>
      <c r="G83" s="48"/>
      <c r="H83" s="48"/>
      <c r="I83" s="48"/>
      <c r="J83" s="48"/>
      <c r="K83" s="48"/>
      <c r="L83" s="48"/>
      <c r="M83" s="48"/>
      <c r="N83" s="48"/>
      <c r="O83" s="48"/>
      <c r="P83" s="48"/>
      <c r="Q83" s="48"/>
      <c r="R83" s="48"/>
      <c r="S83" s="48"/>
      <c r="T83" s="48"/>
      <c r="U83" s="48"/>
      <c r="V83" s="48"/>
      <c r="W83" s="48"/>
      <c r="X83" s="48"/>
      <c r="Y83" s="48"/>
      <c r="Z83" s="48"/>
      <c r="AA83" s="48"/>
    </row>
    <row r="84" spans="1:27" ht="15.75" customHeight="1" x14ac:dyDescent="0.2">
      <c r="A84" s="48"/>
      <c r="B84" s="48"/>
      <c r="C84" s="48"/>
      <c r="D84" s="48"/>
      <c r="E84" s="48"/>
      <c r="F84" s="48"/>
      <c r="G84" s="48"/>
      <c r="H84" s="48"/>
      <c r="I84" s="48"/>
      <c r="J84" s="48"/>
      <c r="K84" s="48"/>
      <c r="L84" s="48"/>
      <c r="M84" s="48"/>
      <c r="N84" s="48"/>
      <c r="O84" s="48"/>
      <c r="P84" s="48"/>
      <c r="Q84" s="48"/>
      <c r="R84" s="48"/>
      <c r="S84" s="48"/>
      <c r="T84" s="48"/>
      <c r="U84" s="48"/>
      <c r="V84" s="48"/>
      <c r="W84" s="48"/>
      <c r="X84" s="48"/>
      <c r="Y84" s="48"/>
      <c r="Z84" s="48"/>
      <c r="AA84" s="48"/>
    </row>
    <row r="85" spans="1:27" ht="15.75" customHeight="1" x14ac:dyDescent="0.2">
      <c r="A85" s="48"/>
      <c r="B85" s="48"/>
      <c r="C85" s="48"/>
      <c r="D85" s="48"/>
      <c r="E85" s="48"/>
      <c r="F85" s="48"/>
      <c r="G85" s="48"/>
      <c r="H85" s="48"/>
      <c r="I85" s="48"/>
      <c r="J85" s="48"/>
      <c r="K85" s="48"/>
      <c r="L85" s="48"/>
      <c r="M85" s="48"/>
      <c r="N85" s="48"/>
      <c r="O85" s="48"/>
      <c r="P85" s="48"/>
      <c r="Q85" s="48"/>
      <c r="R85" s="48"/>
      <c r="S85" s="48"/>
      <c r="T85" s="48"/>
      <c r="U85" s="48"/>
      <c r="V85" s="48"/>
      <c r="W85" s="48"/>
      <c r="X85" s="48"/>
      <c r="Y85" s="48"/>
      <c r="Z85" s="48"/>
      <c r="AA85" s="48"/>
    </row>
    <row r="86" spans="1:27" ht="15.75" customHeight="1" x14ac:dyDescent="0.2">
      <c r="A86" s="48"/>
      <c r="B86" s="48"/>
      <c r="C86" s="48"/>
      <c r="D86" s="48"/>
      <c r="E86" s="48"/>
      <c r="F86" s="48"/>
      <c r="G86" s="48"/>
      <c r="H86" s="48"/>
      <c r="I86" s="48"/>
      <c r="J86" s="48"/>
      <c r="K86" s="48"/>
      <c r="L86" s="48"/>
      <c r="M86" s="48"/>
      <c r="N86" s="48"/>
      <c r="O86" s="48"/>
      <c r="P86" s="48"/>
      <c r="Q86" s="48"/>
      <c r="R86" s="48"/>
      <c r="S86" s="48"/>
      <c r="T86" s="48"/>
      <c r="U86" s="48"/>
      <c r="V86" s="48"/>
      <c r="W86" s="48"/>
      <c r="X86" s="48"/>
      <c r="Y86" s="48"/>
      <c r="Z86" s="48"/>
      <c r="AA86" s="48"/>
    </row>
    <row r="87" spans="1:27" ht="15.75" customHeight="1" x14ac:dyDescent="0.2">
      <c r="A87" s="48"/>
      <c r="B87" s="48"/>
      <c r="C87" s="48"/>
      <c r="D87" s="48"/>
      <c r="E87" s="48"/>
      <c r="F87" s="48"/>
      <c r="G87" s="48"/>
      <c r="H87" s="48"/>
      <c r="I87" s="48"/>
      <c r="J87" s="48"/>
      <c r="K87" s="48"/>
      <c r="L87" s="48"/>
      <c r="M87" s="48"/>
      <c r="N87" s="48"/>
      <c r="O87" s="48"/>
      <c r="P87" s="48"/>
      <c r="Q87" s="48"/>
      <c r="R87" s="48"/>
      <c r="S87" s="48"/>
      <c r="T87" s="48"/>
      <c r="U87" s="48"/>
      <c r="V87" s="48"/>
      <c r="W87" s="48"/>
      <c r="X87" s="48"/>
      <c r="Y87" s="48"/>
      <c r="Z87" s="48"/>
      <c r="AA87" s="48"/>
    </row>
    <row r="88" spans="1:27" ht="15.75" customHeight="1" x14ac:dyDescent="0.2">
      <c r="A88" s="48"/>
      <c r="B88" s="48"/>
      <c r="C88" s="48"/>
      <c r="D88" s="48"/>
      <c r="E88" s="48"/>
      <c r="F88" s="48"/>
      <c r="G88" s="48"/>
      <c r="H88" s="48"/>
      <c r="I88" s="48"/>
      <c r="J88" s="48"/>
      <c r="K88" s="48"/>
      <c r="L88" s="48"/>
      <c r="M88" s="48"/>
      <c r="N88" s="48"/>
      <c r="O88" s="48"/>
      <c r="P88" s="48"/>
      <c r="Q88" s="48"/>
      <c r="R88" s="48"/>
      <c r="S88" s="48"/>
      <c r="T88" s="48"/>
      <c r="U88" s="48"/>
      <c r="V88" s="48"/>
      <c r="W88" s="48"/>
      <c r="X88" s="48"/>
      <c r="Y88" s="48"/>
      <c r="Z88" s="48"/>
      <c r="AA88" s="48"/>
    </row>
    <row r="89" spans="1:27" ht="15.75" customHeight="1" x14ac:dyDescent="0.2">
      <c r="A89" s="48"/>
      <c r="B89" s="48"/>
      <c r="C89" s="48"/>
      <c r="D89" s="48"/>
      <c r="E89" s="48"/>
      <c r="F89" s="48"/>
      <c r="G89" s="48"/>
      <c r="H89" s="48"/>
      <c r="I89" s="48"/>
      <c r="J89" s="48"/>
      <c r="K89" s="48"/>
      <c r="L89" s="48"/>
      <c r="M89" s="48"/>
      <c r="N89" s="48"/>
      <c r="O89" s="48"/>
      <c r="P89" s="48"/>
      <c r="Q89" s="48"/>
      <c r="R89" s="48"/>
      <c r="S89" s="48"/>
      <c r="T89" s="48"/>
      <c r="U89" s="48"/>
      <c r="V89" s="48"/>
      <c r="W89" s="48"/>
      <c r="X89" s="48"/>
      <c r="Y89" s="48"/>
      <c r="Z89" s="48"/>
      <c r="AA89" s="48"/>
    </row>
    <row r="90" spans="1:27" ht="15.75" customHeight="1" x14ac:dyDescent="0.2">
      <c r="A90" s="48"/>
      <c r="B90" s="48"/>
      <c r="C90" s="48"/>
      <c r="D90" s="48"/>
      <c r="E90" s="48"/>
      <c r="F90" s="48"/>
      <c r="G90" s="48"/>
      <c r="H90" s="48"/>
      <c r="I90" s="48"/>
      <c r="J90" s="48"/>
      <c r="K90" s="48"/>
      <c r="L90" s="48"/>
      <c r="M90" s="48"/>
      <c r="N90" s="48"/>
      <c r="O90" s="48"/>
      <c r="P90" s="48"/>
      <c r="Q90" s="48"/>
      <c r="R90" s="48"/>
      <c r="S90" s="48"/>
      <c r="T90" s="48"/>
      <c r="U90" s="48"/>
      <c r="V90" s="48"/>
      <c r="W90" s="48"/>
      <c r="X90" s="48"/>
      <c r="Y90" s="48"/>
      <c r="Z90" s="48"/>
      <c r="AA90" s="48"/>
    </row>
    <row r="91" spans="1:27" ht="15.75" customHeight="1" x14ac:dyDescent="0.2">
      <c r="A91" s="48"/>
      <c r="B91" s="48"/>
      <c r="C91" s="48"/>
      <c r="D91" s="48"/>
      <c r="E91" s="48"/>
      <c r="F91" s="48"/>
      <c r="G91" s="48"/>
      <c r="H91" s="48"/>
      <c r="I91" s="48"/>
      <c r="J91" s="48"/>
      <c r="K91" s="48"/>
      <c r="L91" s="48"/>
      <c r="M91" s="48"/>
      <c r="N91" s="48"/>
      <c r="O91" s="48"/>
      <c r="P91" s="48"/>
      <c r="Q91" s="48"/>
      <c r="R91" s="48"/>
      <c r="S91" s="48"/>
      <c r="T91" s="48"/>
      <c r="U91" s="48"/>
      <c r="V91" s="48"/>
      <c r="W91" s="48"/>
      <c r="X91" s="48"/>
      <c r="Y91" s="48"/>
      <c r="Z91" s="48"/>
      <c r="AA91" s="48"/>
    </row>
    <row r="92" spans="1:27" ht="15.75" customHeight="1" x14ac:dyDescent="0.2">
      <c r="A92" s="48"/>
      <c r="B92" s="48"/>
      <c r="C92" s="48"/>
      <c r="D92" s="48"/>
      <c r="E92" s="48"/>
      <c r="F92" s="48"/>
      <c r="G92" s="48"/>
      <c r="H92" s="48"/>
      <c r="I92" s="48"/>
      <c r="J92" s="48"/>
      <c r="K92" s="48"/>
      <c r="L92" s="48"/>
      <c r="M92" s="48"/>
      <c r="N92" s="48"/>
      <c r="O92" s="48"/>
      <c r="P92" s="48"/>
      <c r="Q92" s="48"/>
      <c r="R92" s="48"/>
      <c r="S92" s="48"/>
      <c r="T92" s="48"/>
      <c r="U92" s="48"/>
      <c r="V92" s="48"/>
      <c r="W92" s="48"/>
      <c r="X92" s="48"/>
      <c r="Y92" s="48"/>
      <c r="Z92" s="48"/>
      <c r="AA92" s="48"/>
    </row>
    <row r="93" spans="1:27" ht="15.75" customHeight="1" x14ac:dyDescent="0.2">
      <c r="A93" s="48"/>
      <c r="B93" s="48"/>
      <c r="C93" s="48"/>
      <c r="D93" s="48"/>
      <c r="E93" s="48"/>
      <c r="F93" s="48"/>
      <c r="G93" s="48"/>
      <c r="H93" s="48"/>
      <c r="I93" s="48"/>
      <c r="J93" s="48"/>
      <c r="K93" s="48"/>
      <c r="L93" s="48"/>
      <c r="M93" s="48"/>
      <c r="N93" s="48"/>
      <c r="O93" s="48"/>
      <c r="P93" s="48"/>
      <c r="Q93" s="48"/>
      <c r="R93" s="48"/>
      <c r="S93" s="48"/>
      <c r="T93" s="48"/>
      <c r="U93" s="48"/>
      <c r="V93" s="48"/>
      <c r="W93" s="48"/>
      <c r="X93" s="48"/>
      <c r="Y93" s="48"/>
      <c r="Z93" s="48"/>
      <c r="AA93" s="48"/>
    </row>
    <row r="94" spans="1:27" ht="15.75" customHeight="1" x14ac:dyDescent="0.2">
      <c r="A94" s="48"/>
      <c r="B94" s="48"/>
      <c r="C94" s="48"/>
      <c r="D94" s="48"/>
      <c r="E94" s="48"/>
      <c r="F94" s="48"/>
      <c r="G94" s="48"/>
      <c r="H94" s="48"/>
      <c r="I94" s="48"/>
      <c r="J94" s="48"/>
      <c r="K94" s="48"/>
      <c r="L94" s="48"/>
      <c r="M94" s="48"/>
      <c r="N94" s="48"/>
      <c r="O94" s="48"/>
      <c r="P94" s="48"/>
      <c r="Q94" s="48"/>
      <c r="R94" s="48"/>
      <c r="S94" s="48"/>
      <c r="T94" s="48"/>
      <c r="U94" s="48"/>
      <c r="V94" s="48"/>
      <c r="W94" s="48"/>
      <c r="X94" s="48"/>
      <c r="Y94" s="48"/>
      <c r="Z94" s="48"/>
      <c r="AA94" s="48"/>
    </row>
    <row r="95" spans="1:27" ht="15.75" customHeight="1" x14ac:dyDescent="0.2">
      <c r="A95" s="48"/>
      <c r="B95" s="48"/>
      <c r="C95" s="48"/>
      <c r="D95" s="48"/>
      <c r="E95" s="48"/>
      <c r="F95" s="48"/>
      <c r="G95" s="48"/>
      <c r="H95" s="48"/>
      <c r="I95" s="48"/>
      <c r="J95" s="48"/>
      <c r="K95" s="48"/>
      <c r="L95" s="48"/>
      <c r="M95" s="48"/>
      <c r="N95" s="48"/>
      <c r="O95" s="48"/>
      <c r="P95" s="48"/>
      <c r="Q95" s="48"/>
      <c r="R95" s="48"/>
      <c r="S95" s="48"/>
      <c r="T95" s="48"/>
      <c r="U95" s="48"/>
      <c r="V95" s="48"/>
      <c r="W95" s="48"/>
      <c r="X95" s="48"/>
      <c r="Y95" s="48"/>
      <c r="Z95" s="48"/>
      <c r="AA95" s="48"/>
    </row>
    <row r="96" spans="1:27" ht="15.75" customHeight="1" x14ac:dyDescent="0.2">
      <c r="A96" s="48"/>
      <c r="B96" s="48"/>
      <c r="C96" s="48"/>
      <c r="D96" s="48"/>
      <c r="E96" s="48"/>
      <c r="F96" s="48"/>
      <c r="G96" s="48"/>
      <c r="H96" s="48"/>
      <c r="I96" s="48"/>
      <c r="J96" s="48"/>
      <c r="K96" s="48"/>
      <c r="L96" s="48"/>
      <c r="M96" s="48"/>
      <c r="N96" s="48"/>
      <c r="O96" s="48"/>
      <c r="P96" s="48"/>
      <c r="Q96" s="48"/>
      <c r="R96" s="48"/>
      <c r="S96" s="48"/>
      <c r="T96" s="48"/>
      <c r="U96" s="48"/>
      <c r="V96" s="48"/>
      <c r="W96" s="48"/>
      <c r="X96" s="48"/>
      <c r="Y96" s="48"/>
      <c r="Z96" s="48"/>
      <c r="AA96" s="48"/>
    </row>
    <row r="97" spans="1:27" ht="15.75" customHeight="1" x14ac:dyDescent="0.2">
      <c r="A97" s="48"/>
      <c r="B97" s="48"/>
      <c r="C97" s="48"/>
      <c r="D97" s="48"/>
      <c r="E97" s="48"/>
      <c r="F97" s="48"/>
      <c r="G97" s="48"/>
      <c r="H97" s="48"/>
      <c r="I97" s="48"/>
      <c r="J97" s="48"/>
      <c r="K97" s="48"/>
      <c r="L97" s="48"/>
      <c r="M97" s="48"/>
      <c r="N97" s="48"/>
      <c r="O97" s="48"/>
      <c r="P97" s="48"/>
      <c r="Q97" s="48"/>
      <c r="R97" s="48"/>
      <c r="S97" s="48"/>
      <c r="T97" s="48"/>
      <c r="U97" s="48"/>
      <c r="V97" s="48"/>
      <c r="W97" s="48"/>
      <c r="X97" s="48"/>
      <c r="Y97" s="48"/>
      <c r="Z97" s="48"/>
      <c r="AA97" s="48"/>
    </row>
    <row r="98" spans="1:27" ht="15.75" customHeight="1" x14ac:dyDescent="0.2">
      <c r="A98" s="48"/>
      <c r="B98" s="48"/>
      <c r="C98" s="48"/>
      <c r="D98" s="48"/>
      <c r="E98" s="48"/>
      <c r="F98" s="48"/>
      <c r="G98" s="48"/>
      <c r="H98" s="48"/>
      <c r="I98" s="48"/>
      <c r="J98" s="48"/>
      <c r="K98" s="48"/>
      <c r="L98" s="48"/>
      <c r="M98" s="48"/>
      <c r="N98" s="48"/>
      <c r="O98" s="48"/>
      <c r="P98" s="48"/>
      <c r="Q98" s="48"/>
      <c r="R98" s="48"/>
      <c r="S98" s="48"/>
      <c r="T98" s="48"/>
      <c r="U98" s="48"/>
      <c r="V98" s="48"/>
      <c r="W98" s="48"/>
      <c r="X98" s="48"/>
      <c r="Y98" s="48"/>
      <c r="Z98" s="48"/>
      <c r="AA98" s="48"/>
    </row>
    <row r="99" spans="1:27" ht="15.75" customHeight="1" x14ac:dyDescent="0.2">
      <c r="A99" s="48"/>
      <c r="B99" s="48"/>
      <c r="C99" s="48"/>
      <c r="D99" s="48"/>
      <c r="E99" s="48"/>
      <c r="F99" s="48"/>
      <c r="G99" s="48"/>
      <c r="H99" s="48"/>
      <c r="I99" s="48"/>
      <c r="J99" s="48"/>
      <c r="K99" s="48"/>
      <c r="L99" s="48"/>
      <c r="M99" s="48"/>
      <c r="N99" s="48"/>
      <c r="O99" s="48"/>
      <c r="P99" s="48"/>
      <c r="Q99" s="48"/>
      <c r="R99" s="48"/>
      <c r="S99" s="48"/>
      <c r="T99" s="48"/>
      <c r="U99" s="48"/>
      <c r="V99" s="48"/>
      <c r="W99" s="48"/>
      <c r="X99" s="48"/>
      <c r="Y99" s="48"/>
      <c r="Z99" s="48"/>
      <c r="AA99" s="48"/>
    </row>
    <row r="100" spans="1:27" ht="15.75" customHeight="1" x14ac:dyDescent="0.2">
      <c r="A100" s="48"/>
      <c r="B100" s="48"/>
      <c r="C100" s="48"/>
      <c r="D100" s="48"/>
      <c r="E100" s="48"/>
      <c r="F100" s="48"/>
      <c r="G100" s="48"/>
      <c r="H100" s="48"/>
      <c r="I100" s="48"/>
      <c r="J100" s="48"/>
      <c r="K100" s="48"/>
      <c r="L100" s="48"/>
      <c r="M100" s="48"/>
      <c r="N100" s="48"/>
      <c r="O100" s="48"/>
      <c r="P100" s="48"/>
      <c r="Q100" s="48"/>
      <c r="R100" s="48"/>
      <c r="S100" s="48"/>
      <c r="T100" s="48"/>
      <c r="U100" s="48"/>
      <c r="V100" s="48"/>
      <c r="W100" s="48"/>
      <c r="X100" s="48"/>
      <c r="Y100" s="48"/>
      <c r="Z100" s="48"/>
      <c r="AA100" s="48"/>
    </row>
    <row r="101" spans="1:27" ht="15.75" customHeight="1" x14ac:dyDescent="0.2">
      <c r="A101" s="48"/>
      <c r="B101" s="48"/>
      <c r="C101" s="48"/>
      <c r="D101" s="48"/>
      <c r="E101" s="48"/>
      <c r="F101" s="48"/>
      <c r="G101" s="48"/>
      <c r="H101" s="48"/>
      <c r="I101" s="48"/>
      <c r="J101" s="48"/>
      <c r="K101" s="48"/>
      <c r="L101" s="48"/>
      <c r="M101" s="48"/>
      <c r="N101" s="48"/>
      <c r="O101" s="48"/>
      <c r="P101" s="48"/>
      <c r="Q101" s="48"/>
      <c r="R101" s="48"/>
      <c r="S101" s="48"/>
      <c r="T101" s="48"/>
      <c r="U101" s="48"/>
      <c r="V101" s="48"/>
      <c r="W101" s="48"/>
      <c r="X101" s="48"/>
      <c r="Y101" s="48"/>
      <c r="Z101" s="48"/>
      <c r="AA101" s="48"/>
    </row>
    <row r="102" spans="1:27" ht="15.75" customHeight="1" x14ac:dyDescent="0.2">
      <c r="A102" s="48"/>
      <c r="B102" s="48"/>
      <c r="C102" s="48"/>
      <c r="D102" s="48"/>
      <c r="E102" s="48"/>
      <c r="F102" s="48"/>
      <c r="G102" s="48"/>
      <c r="H102" s="48"/>
      <c r="I102" s="48"/>
      <c r="J102" s="48"/>
      <c r="K102" s="48"/>
      <c r="L102" s="48"/>
      <c r="M102" s="48"/>
      <c r="N102" s="48"/>
      <c r="O102" s="48"/>
      <c r="P102" s="48"/>
      <c r="Q102" s="48"/>
      <c r="R102" s="48"/>
      <c r="S102" s="48"/>
      <c r="T102" s="48"/>
      <c r="U102" s="48"/>
      <c r="V102" s="48"/>
      <c r="W102" s="48"/>
      <c r="X102" s="48"/>
      <c r="Y102" s="48"/>
      <c r="Z102" s="48"/>
      <c r="AA102" s="48"/>
    </row>
    <row r="103" spans="1:27" ht="15.75" customHeight="1" x14ac:dyDescent="0.2">
      <c r="A103" s="48"/>
      <c r="B103" s="48"/>
      <c r="C103" s="48"/>
      <c r="D103" s="48"/>
      <c r="E103" s="48"/>
      <c r="F103" s="48"/>
      <c r="G103" s="48"/>
      <c r="H103" s="48"/>
      <c r="I103" s="48"/>
      <c r="J103" s="48"/>
      <c r="K103" s="48"/>
      <c r="L103" s="48"/>
      <c r="M103" s="48"/>
      <c r="N103" s="48"/>
      <c r="O103" s="48"/>
      <c r="P103" s="48"/>
      <c r="Q103" s="48"/>
      <c r="R103" s="48"/>
      <c r="S103" s="48"/>
      <c r="T103" s="48"/>
      <c r="U103" s="48"/>
      <c r="V103" s="48"/>
      <c r="W103" s="48"/>
      <c r="X103" s="48"/>
      <c r="Y103" s="48"/>
      <c r="Z103" s="48"/>
      <c r="AA103" s="48"/>
    </row>
    <row r="104" spans="1:27" ht="15.75" customHeight="1" x14ac:dyDescent="0.2">
      <c r="A104" s="48"/>
      <c r="B104" s="48"/>
      <c r="C104" s="48"/>
      <c r="D104" s="48"/>
      <c r="E104" s="48"/>
      <c r="F104" s="48"/>
      <c r="G104" s="48"/>
      <c r="H104" s="48"/>
      <c r="I104" s="48"/>
      <c r="J104" s="48"/>
      <c r="K104" s="48"/>
      <c r="L104" s="48"/>
      <c r="M104" s="48"/>
      <c r="N104" s="48"/>
      <c r="O104" s="48"/>
      <c r="P104" s="48"/>
      <c r="Q104" s="48"/>
      <c r="R104" s="48"/>
      <c r="S104" s="48"/>
      <c r="T104" s="48"/>
      <c r="U104" s="48"/>
      <c r="V104" s="48"/>
      <c r="W104" s="48"/>
      <c r="X104" s="48"/>
      <c r="Y104" s="48"/>
      <c r="Z104" s="48"/>
      <c r="AA104" s="48"/>
    </row>
    <row r="105" spans="1:27" ht="15.75" customHeight="1" x14ac:dyDescent="0.2">
      <c r="A105" s="48"/>
      <c r="B105" s="48"/>
      <c r="C105" s="48"/>
      <c r="D105" s="48"/>
      <c r="E105" s="48"/>
      <c r="F105" s="48"/>
      <c r="G105" s="48"/>
      <c r="H105" s="48"/>
      <c r="I105" s="48"/>
      <c r="J105" s="48"/>
      <c r="K105" s="48"/>
      <c r="L105" s="48"/>
      <c r="M105" s="48"/>
      <c r="N105" s="48"/>
      <c r="O105" s="48"/>
      <c r="P105" s="48"/>
      <c r="Q105" s="48"/>
      <c r="R105" s="48"/>
      <c r="S105" s="48"/>
      <c r="T105" s="48"/>
      <c r="U105" s="48"/>
      <c r="V105" s="48"/>
      <c r="W105" s="48"/>
      <c r="X105" s="48"/>
      <c r="Y105" s="48"/>
      <c r="Z105" s="48"/>
      <c r="AA105" s="48"/>
    </row>
    <row r="106" spans="1:27" ht="15.75" customHeight="1" x14ac:dyDescent="0.2">
      <c r="A106" s="48"/>
      <c r="B106" s="48"/>
      <c r="C106" s="48"/>
      <c r="D106" s="48"/>
      <c r="E106" s="48"/>
      <c r="F106" s="48"/>
      <c r="G106" s="48"/>
      <c r="H106" s="48"/>
      <c r="I106" s="48"/>
      <c r="J106" s="48"/>
      <c r="K106" s="48"/>
      <c r="L106" s="48"/>
      <c r="M106" s="48"/>
      <c r="N106" s="48"/>
      <c r="O106" s="48"/>
      <c r="P106" s="48"/>
      <c r="Q106" s="48"/>
      <c r="R106" s="48"/>
      <c r="S106" s="48"/>
      <c r="T106" s="48"/>
      <c r="U106" s="48"/>
      <c r="V106" s="48"/>
      <c r="W106" s="48"/>
      <c r="X106" s="48"/>
      <c r="Y106" s="48"/>
      <c r="Z106" s="48"/>
      <c r="AA106" s="48"/>
    </row>
    <row r="107" spans="1:27" ht="15.75" customHeight="1" x14ac:dyDescent="0.2">
      <c r="A107" s="48"/>
      <c r="B107" s="48"/>
      <c r="C107" s="48"/>
      <c r="D107" s="48"/>
      <c r="E107" s="48"/>
      <c r="F107" s="48"/>
      <c r="G107" s="48"/>
      <c r="H107" s="48"/>
      <c r="I107" s="48"/>
      <c r="J107" s="48"/>
      <c r="K107" s="48"/>
      <c r="L107" s="48"/>
      <c r="M107" s="48"/>
      <c r="N107" s="48"/>
      <c r="O107" s="48"/>
      <c r="P107" s="48"/>
      <c r="Q107" s="48"/>
      <c r="R107" s="48"/>
      <c r="S107" s="48"/>
      <c r="T107" s="48"/>
      <c r="U107" s="48"/>
      <c r="V107" s="48"/>
      <c r="W107" s="48"/>
      <c r="X107" s="48"/>
      <c r="Y107" s="48"/>
      <c r="Z107" s="48"/>
      <c r="AA107" s="48"/>
    </row>
    <row r="108" spans="1:27" ht="15.75" customHeight="1" x14ac:dyDescent="0.2">
      <c r="A108" s="48"/>
      <c r="B108" s="48"/>
      <c r="C108" s="48"/>
      <c r="D108" s="48"/>
      <c r="E108" s="48"/>
      <c r="F108" s="48"/>
      <c r="G108" s="48"/>
      <c r="H108" s="48"/>
      <c r="I108" s="48"/>
      <c r="J108" s="48"/>
      <c r="K108" s="48"/>
      <c r="L108" s="48"/>
      <c r="M108" s="48"/>
      <c r="N108" s="48"/>
      <c r="O108" s="48"/>
      <c r="P108" s="48"/>
      <c r="Q108" s="48"/>
      <c r="R108" s="48"/>
      <c r="S108" s="48"/>
      <c r="T108" s="48"/>
      <c r="U108" s="48"/>
      <c r="V108" s="48"/>
      <c r="W108" s="48"/>
      <c r="X108" s="48"/>
      <c r="Y108" s="48"/>
      <c r="Z108" s="48"/>
      <c r="AA108" s="48"/>
    </row>
    <row r="109" spans="1:27" ht="15.75" customHeight="1" x14ac:dyDescent="0.2">
      <c r="A109" s="48"/>
      <c r="B109" s="48"/>
      <c r="C109" s="48"/>
      <c r="D109" s="48"/>
      <c r="E109" s="48"/>
      <c r="F109" s="48"/>
      <c r="G109" s="48"/>
      <c r="H109" s="48"/>
      <c r="I109" s="48"/>
      <c r="J109" s="48"/>
      <c r="K109" s="48"/>
      <c r="L109" s="48"/>
      <c r="M109" s="48"/>
      <c r="N109" s="48"/>
      <c r="O109" s="48"/>
      <c r="P109" s="48"/>
      <c r="Q109" s="48"/>
      <c r="R109" s="48"/>
      <c r="S109" s="48"/>
      <c r="T109" s="48"/>
      <c r="U109" s="48"/>
      <c r="V109" s="48"/>
      <c r="W109" s="48"/>
      <c r="X109" s="48"/>
      <c r="Y109" s="48"/>
      <c r="Z109" s="48"/>
      <c r="AA109" s="48"/>
    </row>
    <row r="110" spans="1:27" ht="15.75" customHeight="1" x14ac:dyDescent="0.2">
      <c r="A110" s="48"/>
      <c r="B110" s="48"/>
      <c r="C110" s="48"/>
      <c r="D110" s="48"/>
      <c r="E110" s="48"/>
      <c r="F110" s="48"/>
      <c r="G110" s="48"/>
      <c r="H110" s="48"/>
      <c r="I110" s="48"/>
      <c r="J110" s="48"/>
      <c r="K110" s="48"/>
      <c r="L110" s="48"/>
      <c r="M110" s="48"/>
      <c r="N110" s="48"/>
      <c r="O110" s="48"/>
      <c r="P110" s="48"/>
      <c r="Q110" s="48"/>
      <c r="R110" s="48"/>
      <c r="S110" s="48"/>
      <c r="T110" s="48"/>
      <c r="U110" s="48"/>
      <c r="V110" s="48"/>
      <c r="W110" s="48"/>
      <c r="X110" s="48"/>
      <c r="Y110" s="48"/>
      <c r="Z110" s="48"/>
      <c r="AA110" s="48"/>
    </row>
    <row r="111" spans="1:27" ht="15.75" customHeight="1" x14ac:dyDescent="0.2">
      <c r="A111" s="48"/>
      <c r="B111" s="48"/>
      <c r="C111" s="48"/>
      <c r="D111" s="48"/>
      <c r="E111" s="48"/>
      <c r="F111" s="48"/>
      <c r="G111" s="48"/>
      <c r="H111" s="48"/>
      <c r="I111" s="48"/>
      <c r="J111" s="48"/>
      <c r="K111" s="48"/>
      <c r="L111" s="48"/>
      <c r="M111" s="48"/>
      <c r="N111" s="48"/>
      <c r="O111" s="48"/>
      <c r="P111" s="48"/>
      <c r="Q111" s="48"/>
      <c r="R111" s="48"/>
      <c r="S111" s="48"/>
      <c r="T111" s="48"/>
      <c r="U111" s="48"/>
      <c r="V111" s="48"/>
      <c r="W111" s="48"/>
      <c r="X111" s="48"/>
      <c r="Y111" s="48"/>
      <c r="Z111" s="48"/>
      <c r="AA111" s="48"/>
    </row>
    <row r="112" spans="1:27" ht="15.75" customHeight="1" x14ac:dyDescent="0.2">
      <c r="A112" s="48"/>
      <c r="B112" s="48"/>
      <c r="C112" s="48"/>
      <c r="D112" s="48"/>
      <c r="E112" s="48"/>
      <c r="F112" s="48"/>
      <c r="G112" s="48"/>
      <c r="H112" s="48"/>
      <c r="I112" s="48"/>
      <c r="J112" s="48"/>
      <c r="K112" s="48"/>
      <c r="L112" s="48"/>
      <c r="M112" s="48"/>
      <c r="N112" s="48"/>
      <c r="O112" s="48"/>
      <c r="P112" s="48"/>
      <c r="Q112" s="48"/>
      <c r="R112" s="48"/>
      <c r="S112" s="48"/>
      <c r="T112" s="48"/>
      <c r="U112" s="48"/>
      <c r="V112" s="48"/>
      <c r="W112" s="48"/>
      <c r="X112" s="48"/>
      <c r="Y112" s="48"/>
      <c r="Z112" s="48"/>
      <c r="AA112" s="48"/>
    </row>
    <row r="113" spans="1:27" ht="15.75" customHeight="1" x14ac:dyDescent="0.2">
      <c r="A113" s="48"/>
      <c r="B113" s="48"/>
      <c r="C113" s="48"/>
      <c r="D113" s="48"/>
      <c r="E113" s="48"/>
      <c r="F113" s="48"/>
      <c r="G113" s="48"/>
      <c r="H113" s="48"/>
      <c r="I113" s="48"/>
      <c r="J113" s="48"/>
      <c r="K113" s="48"/>
      <c r="L113" s="48"/>
      <c r="M113" s="48"/>
      <c r="N113" s="48"/>
      <c r="O113" s="48"/>
      <c r="P113" s="48"/>
      <c r="Q113" s="48"/>
      <c r="R113" s="48"/>
      <c r="S113" s="48"/>
      <c r="T113" s="48"/>
      <c r="U113" s="48"/>
      <c r="V113" s="48"/>
      <c r="W113" s="48"/>
      <c r="X113" s="48"/>
      <c r="Y113" s="48"/>
      <c r="Z113" s="48"/>
      <c r="AA113" s="48"/>
    </row>
    <row r="114" spans="1:27" ht="15.75" customHeight="1" x14ac:dyDescent="0.2">
      <c r="A114" s="48"/>
      <c r="B114" s="48"/>
      <c r="C114" s="48"/>
      <c r="D114" s="48"/>
      <c r="E114" s="48"/>
      <c r="F114" s="48"/>
      <c r="G114" s="48"/>
      <c r="H114" s="48"/>
      <c r="I114" s="48"/>
      <c r="J114" s="48"/>
      <c r="K114" s="48"/>
      <c r="L114" s="48"/>
      <c r="M114" s="48"/>
      <c r="N114" s="48"/>
      <c r="O114" s="48"/>
      <c r="P114" s="48"/>
      <c r="Q114" s="48"/>
      <c r="R114" s="48"/>
      <c r="S114" s="48"/>
      <c r="T114" s="48"/>
      <c r="U114" s="48"/>
      <c r="V114" s="48"/>
      <c r="W114" s="48"/>
      <c r="X114" s="48"/>
      <c r="Y114" s="48"/>
      <c r="Z114" s="48"/>
      <c r="AA114" s="48"/>
    </row>
    <row r="115" spans="1:27" ht="15.75" customHeight="1" x14ac:dyDescent="0.2">
      <c r="A115" s="48"/>
      <c r="B115" s="48"/>
      <c r="C115" s="48"/>
      <c r="D115" s="48"/>
      <c r="E115" s="48"/>
      <c r="F115" s="48"/>
      <c r="G115" s="48"/>
      <c r="H115" s="48"/>
      <c r="I115" s="48"/>
      <c r="J115" s="48"/>
      <c r="K115" s="48"/>
      <c r="L115" s="48"/>
      <c r="M115" s="48"/>
      <c r="N115" s="48"/>
      <c r="O115" s="48"/>
      <c r="P115" s="48"/>
      <c r="Q115" s="48"/>
      <c r="R115" s="48"/>
      <c r="S115" s="48"/>
      <c r="T115" s="48"/>
      <c r="U115" s="48"/>
      <c r="V115" s="48"/>
      <c r="W115" s="48"/>
      <c r="X115" s="48"/>
      <c r="Y115" s="48"/>
      <c r="Z115" s="48"/>
      <c r="AA115" s="48"/>
    </row>
    <row r="116" spans="1:27" ht="15.75" customHeight="1" x14ac:dyDescent="0.2">
      <c r="A116" s="48"/>
      <c r="B116" s="48"/>
      <c r="C116" s="48"/>
      <c r="D116" s="48"/>
      <c r="E116" s="48"/>
      <c r="F116" s="48"/>
      <c r="G116" s="48"/>
      <c r="H116" s="48"/>
      <c r="I116" s="48"/>
      <c r="J116" s="48"/>
      <c r="K116" s="48"/>
      <c r="L116" s="48"/>
      <c r="M116" s="48"/>
      <c r="N116" s="48"/>
      <c r="O116" s="48"/>
      <c r="P116" s="48"/>
      <c r="Q116" s="48"/>
      <c r="R116" s="48"/>
      <c r="S116" s="48"/>
      <c r="T116" s="48"/>
      <c r="U116" s="48"/>
      <c r="V116" s="48"/>
      <c r="W116" s="48"/>
      <c r="X116" s="48"/>
      <c r="Y116" s="48"/>
      <c r="Z116" s="48"/>
      <c r="AA116" s="48"/>
    </row>
    <row r="117" spans="1:27" ht="15.75" customHeight="1" x14ac:dyDescent="0.2">
      <c r="A117" s="48"/>
      <c r="B117" s="48"/>
      <c r="C117" s="48"/>
      <c r="D117" s="48"/>
      <c r="E117" s="48"/>
      <c r="F117" s="48"/>
      <c r="G117" s="48"/>
      <c r="H117" s="48"/>
      <c r="I117" s="48"/>
      <c r="J117" s="48"/>
      <c r="K117" s="48"/>
      <c r="L117" s="48"/>
      <c r="M117" s="48"/>
      <c r="N117" s="48"/>
      <c r="O117" s="48"/>
      <c r="P117" s="48"/>
      <c r="Q117" s="48"/>
      <c r="R117" s="48"/>
      <c r="S117" s="48"/>
      <c r="T117" s="48"/>
      <c r="U117" s="48"/>
      <c r="V117" s="48"/>
      <c r="W117" s="48"/>
      <c r="X117" s="48"/>
      <c r="Y117" s="48"/>
      <c r="Z117" s="48"/>
      <c r="AA117" s="48"/>
    </row>
    <row r="118" spans="1:27" ht="15.75" customHeight="1" x14ac:dyDescent="0.2">
      <c r="A118" s="48"/>
      <c r="B118" s="48"/>
      <c r="C118" s="48"/>
      <c r="D118" s="48"/>
      <c r="E118" s="48"/>
      <c r="F118" s="48"/>
      <c r="G118" s="48"/>
      <c r="H118" s="48"/>
      <c r="I118" s="48"/>
      <c r="J118" s="48"/>
      <c r="K118" s="48"/>
      <c r="L118" s="48"/>
      <c r="M118" s="48"/>
      <c r="N118" s="48"/>
      <c r="O118" s="48"/>
      <c r="P118" s="48"/>
      <c r="Q118" s="48"/>
      <c r="R118" s="48"/>
      <c r="S118" s="48"/>
      <c r="T118" s="48"/>
      <c r="U118" s="48"/>
      <c r="V118" s="48"/>
      <c r="W118" s="48"/>
      <c r="X118" s="48"/>
      <c r="Y118" s="48"/>
      <c r="Z118" s="48"/>
      <c r="AA118" s="48"/>
    </row>
    <row r="119" spans="1:27" ht="15.75" customHeight="1" x14ac:dyDescent="0.2">
      <c r="A119" s="48"/>
      <c r="B119" s="48"/>
      <c r="C119" s="48"/>
      <c r="D119" s="48"/>
      <c r="E119" s="48"/>
      <c r="F119" s="48"/>
      <c r="G119" s="48"/>
      <c r="H119" s="48"/>
      <c r="I119" s="48"/>
      <c r="J119" s="48"/>
      <c r="K119" s="48"/>
      <c r="L119" s="48"/>
      <c r="M119" s="48"/>
      <c r="N119" s="48"/>
      <c r="O119" s="48"/>
      <c r="P119" s="48"/>
      <c r="Q119" s="48"/>
      <c r="R119" s="48"/>
      <c r="S119" s="48"/>
      <c r="T119" s="48"/>
      <c r="U119" s="48"/>
      <c r="V119" s="48"/>
      <c r="W119" s="48"/>
      <c r="X119" s="48"/>
      <c r="Y119" s="48"/>
      <c r="Z119" s="48"/>
      <c r="AA119" s="48"/>
    </row>
    <row r="120" spans="1:27" ht="15.75" customHeight="1" x14ac:dyDescent="0.2">
      <c r="A120" s="48"/>
      <c r="B120" s="48"/>
      <c r="C120" s="48"/>
      <c r="D120" s="48"/>
      <c r="E120" s="48"/>
      <c r="F120" s="48"/>
      <c r="G120" s="48"/>
      <c r="H120" s="48"/>
      <c r="I120" s="48"/>
      <c r="J120" s="48"/>
      <c r="K120" s="48"/>
      <c r="L120" s="48"/>
      <c r="M120" s="48"/>
      <c r="N120" s="48"/>
      <c r="O120" s="48"/>
      <c r="P120" s="48"/>
      <c r="Q120" s="48"/>
      <c r="R120" s="48"/>
      <c r="S120" s="48"/>
      <c r="T120" s="48"/>
      <c r="U120" s="48"/>
      <c r="V120" s="48"/>
      <c r="W120" s="48"/>
      <c r="X120" s="48"/>
      <c r="Y120" s="48"/>
      <c r="Z120" s="48"/>
      <c r="AA120" s="48"/>
    </row>
    <row r="121" spans="1:27" ht="15.75" customHeight="1" x14ac:dyDescent="0.2">
      <c r="A121" s="48"/>
      <c r="B121" s="48"/>
      <c r="C121" s="48"/>
      <c r="D121" s="48"/>
      <c r="E121" s="48"/>
      <c r="F121" s="48"/>
      <c r="G121" s="48"/>
      <c r="H121" s="48"/>
      <c r="I121" s="48"/>
      <c r="J121" s="48"/>
      <c r="K121" s="48"/>
      <c r="L121" s="48"/>
      <c r="M121" s="48"/>
      <c r="N121" s="48"/>
      <c r="O121" s="48"/>
      <c r="P121" s="48"/>
      <c r="Q121" s="48"/>
      <c r="R121" s="48"/>
      <c r="S121" s="48"/>
      <c r="T121" s="48"/>
      <c r="U121" s="48"/>
      <c r="V121" s="48"/>
      <c r="W121" s="48"/>
      <c r="X121" s="48"/>
      <c r="Y121" s="48"/>
      <c r="Z121" s="48"/>
      <c r="AA121" s="48"/>
    </row>
    <row r="122" spans="1:27" ht="15.75" customHeight="1" x14ac:dyDescent="0.2">
      <c r="A122" s="48"/>
      <c r="B122" s="48"/>
      <c r="C122" s="48"/>
      <c r="D122" s="48"/>
      <c r="E122" s="48"/>
      <c r="F122" s="48"/>
      <c r="G122" s="48"/>
      <c r="H122" s="48"/>
      <c r="I122" s="48"/>
      <c r="J122" s="48"/>
      <c r="K122" s="48"/>
      <c r="L122" s="48"/>
      <c r="M122" s="48"/>
      <c r="N122" s="48"/>
      <c r="O122" s="48"/>
      <c r="P122" s="48"/>
      <c r="Q122" s="48"/>
      <c r="R122" s="48"/>
      <c r="S122" s="48"/>
      <c r="T122" s="48"/>
      <c r="U122" s="48"/>
      <c r="V122" s="48"/>
      <c r="W122" s="48"/>
      <c r="X122" s="48"/>
      <c r="Y122" s="48"/>
      <c r="Z122" s="48"/>
      <c r="AA122" s="48"/>
    </row>
    <row r="123" spans="1:27" ht="15.75" customHeight="1" x14ac:dyDescent="0.2">
      <c r="A123" s="48"/>
      <c r="B123" s="48"/>
      <c r="C123" s="48"/>
      <c r="D123" s="48"/>
      <c r="E123" s="48"/>
      <c r="F123" s="48"/>
      <c r="G123" s="48"/>
      <c r="H123" s="48"/>
      <c r="I123" s="48"/>
      <c r="J123" s="48"/>
      <c r="K123" s="48"/>
      <c r="L123" s="48"/>
      <c r="M123" s="48"/>
      <c r="N123" s="48"/>
      <c r="O123" s="48"/>
      <c r="P123" s="48"/>
      <c r="Q123" s="48"/>
      <c r="R123" s="48"/>
      <c r="S123" s="48"/>
      <c r="T123" s="48"/>
      <c r="U123" s="48"/>
      <c r="V123" s="48"/>
      <c r="W123" s="48"/>
      <c r="X123" s="48"/>
      <c r="Y123" s="48"/>
      <c r="Z123" s="48"/>
      <c r="AA123" s="48"/>
    </row>
    <row r="124" spans="1:27" ht="15.75" customHeight="1" x14ac:dyDescent="0.2">
      <c r="A124" s="48"/>
      <c r="B124" s="48"/>
      <c r="C124" s="48"/>
      <c r="D124" s="48"/>
      <c r="E124" s="48"/>
      <c r="F124" s="48"/>
      <c r="G124" s="48"/>
      <c r="H124" s="48"/>
      <c r="I124" s="48"/>
      <c r="J124" s="48"/>
      <c r="K124" s="48"/>
      <c r="L124" s="48"/>
      <c r="M124" s="48"/>
      <c r="N124" s="48"/>
      <c r="O124" s="48"/>
      <c r="P124" s="48"/>
      <c r="Q124" s="48"/>
      <c r="R124" s="48"/>
      <c r="S124" s="48"/>
      <c r="T124" s="48"/>
      <c r="U124" s="48"/>
      <c r="V124" s="48"/>
      <c r="W124" s="48"/>
      <c r="X124" s="48"/>
      <c r="Y124" s="48"/>
      <c r="Z124" s="48"/>
      <c r="AA124" s="48"/>
    </row>
    <row r="125" spans="1:27" ht="15.75" customHeight="1" x14ac:dyDescent="0.2">
      <c r="A125" s="48"/>
      <c r="B125" s="48"/>
      <c r="C125" s="48"/>
      <c r="D125" s="48"/>
      <c r="E125" s="48"/>
      <c r="F125" s="48"/>
      <c r="G125" s="48"/>
      <c r="H125" s="48"/>
      <c r="I125" s="48"/>
      <c r="J125" s="48"/>
      <c r="K125" s="48"/>
      <c r="L125" s="48"/>
      <c r="M125" s="48"/>
      <c r="N125" s="48"/>
      <c r="O125" s="48"/>
      <c r="P125" s="48"/>
      <c r="Q125" s="48"/>
      <c r="R125" s="48"/>
      <c r="S125" s="48"/>
      <c r="T125" s="48"/>
      <c r="U125" s="48"/>
      <c r="V125" s="48"/>
      <c r="W125" s="48"/>
      <c r="X125" s="48"/>
      <c r="Y125" s="48"/>
      <c r="Z125" s="48"/>
      <c r="AA125" s="48"/>
    </row>
    <row r="126" spans="1:27" ht="15.75" customHeight="1" x14ac:dyDescent="0.2">
      <c r="A126" s="48"/>
      <c r="B126" s="48"/>
      <c r="C126" s="48"/>
      <c r="D126" s="48"/>
      <c r="E126" s="48"/>
      <c r="F126" s="48"/>
      <c r="G126" s="48"/>
      <c r="H126" s="48"/>
      <c r="I126" s="48"/>
      <c r="J126" s="48"/>
      <c r="K126" s="48"/>
      <c r="L126" s="48"/>
      <c r="M126" s="48"/>
      <c r="N126" s="48"/>
      <c r="O126" s="48"/>
      <c r="P126" s="48"/>
      <c r="Q126" s="48"/>
      <c r="R126" s="48"/>
      <c r="S126" s="48"/>
      <c r="T126" s="48"/>
      <c r="U126" s="48"/>
      <c r="V126" s="48"/>
      <c r="W126" s="48"/>
      <c r="X126" s="48"/>
      <c r="Y126" s="48"/>
      <c r="Z126" s="48"/>
      <c r="AA126" s="48"/>
    </row>
    <row r="127" spans="1:27" ht="15.75" customHeight="1" x14ac:dyDescent="0.2">
      <c r="A127" s="48"/>
      <c r="B127" s="48"/>
      <c r="C127" s="48"/>
      <c r="D127" s="48"/>
      <c r="E127" s="48"/>
      <c r="F127" s="48"/>
      <c r="G127" s="48"/>
      <c r="H127" s="48"/>
      <c r="I127" s="48"/>
      <c r="J127" s="48"/>
      <c r="K127" s="48"/>
      <c r="L127" s="48"/>
      <c r="M127" s="48"/>
      <c r="N127" s="48"/>
      <c r="O127" s="48"/>
      <c r="P127" s="48"/>
      <c r="Q127" s="48"/>
      <c r="R127" s="48"/>
      <c r="S127" s="48"/>
      <c r="T127" s="48"/>
      <c r="U127" s="48"/>
      <c r="V127" s="48"/>
      <c r="W127" s="48"/>
      <c r="X127" s="48"/>
      <c r="Y127" s="48"/>
      <c r="Z127" s="48"/>
      <c r="AA127" s="48"/>
    </row>
    <row r="128" spans="1:27" ht="15.75" customHeight="1" x14ac:dyDescent="0.2">
      <c r="A128" s="48"/>
      <c r="B128" s="48"/>
      <c r="C128" s="48"/>
      <c r="D128" s="48"/>
      <c r="E128" s="48"/>
      <c r="F128" s="48"/>
      <c r="G128" s="48"/>
      <c r="H128" s="48"/>
      <c r="I128" s="48"/>
      <c r="J128" s="48"/>
      <c r="K128" s="48"/>
      <c r="L128" s="48"/>
      <c r="M128" s="48"/>
      <c r="N128" s="48"/>
      <c r="O128" s="48"/>
      <c r="P128" s="48"/>
      <c r="Q128" s="48"/>
      <c r="R128" s="48"/>
      <c r="S128" s="48"/>
      <c r="T128" s="48"/>
      <c r="U128" s="48"/>
      <c r="V128" s="48"/>
      <c r="W128" s="48"/>
      <c r="X128" s="48"/>
      <c r="Y128" s="48"/>
      <c r="Z128" s="48"/>
      <c r="AA128" s="48"/>
    </row>
    <row r="129" spans="1:27" ht="15.75" customHeight="1" x14ac:dyDescent="0.2">
      <c r="A129" s="48"/>
      <c r="B129" s="48"/>
      <c r="C129" s="48"/>
      <c r="D129" s="48"/>
      <c r="E129" s="48"/>
      <c r="F129" s="48"/>
      <c r="G129" s="48"/>
      <c r="H129" s="48"/>
      <c r="I129" s="48"/>
      <c r="J129" s="48"/>
      <c r="K129" s="48"/>
      <c r="L129" s="48"/>
      <c r="M129" s="48"/>
      <c r="N129" s="48"/>
      <c r="O129" s="48"/>
      <c r="P129" s="48"/>
      <c r="Q129" s="48"/>
      <c r="R129" s="48"/>
      <c r="S129" s="48"/>
      <c r="T129" s="48"/>
      <c r="U129" s="48"/>
      <c r="V129" s="48"/>
      <c r="W129" s="48"/>
      <c r="X129" s="48"/>
      <c r="Y129" s="48"/>
      <c r="Z129" s="48"/>
      <c r="AA129" s="48"/>
    </row>
    <row r="130" spans="1:27" ht="15.75" customHeight="1" x14ac:dyDescent="0.2">
      <c r="A130" s="48"/>
      <c r="B130" s="48"/>
      <c r="C130" s="48"/>
      <c r="D130" s="48"/>
      <c r="E130" s="48"/>
      <c r="F130" s="48"/>
      <c r="G130" s="48"/>
      <c r="H130" s="48"/>
      <c r="I130" s="48"/>
      <c r="J130" s="48"/>
      <c r="K130" s="48"/>
      <c r="L130" s="48"/>
      <c r="M130" s="48"/>
      <c r="N130" s="48"/>
      <c r="O130" s="48"/>
      <c r="P130" s="48"/>
      <c r="Q130" s="48"/>
      <c r="R130" s="48"/>
      <c r="S130" s="48"/>
      <c r="T130" s="48"/>
      <c r="U130" s="48"/>
      <c r="V130" s="48"/>
      <c r="W130" s="48"/>
      <c r="X130" s="48"/>
      <c r="Y130" s="48"/>
      <c r="Z130" s="48"/>
      <c r="AA130" s="48"/>
    </row>
    <row r="131" spans="1:27" ht="15.75" customHeight="1" x14ac:dyDescent="0.2">
      <c r="A131" s="48"/>
      <c r="B131" s="48"/>
      <c r="C131" s="48"/>
      <c r="D131" s="48"/>
      <c r="E131" s="48"/>
      <c r="F131" s="48"/>
      <c r="G131" s="48"/>
      <c r="H131" s="48"/>
      <c r="I131" s="48"/>
      <c r="J131" s="48"/>
      <c r="K131" s="48"/>
      <c r="L131" s="48"/>
      <c r="M131" s="48"/>
      <c r="N131" s="48"/>
      <c r="O131" s="48"/>
      <c r="P131" s="48"/>
      <c r="Q131" s="48"/>
      <c r="R131" s="48"/>
      <c r="S131" s="48"/>
      <c r="T131" s="48"/>
      <c r="U131" s="48"/>
      <c r="V131" s="48"/>
      <c r="W131" s="48"/>
      <c r="X131" s="48"/>
      <c r="Y131" s="48"/>
      <c r="Z131" s="48"/>
      <c r="AA131" s="48"/>
    </row>
    <row r="132" spans="1:27" ht="15.75" customHeight="1" x14ac:dyDescent="0.2">
      <c r="A132" s="48"/>
      <c r="B132" s="48"/>
      <c r="C132" s="48"/>
      <c r="D132" s="48"/>
      <c r="E132" s="48"/>
      <c r="F132" s="48"/>
      <c r="G132" s="48"/>
      <c r="H132" s="48"/>
      <c r="I132" s="48"/>
      <c r="J132" s="48"/>
      <c r="K132" s="48"/>
      <c r="L132" s="48"/>
      <c r="M132" s="48"/>
      <c r="N132" s="48"/>
      <c r="O132" s="48"/>
      <c r="P132" s="48"/>
      <c r="Q132" s="48"/>
      <c r="R132" s="48"/>
      <c r="S132" s="48"/>
      <c r="T132" s="48"/>
      <c r="U132" s="48"/>
      <c r="V132" s="48"/>
      <c r="W132" s="48"/>
      <c r="X132" s="48"/>
      <c r="Y132" s="48"/>
      <c r="Z132" s="48"/>
      <c r="AA132" s="48"/>
    </row>
    <row r="133" spans="1:27" ht="15.75" customHeight="1" x14ac:dyDescent="0.2">
      <c r="A133" s="48"/>
      <c r="B133" s="48"/>
      <c r="C133" s="48"/>
      <c r="D133" s="48"/>
      <c r="E133" s="48"/>
      <c r="F133" s="48"/>
      <c r="G133" s="48"/>
      <c r="H133" s="48"/>
      <c r="I133" s="48"/>
      <c r="J133" s="48"/>
      <c r="K133" s="48"/>
      <c r="L133" s="48"/>
      <c r="M133" s="48"/>
      <c r="N133" s="48"/>
      <c r="O133" s="48"/>
      <c r="P133" s="48"/>
      <c r="Q133" s="48"/>
      <c r="R133" s="48"/>
      <c r="S133" s="48"/>
      <c r="T133" s="48"/>
      <c r="U133" s="48"/>
      <c r="V133" s="48"/>
      <c r="W133" s="48"/>
      <c r="X133" s="48"/>
      <c r="Y133" s="48"/>
      <c r="Z133" s="48"/>
      <c r="AA133" s="48"/>
    </row>
    <row r="134" spans="1:27" ht="15.75" customHeight="1" x14ac:dyDescent="0.2">
      <c r="A134" s="48"/>
      <c r="B134" s="48"/>
      <c r="C134" s="48"/>
      <c r="D134" s="48"/>
      <c r="E134" s="48"/>
      <c r="F134" s="48"/>
      <c r="G134" s="48"/>
      <c r="H134" s="48"/>
      <c r="I134" s="48"/>
      <c r="J134" s="48"/>
      <c r="K134" s="48"/>
      <c r="L134" s="48"/>
      <c r="M134" s="48"/>
      <c r="N134" s="48"/>
      <c r="O134" s="48"/>
      <c r="P134" s="48"/>
      <c r="Q134" s="48"/>
      <c r="R134" s="48"/>
      <c r="S134" s="48"/>
      <c r="T134" s="48"/>
      <c r="U134" s="48"/>
      <c r="V134" s="48"/>
      <c r="W134" s="48"/>
      <c r="X134" s="48"/>
      <c r="Y134" s="48"/>
      <c r="Z134" s="48"/>
      <c r="AA134" s="48"/>
    </row>
    <row r="135" spans="1:27" ht="15.75" customHeight="1" x14ac:dyDescent="0.2">
      <c r="A135" s="48"/>
      <c r="B135" s="48"/>
      <c r="C135" s="48"/>
      <c r="D135" s="48"/>
      <c r="E135" s="48"/>
      <c r="F135" s="48"/>
      <c r="G135" s="48"/>
      <c r="H135" s="48"/>
      <c r="I135" s="48"/>
      <c r="J135" s="48"/>
      <c r="K135" s="48"/>
      <c r="L135" s="48"/>
      <c r="M135" s="48"/>
      <c r="N135" s="48"/>
      <c r="O135" s="48"/>
      <c r="P135" s="48"/>
      <c r="Q135" s="48"/>
      <c r="R135" s="48"/>
      <c r="S135" s="48"/>
      <c r="T135" s="48"/>
      <c r="U135" s="48"/>
      <c r="V135" s="48"/>
      <c r="W135" s="48"/>
      <c r="X135" s="48"/>
      <c r="Y135" s="48"/>
      <c r="Z135" s="48"/>
      <c r="AA135" s="48"/>
    </row>
    <row r="136" spans="1:27" ht="15.75" customHeight="1" x14ac:dyDescent="0.2">
      <c r="A136" s="48"/>
      <c r="B136" s="48"/>
      <c r="C136" s="48"/>
      <c r="D136" s="48"/>
      <c r="E136" s="48"/>
      <c r="F136" s="48"/>
      <c r="G136" s="48"/>
      <c r="H136" s="48"/>
      <c r="I136" s="48"/>
      <c r="J136" s="48"/>
      <c r="K136" s="48"/>
      <c r="L136" s="48"/>
      <c r="M136" s="48"/>
      <c r="N136" s="48"/>
      <c r="O136" s="48"/>
      <c r="P136" s="48"/>
      <c r="Q136" s="48"/>
      <c r="R136" s="48"/>
      <c r="S136" s="48"/>
      <c r="T136" s="48"/>
      <c r="U136" s="48"/>
      <c r="V136" s="48"/>
      <c r="W136" s="48"/>
      <c r="X136" s="48"/>
      <c r="Y136" s="48"/>
      <c r="Z136" s="48"/>
      <c r="AA136" s="48"/>
    </row>
    <row r="137" spans="1:27" ht="15.75" customHeight="1" x14ac:dyDescent="0.2">
      <c r="A137" s="48"/>
      <c r="B137" s="48"/>
      <c r="C137" s="48"/>
      <c r="D137" s="48"/>
      <c r="E137" s="48"/>
      <c r="F137" s="48"/>
      <c r="G137" s="48"/>
      <c r="H137" s="48"/>
      <c r="I137" s="48"/>
      <c r="J137" s="48"/>
      <c r="K137" s="48"/>
      <c r="L137" s="48"/>
      <c r="M137" s="48"/>
      <c r="N137" s="48"/>
      <c r="O137" s="48"/>
      <c r="P137" s="48"/>
      <c r="Q137" s="48"/>
      <c r="R137" s="48"/>
      <c r="S137" s="48"/>
      <c r="T137" s="48"/>
      <c r="U137" s="48"/>
      <c r="V137" s="48"/>
      <c r="W137" s="48"/>
      <c r="X137" s="48"/>
      <c r="Y137" s="48"/>
      <c r="Z137" s="48"/>
      <c r="AA137" s="48"/>
    </row>
    <row r="138" spans="1:27" ht="15.75" customHeight="1" x14ac:dyDescent="0.2">
      <c r="A138" s="48"/>
      <c r="B138" s="48"/>
      <c r="C138" s="48"/>
      <c r="D138" s="48"/>
      <c r="E138" s="48"/>
      <c r="F138" s="48"/>
      <c r="G138" s="48"/>
      <c r="H138" s="48"/>
      <c r="I138" s="48"/>
      <c r="J138" s="48"/>
      <c r="K138" s="48"/>
      <c r="L138" s="48"/>
      <c r="M138" s="48"/>
      <c r="N138" s="48"/>
      <c r="O138" s="48"/>
      <c r="P138" s="48"/>
      <c r="Q138" s="48"/>
      <c r="R138" s="48"/>
      <c r="S138" s="48"/>
      <c r="T138" s="48"/>
      <c r="U138" s="48"/>
      <c r="V138" s="48"/>
      <c r="W138" s="48"/>
      <c r="X138" s="48"/>
      <c r="Y138" s="48"/>
      <c r="Z138" s="48"/>
      <c r="AA138" s="48"/>
    </row>
    <row r="139" spans="1:27" ht="15.75" customHeight="1" x14ac:dyDescent="0.2">
      <c r="A139" s="48"/>
      <c r="B139" s="48"/>
      <c r="C139" s="48"/>
      <c r="D139" s="48"/>
      <c r="E139" s="48"/>
      <c r="F139" s="48"/>
      <c r="G139" s="48"/>
      <c r="H139" s="48"/>
      <c r="I139" s="48"/>
      <c r="J139" s="48"/>
      <c r="K139" s="48"/>
      <c r="L139" s="48"/>
      <c r="M139" s="48"/>
      <c r="N139" s="48"/>
      <c r="O139" s="48"/>
      <c r="P139" s="48"/>
      <c r="Q139" s="48"/>
      <c r="R139" s="48"/>
      <c r="S139" s="48"/>
      <c r="T139" s="48"/>
      <c r="U139" s="48"/>
      <c r="V139" s="48"/>
      <c r="W139" s="48"/>
      <c r="X139" s="48"/>
      <c r="Y139" s="48"/>
      <c r="Z139" s="48"/>
      <c r="AA139" s="48"/>
    </row>
    <row r="140" spans="1:27" ht="15.75" customHeight="1" x14ac:dyDescent="0.2">
      <c r="A140" s="48"/>
      <c r="B140" s="48"/>
      <c r="C140" s="48"/>
      <c r="D140" s="48"/>
      <c r="E140" s="48"/>
      <c r="F140" s="48"/>
      <c r="G140" s="48"/>
      <c r="H140" s="48"/>
      <c r="I140" s="48"/>
      <c r="J140" s="48"/>
      <c r="K140" s="48"/>
      <c r="L140" s="48"/>
      <c r="M140" s="48"/>
      <c r="N140" s="48"/>
      <c r="O140" s="48"/>
      <c r="P140" s="48"/>
      <c r="Q140" s="48"/>
      <c r="R140" s="48"/>
      <c r="S140" s="48"/>
      <c r="T140" s="48"/>
      <c r="U140" s="48"/>
      <c r="V140" s="48"/>
      <c r="W140" s="48"/>
      <c r="X140" s="48"/>
      <c r="Y140" s="48"/>
      <c r="Z140" s="48"/>
      <c r="AA140" s="48"/>
    </row>
    <row r="141" spans="1:27" ht="15.75" customHeight="1" x14ac:dyDescent="0.2">
      <c r="A141" s="48"/>
      <c r="B141" s="48"/>
      <c r="C141" s="48"/>
      <c r="D141" s="48"/>
      <c r="E141" s="48"/>
      <c r="F141" s="48"/>
      <c r="G141" s="48"/>
      <c r="H141" s="48"/>
      <c r="I141" s="48"/>
      <c r="J141" s="48"/>
      <c r="K141" s="48"/>
      <c r="L141" s="48"/>
      <c r="M141" s="48"/>
      <c r="N141" s="48"/>
      <c r="O141" s="48"/>
      <c r="P141" s="48"/>
      <c r="Q141" s="48"/>
      <c r="R141" s="48"/>
      <c r="S141" s="48"/>
      <c r="T141" s="48"/>
      <c r="U141" s="48"/>
      <c r="V141" s="48"/>
      <c r="W141" s="48"/>
      <c r="X141" s="48"/>
      <c r="Y141" s="48"/>
      <c r="Z141" s="48"/>
      <c r="AA141" s="48"/>
    </row>
    <row r="142" spans="1:27" ht="15.75" customHeight="1" x14ac:dyDescent="0.2">
      <c r="A142" s="48"/>
      <c r="B142" s="48"/>
      <c r="C142" s="48"/>
      <c r="D142" s="48"/>
      <c r="E142" s="48"/>
      <c r="F142" s="48"/>
      <c r="G142" s="48"/>
      <c r="H142" s="48"/>
      <c r="I142" s="48"/>
      <c r="J142" s="48"/>
      <c r="K142" s="48"/>
      <c r="L142" s="48"/>
      <c r="M142" s="48"/>
      <c r="N142" s="48"/>
      <c r="O142" s="48"/>
      <c r="P142" s="48"/>
      <c r="Q142" s="48"/>
      <c r="R142" s="48"/>
      <c r="S142" s="48"/>
      <c r="T142" s="48"/>
      <c r="U142" s="48"/>
      <c r="V142" s="48"/>
      <c r="W142" s="48"/>
      <c r="X142" s="48"/>
      <c r="Y142" s="48"/>
      <c r="Z142" s="48"/>
      <c r="AA142" s="48"/>
    </row>
    <row r="143" spans="1:27" ht="15.75" customHeight="1" x14ac:dyDescent="0.2">
      <c r="A143" s="48"/>
      <c r="B143" s="48"/>
      <c r="C143" s="48"/>
      <c r="D143" s="48"/>
      <c r="E143" s="48"/>
      <c r="F143" s="48"/>
      <c r="G143" s="48"/>
      <c r="H143" s="48"/>
      <c r="I143" s="48"/>
      <c r="J143" s="48"/>
      <c r="K143" s="48"/>
      <c r="L143" s="48"/>
      <c r="M143" s="48"/>
      <c r="N143" s="48"/>
      <c r="O143" s="48"/>
      <c r="P143" s="48"/>
      <c r="Q143" s="48"/>
      <c r="R143" s="48"/>
      <c r="S143" s="48"/>
      <c r="T143" s="48"/>
      <c r="U143" s="48"/>
      <c r="V143" s="48"/>
      <c r="W143" s="48"/>
      <c r="X143" s="48"/>
      <c r="Y143" s="48"/>
      <c r="Z143" s="48"/>
      <c r="AA143" s="48"/>
    </row>
    <row r="144" spans="1:27" ht="15.75" customHeight="1" x14ac:dyDescent="0.2">
      <c r="A144" s="48"/>
      <c r="B144" s="48"/>
      <c r="C144" s="48"/>
      <c r="D144" s="48"/>
      <c r="E144" s="48"/>
      <c r="F144" s="48"/>
      <c r="G144" s="48"/>
      <c r="H144" s="48"/>
      <c r="I144" s="48"/>
      <c r="J144" s="48"/>
      <c r="K144" s="48"/>
      <c r="L144" s="48"/>
      <c r="M144" s="48"/>
      <c r="N144" s="48"/>
      <c r="O144" s="48"/>
      <c r="P144" s="48"/>
      <c r="Q144" s="48"/>
      <c r="R144" s="48"/>
      <c r="S144" s="48"/>
      <c r="T144" s="48"/>
      <c r="U144" s="48"/>
      <c r="V144" s="48"/>
      <c r="W144" s="48"/>
      <c r="X144" s="48"/>
      <c r="Y144" s="48"/>
      <c r="Z144" s="48"/>
      <c r="AA144" s="48"/>
    </row>
    <row r="145" spans="1:27" ht="15.75" customHeight="1" x14ac:dyDescent="0.2">
      <c r="A145" s="48"/>
      <c r="B145" s="48"/>
      <c r="C145" s="48"/>
      <c r="D145" s="48"/>
      <c r="E145" s="48"/>
      <c r="F145" s="48"/>
      <c r="G145" s="48"/>
      <c r="H145" s="48"/>
      <c r="I145" s="48"/>
      <c r="J145" s="48"/>
      <c r="K145" s="48"/>
      <c r="L145" s="48"/>
      <c r="M145" s="48"/>
      <c r="N145" s="48"/>
      <c r="O145" s="48"/>
      <c r="P145" s="48"/>
      <c r="Q145" s="48"/>
      <c r="R145" s="48"/>
      <c r="S145" s="48"/>
      <c r="T145" s="48"/>
      <c r="U145" s="48"/>
      <c r="V145" s="48"/>
      <c r="W145" s="48"/>
      <c r="X145" s="48"/>
      <c r="Y145" s="48"/>
      <c r="Z145" s="48"/>
      <c r="AA145" s="48"/>
    </row>
    <row r="146" spans="1:27" ht="15.75" customHeight="1" x14ac:dyDescent="0.2">
      <c r="A146" s="48"/>
      <c r="B146" s="48"/>
      <c r="C146" s="48"/>
      <c r="D146" s="48"/>
      <c r="E146" s="48"/>
      <c r="F146" s="48"/>
      <c r="G146" s="48"/>
      <c r="H146" s="48"/>
      <c r="I146" s="48"/>
      <c r="J146" s="48"/>
      <c r="K146" s="48"/>
      <c r="L146" s="48"/>
      <c r="M146" s="48"/>
      <c r="N146" s="48"/>
      <c r="O146" s="48"/>
      <c r="P146" s="48"/>
      <c r="Q146" s="48"/>
      <c r="R146" s="48"/>
      <c r="S146" s="48"/>
      <c r="T146" s="48"/>
      <c r="U146" s="48"/>
      <c r="V146" s="48"/>
      <c r="W146" s="48"/>
      <c r="X146" s="48"/>
      <c r="Y146" s="48"/>
      <c r="Z146" s="48"/>
      <c r="AA146" s="48"/>
    </row>
    <row r="147" spans="1:27" ht="15.75" customHeight="1" x14ac:dyDescent="0.2">
      <c r="A147" s="48"/>
      <c r="B147" s="48"/>
      <c r="C147" s="48"/>
      <c r="D147" s="48"/>
      <c r="E147" s="48"/>
      <c r="F147" s="48"/>
      <c r="G147" s="48"/>
      <c r="H147" s="48"/>
      <c r="I147" s="48"/>
      <c r="J147" s="48"/>
      <c r="K147" s="48"/>
      <c r="L147" s="48"/>
      <c r="M147" s="48"/>
      <c r="N147" s="48"/>
      <c r="O147" s="48"/>
      <c r="P147" s="48"/>
      <c r="Q147" s="48"/>
      <c r="R147" s="48"/>
      <c r="S147" s="48"/>
      <c r="T147" s="48"/>
      <c r="U147" s="48"/>
      <c r="V147" s="48"/>
      <c r="W147" s="48"/>
      <c r="X147" s="48"/>
      <c r="Y147" s="48"/>
      <c r="Z147" s="48"/>
      <c r="AA147" s="48"/>
    </row>
    <row r="148" spans="1:27" ht="15.75" customHeight="1" x14ac:dyDescent="0.2">
      <c r="A148" s="48"/>
      <c r="B148" s="48"/>
      <c r="C148" s="48"/>
      <c r="D148" s="48"/>
      <c r="E148" s="48"/>
      <c r="F148" s="48"/>
      <c r="G148" s="48"/>
      <c r="H148" s="48"/>
      <c r="I148" s="48"/>
      <c r="J148" s="48"/>
      <c r="K148" s="48"/>
      <c r="L148" s="48"/>
      <c r="M148" s="48"/>
      <c r="N148" s="48"/>
      <c r="O148" s="48"/>
      <c r="P148" s="48"/>
      <c r="Q148" s="48"/>
      <c r="R148" s="48"/>
      <c r="S148" s="48"/>
      <c r="T148" s="48"/>
      <c r="U148" s="48"/>
      <c r="V148" s="48"/>
      <c r="W148" s="48"/>
      <c r="X148" s="48"/>
      <c r="Y148" s="48"/>
      <c r="Z148" s="48"/>
      <c r="AA148" s="48"/>
    </row>
    <row r="149" spans="1:27" ht="15.75" customHeight="1" x14ac:dyDescent="0.2">
      <c r="A149" s="48"/>
      <c r="B149" s="48"/>
      <c r="C149" s="48"/>
      <c r="D149" s="48"/>
      <c r="E149" s="48"/>
      <c r="F149" s="48"/>
      <c r="G149" s="48"/>
      <c r="H149" s="48"/>
      <c r="I149" s="48"/>
      <c r="J149" s="48"/>
      <c r="K149" s="48"/>
      <c r="L149" s="48"/>
      <c r="M149" s="48"/>
      <c r="N149" s="48"/>
      <c r="O149" s="48"/>
      <c r="P149" s="48"/>
      <c r="Q149" s="48"/>
      <c r="R149" s="48"/>
      <c r="S149" s="48"/>
      <c r="T149" s="48"/>
      <c r="U149" s="48"/>
      <c r="V149" s="48"/>
      <c r="W149" s="48"/>
      <c r="X149" s="48"/>
      <c r="Y149" s="48"/>
      <c r="Z149" s="48"/>
      <c r="AA149" s="48"/>
    </row>
    <row r="150" spans="1:27" ht="15.75" customHeight="1" x14ac:dyDescent="0.2">
      <c r="A150" s="48"/>
      <c r="B150" s="48"/>
      <c r="C150" s="48"/>
      <c r="D150" s="48"/>
      <c r="E150" s="48"/>
      <c r="F150" s="48"/>
      <c r="G150" s="48"/>
      <c r="H150" s="48"/>
      <c r="I150" s="48"/>
      <c r="J150" s="48"/>
      <c r="K150" s="48"/>
      <c r="L150" s="48"/>
      <c r="M150" s="48"/>
      <c r="N150" s="48"/>
      <c r="O150" s="48"/>
      <c r="P150" s="48"/>
      <c r="Q150" s="48"/>
      <c r="R150" s="48"/>
      <c r="S150" s="48"/>
      <c r="T150" s="48"/>
      <c r="U150" s="48"/>
      <c r="V150" s="48"/>
      <c r="W150" s="48"/>
      <c r="X150" s="48"/>
      <c r="Y150" s="48"/>
      <c r="Z150" s="48"/>
      <c r="AA150" s="48"/>
    </row>
    <row r="151" spans="1:27" ht="15.75" customHeight="1" x14ac:dyDescent="0.2">
      <c r="A151" s="48"/>
      <c r="B151" s="48"/>
      <c r="C151" s="48"/>
      <c r="D151" s="48"/>
      <c r="E151" s="48"/>
      <c r="F151" s="48"/>
      <c r="G151" s="48"/>
      <c r="H151" s="48"/>
      <c r="I151" s="48"/>
      <c r="J151" s="48"/>
      <c r="K151" s="48"/>
      <c r="L151" s="48"/>
      <c r="M151" s="48"/>
      <c r="N151" s="48"/>
      <c r="O151" s="48"/>
      <c r="P151" s="48"/>
      <c r="Q151" s="48"/>
      <c r="R151" s="48"/>
      <c r="S151" s="48"/>
      <c r="T151" s="48"/>
      <c r="U151" s="48"/>
      <c r="V151" s="48"/>
      <c r="W151" s="48"/>
      <c r="X151" s="48"/>
      <c r="Y151" s="48"/>
      <c r="Z151" s="48"/>
      <c r="AA151" s="48"/>
    </row>
    <row r="152" spans="1:27" ht="15.75" customHeight="1" x14ac:dyDescent="0.2">
      <c r="A152" s="48"/>
      <c r="B152" s="48"/>
      <c r="C152" s="48"/>
      <c r="D152" s="48"/>
      <c r="E152" s="48"/>
      <c r="F152" s="48"/>
      <c r="G152" s="48"/>
      <c r="H152" s="48"/>
      <c r="I152" s="48"/>
      <c r="J152" s="48"/>
      <c r="K152" s="48"/>
      <c r="L152" s="48"/>
      <c r="M152" s="48"/>
      <c r="N152" s="48"/>
      <c r="O152" s="48"/>
      <c r="P152" s="48"/>
      <c r="Q152" s="48"/>
      <c r="R152" s="48"/>
      <c r="S152" s="48"/>
      <c r="T152" s="48"/>
      <c r="U152" s="48"/>
      <c r="V152" s="48"/>
      <c r="W152" s="48"/>
      <c r="X152" s="48"/>
      <c r="Y152" s="48"/>
      <c r="Z152" s="48"/>
      <c r="AA152" s="48"/>
    </row>
    <row r="153" spans="1:27" ht="15.75" customHeight="1" x14ac:dyDescent="0.2">
      <c r="A153" s="48"/>
      <c r="B153" s="48"/>
      <c r="C153" s="48"/>
      <c r="D153" s="48"/>
      <c r="E153" s="48"/>
      <c r="F153" s="48"/>
      <c r="G153" s="48"/>
      <c r="H153" s="48"/>
      <c r="I153" s="48"/>
      <c r="J153" s="48"/>
      <c r="K153" s="48"/>
      <c r="L153" s="48"/>
      <c r="M153" s="48"/>
      <c r="N153" s="48"/>
      <c r="O153" s="48"/>
      <c r="P153" s="48"/>
      <c r="Q153" s="48"/>
      <c r="R153" s="48"/>
      <c r="S153" s="48"/>
      <c r="T153" s="48"/>
      <c r="U153" s="48"/>
      <c r="V153" s="48"/>
      <c r="W153" s="48"/>
      <c r="X153" s="48"/>
      <c r="Y153" s="48"/>
      <c r="Z153" s="48"/>
      <c r="AA153" s="48"/>
    </row>
    <row r="154" spans="1:27" ht="15.75" customHeight="1" x14ac:dyDescent="0.2">
      <c r="A154" s="48"/>
      <c r="B154" s="48"/>
      <c r="C154" s="48"/>
      <c r="D154" s="48"/>
      <c r="E154" s="48"/>
      <c r="F154" s="48"/>
      <c r="G154" s="48"/>
      <c r="H154" s="48"/>
      <c r="I154" s="48"/>
      <c r="J154" s="48"/>
      <c r="K154" s="48"/>
      <c r="L154" s="48"/>
      <c r="M154" s="48"/>
      <c r="N154" s="48"/>
      <c r="O154" s="48"/>
      <c r="P154" s="48"/>
      <c r="Q154" s="48"/>
      <c r="R154" s="48"/>
      <c r="S154" s="48"/>
      <c r="T154" s="48"/>
      <c r="U154" s="48"/>
      <c r="V154" s="48"/>
      <c r="W154" s="48"/>
      <c r="X154" s="48"/>
      <c r="Y154" s="48"/>
      <c r="Z154" s="48"/>
      <c r="AA154" s="48"/>
    </row>
    <row r="155" spans="1:27" ht="15.75" customHeight="1" x14ac:dyDescent="0.2">
      <c r="A155" s="48"/>
      <c r="B155" s="48"/>
      <c r="C155" s="48"/>
      <c r="D155" s="48"/>
      <c r="E155" s="48"/>
      <c r="F155" s="48"/>
      <c r="G155" s="48"/>
      <c r="H155" s="48"/>
      <c r="I155" s="48"/>
      <c r="J155" s="48"/>
      <c r="K155" s="48"/>
      <c r="L155" s="48"/>
      <c r="M155" s="48"/>
      <c r="N155" s="48"/>
      <c r="O155" s="48"/>
      <c r="P155" s="48"/>
      <c r="Q155" s="48"/>
      <c r="R155" s="48"/>
      <c r="S155" s="48"/>
      <c r="T155" s="48"/>
      <c r="U155" s="48"/>
      <c r="V155" s="48"/>
      <c r="W155" s="48"/>
      <c r="X155" s="48"/>
      <c r="Y155" s="48"/>
      <c r="Z155" s="48"/>
      <c r="AA155" s="48"/>
    </row>
    <row r="156" spans="1:27" ht="15.75" customHeight="1" x14ac:dyDescent="0.2">
      <c r="A156" s="48"/>
      <c r="B156" s="48"/>
      <c r="C156" s="48"/>
      <c r="D156" s="48"/>
      <c r="E156" s="48"/>
      <c r="F156" s="48"/>
      <c r="G156" s="48"/>
      <c r="H156" s="48"/>
      <c r="I156" s="48"/>
      <c r="J156" s="48"/>
      <c r="K156" s="48"/>
      <c r="L156" s="48"/>
      <c r="M156" s="48"/>
      <c r="N156" s="48"/>
      <c r="O156" s="48"/>
      <c r="P156" s="48"/>
      <c r="Q156" s="48"/>
      <c r="R156" s="48"/>
      <c r="S156" s="48"/>
      <c r="T156" s="48"/>
      <c r="U156" s="48"/>
      <c r="V156" s="48"/>
      <c r="W156" s="48"/>
      <c r="X156" s="48"/>
      <c r="Y156" s="48"/>
      <c r="Z156" s="48"/>
      <c r="AA156" s="48"/>
    </row>
    <row r="157" spans="1:27" ht="15.75" customHeight="1" x14ac:dyDescent="0.2">
      <c r="A157" s="48"/>
      <c r="B157" s="48"/>
      <c r="C157" s="48"/>
      <c r="D157" s="48"/>
      <c r="E157" s="48"/>
      <c r="F157" s="48"/>
      <c r="G157" s="48"/>
      <c r="H157" s="48"/>
      <c r="I157" s="48"/>
      <c r="J157" s="48"/>
      <c r="K157" s="48"/>
      <c r="L157" s="48"/>
      <c r="M157" s="48"/>
      <c r="N157" s="48"/>
      <c r="O157" s="48"/>
      <c r="P157" s="48"/>
      <c r="Q157" s="48"/>
      <c r="R157" s="48"/>
      <c r="S157" s="48"/>
      <c r="T157" s="48"/>
      <c r="U157" s="48"/>
      <c r="V157" s="48"/>
      <c r="W157" s="48"/>
      <c r="X157" s="48"/>
      <c r="Y157" s="48"/>
      <c r="Z157" s="48"/>
      <c r="AA157" s="48"/>
    </row>
    <row r="158" spans="1:27" ht="15.75" customHeight="1" x14ac:dyDescent="0.2">
      <c r="A158" s="48"/>
      <c r="B158" s="48"/>
      <c r="C158" s="48"/>
      <c r="D158" s="48"/>
      <c r="E158" s="48"/>
      <c r="F158" s="48"/>
      <c r="G158" s="48"/>
      <c r="H158" s="48"/>
      <c r="I158" s="48"/>
      <c r="J158" s="48"/>
      <c r="K158" s="48"/>
      <c r="L158" s="48"/>
      <c r="M158" s="48"/>
      <c r="N158" s="48"/>
      <c r="O158" s="48"/>
      <c r="P158" s="48"/>
      <c r="Q158" s="48"/>
      <c r="R158" s="48"/>
      <c r="S158" s="48"/>
      <c r="T158" s="48"/>
      <c r="U158" s="48"/>
      <c r="V158" s="48"/>
      <c r="W158" s="48"/>
      <c r="X158" s="48"/>
      <c r="Y158" s="48"/>
      <c r="Z158" s="48"/>
      <c r="AA158" s="48"/>
    </row>
    <row r="159" spans="1:27" ht="15.75" customHeight="1" x14ac:dyDescent="0.2">
      <c r="A159" s="48"/>
      <c r="B159" s="48"/>
      <c r="C159" s="48"/>
      <c r="D159" s="48"/>
      <c r="E159" s="48"/>
      <c r="F159" s="48"/>
      <c r="G159" s="48"/>
      <c r="H159" s="48"/>
      <c r="I159" s="48"/>
      <c r="J159" s="48"/>
      <c r="K159" s="48"/>
      <c r="L159" s="48"/>
      <c r="M159" s="48"/>
      <c r="N159" s="48"/>
      <c r="O159" s="48"/>
      <c r="P159" s="48"/>
      <c r="Q159" s="48"/>
      <c r="R159" s="48"/>
      <c r="S159" s="48"/>
      <c r="T159" s="48"/>
      <c r="U159" s="48"/>
      <c r="V159" s="48"/>
      <c r="W159" s="48"/>
      <c r="X159" s="48"/>
      <c r="Y159" s="48"/>
      <c r="Z159" s="48"/>
      <c r="AA159" s="48"/>
    </row>
    <row r="160" spans="1:27" ht="15.75" customHeight="1" x14ac:dyDescent="0.2">
      <c r="A160" s="48"/>
      <c r="B160" s="48"/>
      <c r="C160" s="48"/>
      <c r="D160" s="48"/>
      <c r="E160" s="48"/>
      <c r="F160" s="48"/>
      <c r="G160" s="48"/>
      <c r="H160" s="48"/>
      <c r="I160" s="48"/>
      <c r="J160" s="48"/>
      <c r="K160" s="48"/>
      <c r="L160" s="48"/>
      <c r="M160" s="48"/>
      <c r="N160" s="48"/>
      <c r="O160" s="48"/>
      <c r="P160" s="48"/>
      <c r="Q160" s="48"/>
      <c r="R160" s="48"/>
      <c r="S160" s="48"/>
      <c r="T160" s="48"/>
      <c r="U160" s="48"/>
      <c r="V160" s="48"/>
      <c r="W160" s="48"/>
      <c r="X160" s="48"/>
      <c r="Y160" s="48"/>
      <c r="Z160" s="48"/>
      <c r="AA160" s="48"/>
    </row>
    <row r="161" spans="1:27" ht="15.75" customHeight="1" x14ac:dyDescent="0.2">
      <c r="A161" s="48"/>
      <c r="B161" s="48"/>
      <c r="C161" s="48"/>
      <c r="D161" s="48"/>
      <c r="E161" s="48"/>
      <c r="F161" s="48"/>
      <c r="G161" s="48"/>
      <c r="H161" s="48"/>
      <c r="I161" s="48"/>
      <c r="J161" s="48"/>
      <c r="K161" s="48"/>
      <c r="L161" s="48"/>
      <c r="M161" s="48"/>
      <c r="N161" s="48"/>
      <c r="O161" s="48"/>
      <c r="P161" s="48"/>
      <c r="Q161" s="48"/>
      <c r="R161" s="48"/>
      <c r="S161" s="48"/>
      <c r="T161" s="48"/>
      <c r="U161" s="48"/>
      <c r="V161" s="48"/>
      <c r="W161" s="48"/>
      <c r="X161" s="48"/>
      <c r="Y161" s="48"/>
      <c r="Z161" s="48"/>
      <c r="AA161" s="48"/>
    </row>
    <row r="162" spans="1:27" ht="15.75" customHeight="1" x14ac:dyDescent="0.2">
      <c r="A162" s="48"/>
      <c r="B162" s="48"/>
      <c r="C162" s="48"/>
      <c r="D162" s="48"/>
      <c r="E162" s="48"/>
      <c r="F162" s="48"/>
      <c r="G162" s="48"/>
      <c r="H162" s="48"/>
      <c r="I162" s="48"/>
      <c r="J162" s="48"/>
      <c r="K162" s="48"/>
      <c r="L162" s="48"/>
      <c r="M162" s="48"/>
      <c r="N162" s="48"/>
      <c r="O162" s="48"/>
      <c r="P162" s="48"/>
      <c r="Q162" s="48"/>
      <c r="R162" s="48"/>
      <c r="S162" s="48"/>
      <c r="T162" s="48"/>
      <c r="U162" s="48"/>
      <c r="V162" s="48"/>
      <c r="W162" s="48"/>
      <c r="X162" s="48"/>
      <c r="Y162" s="48"/>
      <c r="Z162" s="48"/>
      <c r="AA162" s="48"/>
    </row>
    <row r="163" spans="1:27" ht="15.75" customHeight="1" x14ac:dyDescent="0.2">
      <c r="A163" s="48"/>
      <c r="B163" s="48"/>
      <c r="C163" s="48"/>
      <c r="D163" s="48"/>
      <c r="E163" s="48"/>
      <c r="F163" s="48"/>
      <c r="G163" s="48"/>
      <c r="H163" s="48"/>
      <c r="I163" s="48"/>
      <c r="J163" s="48"/>
      <c r="K163" s="48"/>
      <c r="L163" s="48"/>
      <c r="M163" s="48"/>
      <c r="N163" s="48"/>
      <c r="O163" s="48"/>
      <c r="P163" s="48"/>
      <c r="Q163" s="48"/>
      <c r="R163" s="48"/>
      <c r="S163" s="48"/>
      <c r="T163" s="48"/>
      <c r="U163" s="48"/>
      <c r="V163" s="48"/>
      <c r="W163" s="48"/>
      <c r="X163" s="48"/>
      <c r="Y163" s="48"/>
      <c r="Z163" s="48"/>
      <c r="AA163" s="48"/>
    </row>
    <row r="164" spans="1:27" ht="15.75" customHeight="1" x14ac:dyDescent="0.2">
      <c r="A164" s="48"/>
      <c r="B164" s="48"/>
      <c r="C164" s="48"/>
      <c r="D164" s="48"/>
      <c r="E164" s="48"/>
      <c r="F164" s="48"/>
      <c r="G164" s="48"/>
      <c r="H164" s="48"/>
      <c r="I164" s="48"/>
      <c r="J164" s="48"/>
      <c r="K164" s="48"/>
      <c r="L164" s="48"/>
      <c r="M164" s="48"/>
      <c r="N164" s="48"/>
      <c r="O164" s="48"/>
      <c r="P164" s="48"/>
      <c r="Q164" s="48"/>
      <c r="R164" s="48"/>
      <c r="S164" s="48"/>
      <c r="T164" s="48"/>
      <c r="U164" s="48"/>
      <c r="V164" s="48"/>
      <c r="W164" s="48"/>
      <c r="X164" s="48"/>
      <c r="Y164" s="48"/>
      <c r="Z164" s="48"/>
      <c r="AA164" s="48"/>
    </row>
    <row r="165" spans="1:27" ht="15.75" customHeight="1" x14ac:dyDescent="0.2">
      <c r="A165" s="48"/>
      <c r="B165" s="48"/>
      <c r="C165" s="48"/>
      <c r="D165" s="48"/>
      <c r="E165" s="48"/>
      <c r="F165" s="48"/>
      <c r="G165" s="48"/>
      <c r="H165" s="48"/>
      <c r="I165" s="48"/>
      <c r="J165" s="48"/>
      <c r="K165" s="48"/>
      <c r="L165" s="48"/>
      <c r="M165" s="48"/>
      <c r="N165" s="48"/>
      <c r="O165" s="48"/>
      <c r="P165" s="48"/>
      <c r="Q165" s="48"/>
      <c r="R165" s="48"/>
      <c r="S165" s="48"/>
      <c r="T165" s="48"/>
      <c r="U165" s="48"/>
      <c r="V165" s="48"/>
      <c r="W165" s="48"/>
      <c r="X165" s="48"/>
      <c r="Y165" s="48"/>
      <c r="Z165" s="48"/>
      <c r="AA165" s="48"/>
    </row>
    <row r="166" spans="1:27" ht="15.75" customHeight="1" x14ac:dyDescent="0.2">
      <c r="A166" s="48"/>
      <c r="B166" s="48"/>
      <c r="C166" s="48"/>
      <c r="D166" s="48"/>
      <c r="E166" s="48"/>
      <c r="F166" s="48"/>
      <c r="G166" s="48"/>
      <c r="H166" s="48"/>
      <c r="I166" s="48"/>
      <c r="J166" s="48"/>
      <c r="K166" s="48"/>
      <c r="L166" s="48"/>
      <c r="M166" s="48"/>
      <c r="N166" s="48"/>
      <c r="O166" s="48"/>
      <c r="P166" s="48"/>
      <c r="Q166" s="48"/>
      <c r="R166" s="48"/>
      <c r="S166" s="48"/>
      <c r="T166" s="48"/>
      <c r="U166" s="48"/>
      <c r="V166" s="48"/>
      <c r="W166" s="48"/>
      <c r="X166" s="48"/>
      <c r="Y166" s="48"/>
      <c r="Z166" s="48"/>
      <c r="AA166" s="48"/>
    </row>
    <row r="167" spans="1:27" ht="15.75" customHeight="1" x14ac:dyDescent="0.2">
      <c r="A167" s="48"/>
      <c r="B167" s="48"/>
      <c r="C167" s="48"/>
      <c r="D167" s="48"/>
      <c r="E167" s="48"/>
      <c r="F167" s="48"/>
      <c r="G167" s="48"/>
      <c r="H167" s="48"/>
      <c r="I167" s="48"/>
      <c r="J167" s="48"/>
      <c r="K167" s="48"/>
      <c r="L167" s="48"/>
      <c r="M167" s="48"/>
      <c r="N167" s="48"/>
      <c r="O167" s="48"/>
      <c r="P167" s="48"/>
      <c r="Q167" s="48"/>
      <c r="R167" s="48"/>
      <c r="S167" s="48"/>
      <c r="T167" s="48"/>
      <c r="U167" s="48"/>
      <c r="V167" s="48"/>
      <c r="W167" s="48"/>
      <c r="X167" s="48"/>
      <c r="Y167" s="48"/>
      <c r="Z167" s="48"/>
      <c r="AA167" s="48"/>
    </row>
    <row r="168" spans="1:27" ht="15.75" customHeight="1" x14ac:dyDescent="0.2">
      <c r="A168" s="48"/>
      <c r="B168" s="48"/>
      <c r="C168" s="48"/>
      <c r="D168" s="48"/>
      <c r="E168" s="48"/>
      <c r="F168" s="48"/>
      <c r="G168" s="48"/>
      <c r="H168" s="48"/>
      <c r="I168" s="48"/>
      <c r="J168" s="48"/>
      <c r="K168" s="48"/>
      <c r="L168" s="48"/>
      <c r="M168" s="48"/>
      <c r="N168" s="48"/>
      <c r="O168" s="48"/>
      <c r="P168" s="48"/>
      <c r="Q168" s="48"/>
      <c r="R168" s="48"/>
      <c r="S168" s="48"/>
      <c r="T168" s="48"/>
      <c r="U168" s="48"/>
      <c r="V168" s="48"/>
      <c r="W168" s="48"/>
      <c r="X168" s="48"/>
      <c r="Y168" s="48"/>
      <c r="Z168" s="48"/>
      <c r="AA168" s="48"/>
    </row>
    <row r="169" spans="1:27" ht="15.75" customHeight="1" x14ac:dyDescent="0.2">
      <c r="A169" s="48"/>
      <c r="B169" s="48"/>
      <c r="C169" s="48"/>
      <c r="D169" s="48"/>
      <c r="E169" s="48"/>
      <c r="F169" s="48"/>
      <c r="G169" s="48"/>
      <c r="H169" s="48"/>
      <c r="I169" s="48"/>
      <c r="J169" s="48"/>
      <c r="K169" s="48"/>
      <c r="L169" s="48"/>
      <c r="M169" s="48"/>
      <c r="N169" s="48"/>
      <c r="O169" s="48"/>
      <c r="P169" s="48"/>
      <c r="Q169" s="48"/>
      <c r="R169" s="48"/>
      <c r="S169" s="48"/>
      <c r="T169" s="48"/>
      <c r="U169" s="48"/>
      <c r="V169" s="48"/>
      <c r="W169" s="48"/>
      <c r="X169" s="48"/>
      <c r="Y169" s="48"/>
      <c r="Z169" s="48"/>
      <c r="AA169" s="48"/>
    </row>
    <row r="170" spans="1:27" ht="15.75" customHeight="1" x14ac:dyDescent="0.2">
      <c r="A170" s="48"/>
      <c r="B170" s="48"/>
      <c r="C170" s="48"/>
      <c r="D170" s="48"/>
      <c r="E170" s="48"/>
      <c r="F170" s="48"/>
      <c r="G170" s="48"/>
      <c r="H170" s="48"/>
      <c r="I170" s="48"/>
      <c r="J170" s="48"/>
      <c r="K170" s="48"/>
      <c r="L170" s="48"/>
      <c r="M170" s="48"/>
      <c r="N170" s="48"/>
      <c r="O170" s="48"/>
      <c r="P170" s="48"/>
      <c r="Q170" s="48"/>
      <c r="R170" s="48"/>
      <c r="S170" s="48"/>
      <c r="T170" s="48"/>
      <c r="U170" s="48"/>
      <c r="V170" s="48"/>
      <c r="W170" s="48"/>
      <c r="X170" s="48"/>
      <c r="Y170" s="48"/>
      <c r="Z170" s="48"/>
      <c r="AA170" s="48"/>
    </row>
    <row r="171" spans="1:27" ht="15.75" customHeight="1" x14ac:dyDescent="0.2">
      <c r="A171" s="48"/>
      <c r="B171" s="48"/>
      <c r="C171" s="48"/>
      <c r="D171" s="48"/>
      <c r="E171" s="48"/>
      <c r="F171" s="48"/>
      <c r="G171" s="48"/>
      <c r="H171" s="48"/>
      <c r="I171" s="48"/>
      <c r="J171" s="48"/>
      <c r="K171" s="48"/>
      <c r="L171" s="48"/>
      <c r="M171" s="48"/>
      <c r="N171" s="48"/>
      <c r="O171" s="48"/>
      <c r="P171" s="48"/>
      <c r="Q171" s="48"/>
      <c r="R171" s="48"/>
      <c r="S171" s="48"/>
      <c r="T171" s="48"/>
      <c r="U171" s="48"/>
      <c r="V171" s="48"/>
      <c r="W171" s="48"/>
      <c r="X171" s="48"/>
      <c r="Y171" s="48"/>
      <c r="Z171" s="48"/>
      <c r="AA171" s="48"/>
    </row>
    <row r="172" spans="1:27" ht="15.75" customHeight="1" x14ac:dyDescent="0.2">
      <c r="A172" s="48"/>
      <c r="B172" s="48"/>
      <c r="C172" s="48"/>
      <c r="D172" s="48"/>
      <c r="E172" s="48"/>
      <c r="F172" s="48"/>
      <c r="G172" s="48"/>
      <c r="H172" s="48"/>
      <c r="I172" s="48"/>
      <c r="J172" s="48"/>
      <c r="K172" s="48"/>
      <c r="L172" s="48"/>
      <c r="M172" s="48"/>
      <c r="N172" s="48"/>
      <c r="O172" s="48"/>
      <c r="P172" s="48"/>
      <c r="Q172" s="48"/>
      <c r="R172" s="48"/>
      <c r="S172" s="48"/>
      <c r="T172" s="48"/>
      <c r="U172" s="48"/>
      <c r="V172" s="48"/>
      <c r="W172" s="48"/>
      <c r="X172" s="48"/>
      <c r="Y172" s="48"/>
      <c r="Z172" s="48"/>
      <c r="AA172" s="48"/>
    </row>
    <row r="173" spans="1:27" ht="15.75" customHeight="1" x14ac:dyDescent="0.2">
      <c r="A173" s="48"/>
      <c r="B173" s="48"/>
      <c r="C173" s="48"/>
      <c r="D173" s="48"/>
      <c r="E173" s="48"/>
      <c r="F173" s="48"/>
      <c r="G173" s="48"/>
      <c r="H173" s="48"/>
      <c r="I173" s="48"/>
      <c r="J173" s="48"/>
      <c r="K173" s="48"/>
      <c r="L173" s="48"/>
      <c r="M173" s="48"/>
      <c r="N173" s="48"/>
      <c r="O173" s="48"/>
      <c r="P173" s="48"/>
      <c r="Q173" s="48"/>
      <c r="R173" s="48"/>
      <c r="S173" s="48"/>
      <c r="T173" s="48"/>
      <c r="U173" s="48"/>
      <c r="V173" s="48"/>
      <c r="W173" s="48"/>
      <c r="X173" s="48"/>
      <c r="Y173" s="48"/>
      <c r="Z173" s="48"/>
      <c r="AA173" s="48"/>
    </row>
    <row r="174" spans="1:27" ht="15.75" customHeight="1" x14ac:dyDescent="0.2">
      <c r="A174" s="48"/>
      <c r="B174" s="48"/>
      <c r="C174" s="48"/>
      <c r="D174" s="48"/>
      <c r="E174" s="48"/>
      <c r="F174" s="48"/>
      <c r="G174" s="48"/>
      <c r="H174" s="48"/>
      <c r="I174" s="48"/>
      <c r="J174" s="48"/>
      <c r="K174" s="48"/>
      <c r="L174" s="48"/>
      <c r="M174" s="48"/>
      <c r="N174" s="48"/>
      <c r="O174" s="48"/>
      <c r="P174" s="48"/>
      <c r="Q174" s="48"/>
      <c r="R174" s="48"/>
      <c r="S174" s="48"/>
      <c r="T174" s="48"/>
      <c r="U174" s="48"/>
      <c r="V174" s="48"/>
      <c r="W174" s="48"/>
      <c r="X174" s="48"/>
      <c r="Y174" s="48"/>
      <c r="Z174" s="48"/>
      <c r="AA174" s="48"/>
    </row>
    <row r="175" spans="1:27" ht="15.75" customHeight="1" x14ac:dyDescent="0.2">
      <c r="A175" s="48"/>
      <c r="B175" s="48"/>
      <c r="C175" s="48"/>
      <c r="D175" s="48"/>
      <c r="E175" s="48"/>
      <c r="F175" s="48"/>
      <c r="G175" s="48"/>
      <c r="H175" s="48"/>
      <c r="I175" s="48"/>
      <c r="J175" s="48"/>
      <c r="K175" s="48"/>
      <c r="L175" s="48"/>
      <c r="M175" s="48"/>
      <c r="N175" s="48"/>
      <c r="O175" s="48"/>
      <c r="P175" s="48"/>
      <c r="Q175" s="48"/>
      <c r="R175" s="48"/>
      <c r="S175" s="48"/>
      <c r="T175" s="48"/>
      <c r="U175" s="48"/>
      <c r="V175" s="48"/>
      <c r="W175" s="48"/>
      <c r="X175" s="48"/>
      <c r="Y175" s="48"/>
      <c r="Z175" s="48"/>
      <c r="AA175" s="48"/>
    </row>
    <row r="176" spans="1:27" ht="15.75" customHeight="1" x14ac:dyDescent="0.2">
      <c r="A176" s="48"/>
      <c r="B176" s="48"/>
      <c r="C176" s="48"/>
      <c r="D176" s="48"/>
      <c r="E176" s="48"/>
      <c r="F176" s="48"/>
      <c r="G176" s="48"/>
      <c r="H176" s="48"/>
      <c r="I176" s="48"/>
      <c r="J176" s="48"/>
      <c r="K176" s="48"/>
      <c r="L176" s="48"/>
      <c r="M176" s="48"/>
      <c r="N176" s="48"/>
      <c r="O176" s="48"/>
      <c r="P176" s="48"/>
      <c r="Q176" s="48"/>
      <c r="R176" s="48"/>
      <c r="S176" s="48"/>
      <c r="T176" s="48"/>
      <c r="U176" s="48"/>
      <c r="V176" s="48"/>
      <c r="W176" s="48"/>
      <c r="X176" s="48"/>
      <c r="Y176" s="48"/>
      <c r="Z176" s="48"/>
      <c r="AA176" s="48"/>
    </row>
    <row r="177" spans="1:27" ht="15.75" customHeight="1" x14ac:dyDescent="0.2">
      <c r="A177" s="48"/>
      <c r="B177" s="48"/>
      <c r="C177" s="48"/>
      <c r="D177" s="48"/>
      <c r="E177" s="48"/>
      <c r="F177" s="48"/>
      <c r="G177" s="48"/>
      <c r="H177" s="48"/>
      <c r="I177" s="48"/>
      <c r="J177" s="48"/>
      <c r="K177" s="48"/>
      <c r="L177" s="48"/>
      <c r="M177" s="48"/>
      <c r="N177" s="48"/>
      <c r="O177" s="48"/>
      <c r="P177" s="48"/>
      <c r="Q177" s="48"/>
      <c r="R177" s="48"/>
      <c r="S177" s="48"/>
      <c r="T177" s="48"/>
      <c r="U177" s="48"/>
      <c r="V177" s="48"/>
      <c r="W177" s="48"/>
      <c r="X177" s="48"/>
      <c r="Y177" s="48"/>
      <c r="Z177" s="48"/>
      <c r="AA177" s="48"/>
    </row>
    <row r="178" spans="1:27" ht="15.75" customHeight="1" x14ac:dyDescent="0.2">
      <c r="A178" s="48"/>
      <c r="B178" s="48"/>
      <c r="C178" s="48"/>
      <c r="D178" s="48"/>
      <c r="E178" s="48"/>
      <c r="F178" s="48"/>
      <c r="G178" s="48"/>
      <c r="H178" s="48"/>
      <c r="I178" s="48"/>
      <c r="J178" s="48"/>
      <c r="K178" s="48"/>
      <c r="L178" s="48"/>
      <c r="M178" s="48"/>
      <c r="N178" s="48"/>
      <c r="O178" s="48"/>
      <c r="P178" s="48"/>
      <c r="Q178" s="48"/>
      <c r="R178" s="48"/>
      <c r="S178" s="48"/>
      <c r="T178" s="48"/>
      <c r="U178" s="48"/>
      <c r="V178" s="48"/>
      <c r="W178" s="48"/>
      <c r="X178" s="48"/>
      <c r="Y178" s="48"/>
      <c r="Z178" s="48"/>
      <c r="AA178" s="48"/>
    </row>
    <row r="179" spans="1:27" ht="15.75" customHeight="1" x14ac:dyDescent="0.2">
      <c r="A179" s="48"/>
      <c r="B179" s="48"/>
      <c r="C179" s="48"/>
      <c r="D179" s="48"/>
      <c r="E179" s="48"/>
      <c r="F179" s="48"/>
      <c r="G179" s="48"/>
      <c r="H179" s="48"/>
      <c r="I179" s="48"/>
      <c r="J179" s="48"/>
      <c r="K179" s="48"/>
      <c r="L179" s="48"/>
      <c r="M179" s="48"/>
      <c r="N179" s="48"/>
      <c r="O179" s="48"/>
      <c r="P179" s="48"/>
      <c r="Q179" s="48"/>
      <c r="R179" s="48"/>
      <c r="S179" s="48"/>
      <c r="T179" s="48"/>
      <c r="U179" s="48"/>
      <c r="V179" s="48"/>
      <c r="W179" s="48"/>
      <c r="X179" s="48"/>
      <c r="Y179" s="48"/>
      <c r="Z179" s="48"/>
      <c r="AA179" s="48"/>
    </row>
    <row r="180" spans="1:27" ht="15.75" customHeight="1" x14ac:dyDescent="0.2">
      <c r="A180" s="48"/>
      <c r="B180" s="48"/>
      <c r="C180" s="48"/>
      <c r="D180" s="48"/>
      <c r="E180" s="48"/>
      <c r="F180" s="48"/>
      <c r="G180" s="48"/>
      <c r="H180" s="48"/>
      <c r="I180" s="48"/>
      <c r="J180" s="48"/>
      <c r="K180" s="48"/>
      <c r="L180" s="48"/>
      <c r="M180" s="48"/>
      <c r="N180" s="48"/>
      <c r="O180" s="48"/>
      <c r="P180" s="48"/>
      <c r="Q180" s="48"/>
      <c r="R180" s="48"/>
      <c r="S180" s="48"/>
      <c r="T180" s="48"/>
      <c r="U180" s="48"/>
      <c r="V180" s="48"/>
      <c r="W180" s="48"/>
      <c r="X180" s="48"/>
      <c r="Y180" s="48"/>
      <c r="Z180" s="48"/>
      <c r="AA180" s="48"/>
    </row>
    <row r="181" spans="1:27" ht="15.75" customHeight="1" x14ac:dyDescent="0.2">
      <c r="A181" s="48"/>
      <c r="B181" s="48"/>
      <c r="C181" s="48"/>
      <c r="D181" s="48"/>
      <c r="E181" s="48"/>
      <c r="F181" s="48"/>
      <c r="G181" s="48"/>
      <c r="H181" s="48"/>
      <c r="I181" s="48"/>
      <c r="J181" s="48"/>
      <c r="K181" s="48"/>
      <c r="L181" s="48"/>
      <c r="M181" s="48"/>
      <c r="N181" s="48"/>
      <c r="O181" s="48"/>
      <c r="P181" s="48"/>
      <c r="Q181" s="48"/>
      <c r="R181" s="48"/>
      <c r="S181" s="48"/>
      <c r="T181" s="48"/>
      <c r="U181" s="48"/>
      <c r="V181" s="48"/>
      <c r="W181" s="48"/>
      <c r="X181" s="48"/>
      <c r="Y181" s="48"/>
      <c r="Z181" s="48"/>
      <c r="AA181" s="48"/>
    </row>
    <row r="182" spans="1:27" ht="15.75" customHeight="1" x14ac:dyDescent="0.2">
      <c r="A182" s="48"/>
      <c r="B182" s="48"/>
      <c r="C182" s="48"/>
      <c r="D182" s="48"/>
      <c r="E182" s="48"/>
      <c r="F182" s="48"/>
      <c r="G182" s="48"/>
      <c r="H182" s="48"/>
      <c r="I182" s="48"/>
      <c r="J182" s="48"/>
      <c r="K182" s="48"/>
      <c r="L182" s="48"/>
      <c r="M182" s="48"/>
      <c r="N182" s="48"/>
      <c r="O182" s="48"/>
      <c r="P182" s="48"/>
      <c r="Q182" s="48"/>
      <c r="R182" s="48"/>
      <c r="S182" s="48"/>
      <c r="T182" s="48"/>
      <c r="U182" s="48"/>
      <c r="V182" s="48"/>
      <c r="W182" s="48"/>
      <c r="X182" s="48"/>
      <c r="Y182" s="48"/>
      <c r="Z182" s="48"/>
      <c r="AA182" s="48"/>
    </row>
    <row r="183" spans="1:27" ht="15.75" customHeight="1" x14ac:dyDescent="0.2">
      <c r="A183" s="48"/>
      <c r="B183" s="48"/>
      <c r="C183" s="48"/>
      <c r="D183" s="48"/>
      <c r="E183" s="48"/>
      <c r="F183" s="48"/>
      <c r="G183" s="48"/>
      <c r="H183" s="48"/>
      <c r="I183" s="48"/>
      <c r="J183" s="48"/>
      <c r="K183" s="48"/>
      <c r="L183" s="48"/>
      <c r="M183" s="48"/>
      <c r="N183" s="48"/>
      <c r="O183" s="48"/>
      <c r="P183" s="48"/>
      <c r="Q183" s="48"/>
      <c r="R183" s="48"/>
      <c r="S183" s="48"/>
      <c r="T183" s="48"/>
      <c r="U183" s="48"/>
      <c r="V183" s="48"/>
      <c r="W183" s="48"/>
      <c r="X183" s="48"/>
      <c r="Y183" s="48"/>
      <c r="Z183" s="48"/>
      <c r="AA183" s="48"/>
    </row>
    <row r="184" spans="1:27" ht="15.75" customHeight="1" x14ac:dyDescent="0.2">
      <c r="A184" s="48"/>
      <c r="B184" s="48"/>
      <c r="C184" s="48"/>
      <c r="D184" s="48"/>
      <c r="E184" s="48"/>
      <c r="F184" s="48"/>
      <c r="G184" s="48"/>
      <c r="H184" s="48"/>
      <c r="I184" s="48"/>
      <c r="J184" s="48"/>
      <c r="K184" s="48"/>
      <c r="L184" s="48"/>
      <c r="M184" s="48"/>
      <c r="N184" s="48"/>
      <c r="O184" s="48"/>
      <c r="P184" s="48"/>
      <c r="Q184" s="48"/>
      <c r="R184" s="48"/>
      <c r="S184" s="48"/>
      <c r="T184" s="48"/>
      <c r="U184" s="48"/>
      <c r="V184" s="48"/>
      <c r="W184" s="48"/>
      <c r="X184" s="48"/>
      <c r="Y184" s="48"/>
      <c r="Z184" s="48"/>
      <c r="AA184" s="48"/>
    </row>
    <row r="185" spans="1:27" ht="15.75" customHeight="1" x14ac:dyDescent="0.2">
      <c r="A185" s="48"/>
      <c r="B185" s="48"/>
      <c r="C185" s="48"/>
      <c r="D185" s="48"/>
      <c r="E185" s="48"/>
      <c r="F185" s="48"/>
      <c r="G185" s="48"/>
      <c r="H185" s="48"/>
      <c r="I185" s="48"/>
      <c r="J185" s="48"/>
      <c r="K185" s="48"/>
      <c r="L185" s="48"/>
      <c r="M185" s="48"/>
      <c r="N185" s="48"/>
      <c r="O185" s="48"/>
      <c r="P185" s="48"/>
      <c r="Q185" s="48"/>
      <c r="R185" s="48"/>
      <c r="S185" s="48"/>
      <c r="T185" s="48"/>
      <c r="U185" s="48"/>
      <c r="V185" s="48"/>
      <c r="W185" s="48"/>
      <c r="X185" s="48"/>
      <c r="Y185" s="48"/>
      <c r="Z185" s="48"/>
      <c r="AA185" s="48"/>
    </row>
    <row r="186" spans="1:27" ht="15.75" customHeight="1" x14ac:dyDescent="0.2">
      <c r="A186" s="48"/>
      <c r="B186" s="48"/>
      <c r="C186" s="48"/>
      <c r="D186" s="48"/>
      <c r="E186" s="48"/>
      <c r="F186" s="48"/>
      <c r="G186" s="48"/>
      <c r="H186" s="48"/>
      <c r="I186" s="48"/>
      <c r="J186" s="48"/>
      <c r="K186" s="48"/>
      <c r="L186" s="48"/>
      <c r="M186" s="48"/>
      <c r="N186" s="48"/>
      <c r="O186" s="48"/>
      <c r="P186" s="48"/>
      <c r="Q186" s="48"/>
      <c r="R186" s="48"/>
      <c r="S186" s="48"/>
      <c r="T186" s="48"/>
      <c r="U186" s="48"/>
      <c r="V186" s="48"/>
      <c r="W186" s="48"/>
      <c r="X186" s="48"/>
      <c r="Y186" s="48"/>
      <c r="Z186" s="48"/>
      <c r="AA186" s="48"/>
    </row>
    <row r="187" spans="1:27" ht="15.75" customHeight="1" x14ac:dyDescent="0.2">
      <c r="A187" s="48"/>
      <c r="B187" s="48"/>
      <c r="C187" s="48"/>
      <c r="D187" s="48"/>
      <c r="E187" s="48"/>
      <c r="F187" s="48"/>
      <c r="G187" s="48"/>
      <c r="H187" s="48"/>
      <c r="I187" s="48"/>
      <c r="J187" s="48"/>
      <c r="K187" s="48"/>
      <c r="L187" s="48"/>
      <c r="M187" s="48"/>
      <c r="N187" s="48"/>
      <c r="O187" s="48"/>
      <c r="P187" s="48"/>
      <c r="Q187" s="48"/>
      <c r="R187" s="48"/>
      <c r="S187" s="48"/>
      <c r="T187" s="48"/>
      <c r="U187" s="48"/>
      <c r="V187" s="48"/>
      <c r="W187" s="48"/>
      <c r="X187" s="48"/>
      <c r="Y187" s="48"/>
      <c r="Z187" s="48"/>
      <c r="AA187" s="48"/>
    </row>
    <row r="188" spans="1:27" ht="15.75" customHeight="1" x14ac:dyDescent="0.2">
      <c r="A188" s="48"/>
      <c r="B188" s="48"/>
      <c r="C188" s="48"/>
      <c r="D188" s="48"/>
      <c r="E188" s="48"/>
      <c r="F188" s="48"/>
      <c r="G188" s="48"/>
      <c r="H188" s="48"/>
      <c r="I188" s="48"/>
      <c r="J188" s="48"/>
      <c r="K188" s="48"/>
      <c r="L188" s="48"/>
      <c r="M188" s="48"/>
      <c r="N188" s="48"/>
      <c r="O188" s="48"/>
      <c r="P188" s="48"/>
      <c r="Q188" s="48"/>
      <c r="R188" s="48"/>
      <c r="S188" s="48"/>
      <c r="T188" s="48"/>
      <c r="U188" s="48"/>
      <c r="V188" s="48"/>
      <c r="W188" s="48"/>
      <c r="X188" s="48"/>
      <c r="Y188" s="48"/>
      <c r="Z188" s="48"/>
      <c r="AA188" s="48"/>
    </row>
    <row r="189" spans="1:27" ht="15.75" customHeight="1" x14ac:dyDescent="0.2">
      <c r="A189" s="48"/>
      <c r="B189" s="48"/>
      <c r="C189" s="48"/>
      <c r="D189" s="48"/>
      <c r="E189" s="48"/>
      <c r="F189" s="48"/>
      <c r="G189" s="48"/>
      <c r="H189" s="48"/>
      <c r="I189" s="48"/>
      <c r="J189" s="48"/>
      <c r="K189" s="48"/>
      <c r="L189" s="48"/>
      <c r="M189" s="48"/>
      <c r="N189" s="48"/>
      <c r="O189" s="48"/>
      <c r="P189" s="48"/>
      <c r="Q189" s="48"/>
      <c r="R189" s="48"/>
      <c r="S189" s="48"/>
      <c r="T189" s="48"/>
      <c r="U189" s="48"/>
      <c r="V189" s="48"/>
      <c r="W189" s="48"/>
      <c r="X189" s="48"/>
      <c r="Y189" s="48"/>
      <c r="Z189" s="48"/>
      <c r="AA189" s="48"/>
    </row>
    <row r="190" spans="1:27" ht="15.75" customHeight="1" x14ac:dyDescent="0.2">
      <c r="A190" s="48"/>
      <c r="B190" s="48"/>
      <c r="C190" s="48"/>
      <c r="D190" s="48"/>
      <c r="E190" s="48"/>
      <c r="F190" s="48"/>
      <c r="G190" s="48"/>
      <c r="H190" s="48"/>
      <c r="I190" s="48"/>
      <c r="J190" s="48"/>
      <c r="K190" s="48"/>
      <c r="L190" s="48"/>
      <c r="M190" s="48"/>
      <c r="N190" s="48"/>
      <c r="O190" s="48"/>
      <c r="P190" s="48"/>
      <c r="Q190" s="48"/>
      <c r="R190" s="48"/>
      <c r="S190" s="48"/>
      <c r="T190" s="48"/>
      <c r="U190" s="48"/>
      <c r="V190" s="48"/>
      <c r="W190" s="48"/>
      <c r="X190" s="48"/>
      <c r="Y190" s="48"/>
      <c r="Z190" s="48"/>
      <c r="AA190" s="48"/>
    </row>
    <row r="191" spans="1:27" ht="15.75" customHeight="1" x14ac:dyDescent="0.2">
      <c r="A191" s="48"/>
      <c r="B191" s="48"/>
      <c r="C191" s="48"/>
      <c r="D191" s="48"/>
      <c r="E191" s="48"/>
      <c r="F191" s="48"/>
      <c r="G191" s="48"/>
      <c r="H191" s="48"/>
      <c r="I191" s="48"/>
      <c r="J191" s="48"/>
      <c r="K191" s="48"/>
      <c r="L191" s="48"/>
      <c r="M191" s="48"/>
      <c r="N191" s="48"/>
      <c r="O191" s="48"/>
      <c r="P191" s="48"/>
      <c r="Q191" s="48"/>
      <c r="R191" s="48"/>
      <c r="S191" s="48"/>
      <c r="T191" s="48"/>
      <c r="U191" s="48"/>
      <c r="V191" s="48"/>
      <c r="W191" s="48"/>
      <c r="X191" s="48"/>
      <c r="Y191" s="48"/>
      <c r="Z191" s="48"/>
      <c r="AA191" s="48"/>
    </row>
    <row r="192" spans="1:27" ht="15.75" customHeight="1" x14ac:dyDescent="0.2">
      <c r="A192" s="48"/>
      <c r="B192" s="48"/>
      <c r="C192" s="48"/>
      <c r="D192" s="48"/>
      <c r="E192" s="48"/>
      <c r="F192" s="48"/>
      <c r="G192" s="48"/>
      <c r="H192" s="48"/>
      <c r="I192" s="48"/>
      <c r="J192" s="48"/>
      <c r="K192" s="48"/>
      <c r="L192" s="48"/>
      <c r="M192" s="48"/>
      <c r="N192" s="48"/>
      <c r="O192" s="48"/>
      <c r="P192" s="48"/>
      <c r="Q192" s="48"/>
      <c r="R192" s="48"/>
      <c r="S192" s="48"/>
      <c r="T192" s="48"/>
      <c r="U192" s="48"/>
      <c r="V192" s="48"/>
      <c r="W192" s="48"/>
      <c r="X192" s="48"/>
      <c r="Y192" s="48"/>
      <c r="Z192" s="48"/>
      <c r="AA192" s="48"/>
    </row>
    <row r="193" spans="1:27" ht="15.75" customHeight="1" x14ac:dyDescent="0.2">
      <c r="A193" s="48"/>
      <c r="B193" s="48"/>
      <c r="C193" s="48"/>
      <c r="D193" s="48"/>
      <c r="E193" s="48"/>
      <c r="F193" s="48"/>
      <c r="G193" s="48"/>
      <c r="H193" s="48"/>
      <c r="I193" s="48"/>
      <c r="J193" s="48"/>
      <c r="K193" s="48"/>
      <c r="L193" s="48"/>
      <c r="M193" s="48"/>
      <c r="N193" s="48"/>
      <c r="O193" s="48"/>
      <c r="P193" s="48"/>
      <c r="Q193" s="48"/>
      <c r="R193" s="48"/>
      <c r="S193" s="48"/>
      <c r="T193" s="48"/>
      <c r="U193" s="48"/>
      <c r="V193" s="48"/>
      <c r="W193" s="48"/>
      <c r="X193" s="48"/>
      <c r="Y193" s="48"/>
      <c r="Z193" s="48"/>
      <c r="AA193" s="48"/>
    </row>
    <row r="194" spans="1:27" ht="15.75" customHeight="1" x14ac:dyDescent="0.2">
      <c r="A194" s="48"/>
      <c r="B194" s="48"/>
      <c r="C194" s="48"/>
      <c r="D194" s="48"/>
      <c r="E194" s="48"/>
      <c r="F194" s="48"/>
      <c r="G194" s="48"/>
      <c r="H194" s="48"/>
      <c r="I194" s="48"/>
      <c r="J194" s="48"/>
      <c r="K194" s="48"/>
      <c r="L194" s="48"/>
      <c r="M194" s="48"/>
      <c r="N194" s="48"/>
      <c r="O194" s="48"/>
      <c r="P194" s="48"/>
      <c r="Q194" s="48"/>
      <c r="R194" s="48"/>
      <c r="S194" s="48"/>
      <c r="T194" s="48"/>
      <c r="U194" s="48"/>
      <c r="V194" s="48"/>
      <c r="W194" s="48"/>
      <c r="X194" s="48"/>
      <c r="Y194" s="48"/>
      <c r="Z194" s="48"/>
      <c r="AA194" s="48"/>
    </row>
    <row r="195" spans="1:27" ht="15.75" customHeight="1" x14ac:dyDescent="0.2">
      <c r="A195" s="48"/>
      <c r="B195" s="48"/>
      <c r="C195" s="48"/>
      <c r="D195" s="48"/>
      <c r="E195" s="48"/>
      <c r="F195" s="48"/>
      <c r="G195" s="48"/>
      <c r="H195" s="48"/>
      <c r="I195" s="48"/>
      <c r="J195" s="48"/>
      <c r="K195" s="48"/>
      <c r="L195" s="48"/>
      <c r="M195" s="48"/>
      <c r="N195" s="48"/>
      <c r="O195" s="48"/>
      <c r="P195" s="48"/>
      <c r="Q195" s="48"/>
      <c r="R195" s="48"/>
      <c r="S195" s="48"/>
      <c r="T195" s="48"/>
      <c r="U195" s="48"/>
      <c r="V195" s="48"/>
      <c r="W195" s="48"/>
      <c r="X195" s="48"/>
      <c r="Y195" s="48"/>
      <c r="Z195" s="48"/>
      <c r="AA195" s="48"/>
    </row>
    <row r="196" spans="1:27" ht="15.75" customHeight="1" x14ac:dyDescent="0.2">
      <c r="A196" s="48"/>
      <c r="B196" s="48"/>
      <c r="C196" s="48"/>
      <c r="D196" s="48"/>
      <c r="E196" s="48"/>
      <c r="F196" s="48"/>
      <c r="G196" s="48"/>
      <c r="H196" s="48"/>
      <c r="I196" s="48"/>
      <c r="J196" s="48"/>
      <c r="K196" s="48"/>
      <c r="L196" s="48"/>
      <c r="M196" s="48"/>
      <c r="N196" s="48"/>
      <c r="O196" s="48"/>
      <c r="P196" s="48"/>
      <c r="Q196" s="48"/>
      <c r="R196" s="48"/>
      <c r="S196" s="48"/>
      <c r="T196" s="48"/>
      <c r="U196" s="48"/>
      <c r="V196" s="48"/>
      <c r="W196" s="48"/>
      <c r="X196" s="48"/>
      <c r="Y196" s="48"/>
      <c r="Z196" s="48"/>
      <c r="AA196" s="48"/>
    </row>
    <row r="197" spans="1:27" ht="15.75" customHeight="1" x14ac:dyDescent="0.2">
      <c r="A197" s="48"/>
      <c r="B197" s="48"/>
      <c r="C197" s="48"/>
      <c r="D197" s="48"/>
      <c r="E197" s="48"/>
      <c r="F197" s="48"/>
      <c r="G197" s="48"/>
      <c r="H197" s="48"/>
      <c r="I197" s="48"/>
      <c r="J197" s="48"/>
      <c r="K197" s="48"/>
      <c r="L197" s="48"/>
      <c r="M197" s="48"/>
      <c r="N197" s="48"/>
      <c r="O197" s="48"/>
      <c r="P197" s="48"/>
      <c r="Q197" s="48"/>
      <c r="R197" s="48"/>
      <c r="S197" s="48"/>
      <c r="T197" s="48"/>
      <c r="U197" s="48"/>
      <c r="V197" s="48"/>
      <c r="W197" s="48"/>
      <c r="X197" s="48"/>
      <c r="Y197" s="48"/>
      <c r="Z197" s="48"/>
      <c r="AA197" s="48"/>
    </row>
    <row r="198" spans="1:27" ht="15.75" customHeight="1" x14ac:dyDescent="0.2">
      <c r="A198" s="48"/>
      <c r="B198" s="48"/>
      <c r="C198" s="48"/>
      <c r="D198" s="48"/>
      <c r="E198" s="48"/>
      <c r="F198" s="48"/>
      <c r="G198" s="48"/>
      <c r="H198" s="48"/>
      <c r="I198" s="48"/>
      <c r="J198" s="48"/>
      <c r="K198" s="48"/>
      <c r="L198" s="48"/>
      <c r="M198" s="48"/>
      <c r="N198" s="48"/>
      <c r="O198" s="48"/>
      <c r="P198" s="48"/>
      <c r="Q198" s="48"/>
      <c r="R198" s="48"/>
      <c r="S198" s="48"/>
      <c r="T198" s="48"/>
      <c r="U198" s="48"/>
      <c r="V198" s="48"/>
      <c r="W198" s="48"/>
      <c r="X198" s="48"/>
      <c r="Y198" s="48"/>
      <c r="Z198" s="48"/>
      <c r="AA198" s="48"/>
    </row>
    <row r="199" spans="1:27" ht="15.75" customHeight="1" x14ac:dyDescent="0.2">
      <c r="A199" s="48"/>
      <c r="B199" s="48"/>
      <c r="C199" s="48"/>
      <c r="D199" s="48"/>
      <c r="E199" s="48"/>
      <c r="F199" s="48"/>
      <c r="G199" s="48"/>
      <c r="H199" s="48"/>
      <c r="I199" s="48"/>
      <c r="J199" s="48"/>
      <c r="K199" s="48"/>
      <c r="L199" s="48"/>
      <c r="M199" s="48"/>
      <c r="N199" s="48"/>
      <c r="O199" s="48"/>
      <c r="P199" s="48"/>
      <c r="Q199" s="48"/>
      <c r="R199" s="48"/>
      <c r="S199" s="48"/>
      <c r="T199" s="48"/>
      <c r="U199" s="48"/>
      <c r="V199" s="48"/>
      <c r="W199" s="48"/>
      <c r="X199" s="48"/>
      <c r="Y199" s="48"/>
      <c r="Z199" s="48"/>
      <c r="AA199" s="48"/>
    </row>
    <row r="200" spans="1:27" ht="15.75" customHeight="1" x14ac:dyDescent="0.2">
      <c r="A200" s="48"/>
      <c r="B200" s="48"/>
      <c r="C200" s="48"/>
      <c r="D200" s="48"/>
      <c r="E200" s="48"/>
      <c r="F200" s="48"/>
      <c r="G200" s="48"/>
      <c r="H200" s="48"/>
      <c r="I200" s="48"/>
      <c r="J200" s="48"/>
      <c r="K200" s="48"/>
      <c r="L200" s="48"/>
      <c r="M200" s="48"/>
      <c r="N200" s="48"/>
      <c r="O200" s="48"/>
      <c r="P200" s="48"/>
      <c r="Q200" s="48"/>
      <c r="R200" s="48"/>
      <c r="S200" s="48"/>
      <c r="T200" s="48"/>
      <c r="U200" s="48"/>
      <c r="V200" s="48"/>
      <c r="W200" s="48"/>
      <c r="X200" s="48"/>
      <c r="Y200" s="48"/>
      <c r="Z200" s="48"/>
      <c r="AA200" s="48"/>
    </row>
    <row r="201" spans="1:27" ht="15.75" customHeight="1" x14ac:dyDescent="0.2">
      <c r="A201" s="48"/>
      <c r="B201" s="48"/>
      <c r="C201" s="48"/>
      <c r="D201" s="48"/>
      <c r="E201" s="48"/>
      <c r="F201" s="48"/>
      <c r="G201" s="48"/>
      <c r="H201" s="48"/>
      <c r="I201" s="48"/>
      <c r="J201" s="48"/>
      <c r="K201" s="48"/>
      <c r="L201" s="48"/>
      <c r="M201" s="48"/>
      <c r="N201" s="48"/>
      <c r="O201" s="48"/>
      <c r="P201" s="48"/>
      <c r="Q201" s="48"/>
      <c r="R201" s="48"/>
      <c r="S201" s="48"/>
      <c r="T201" s="48"/>
      <c r="U201" s="48"/>
      <c r="V201" s="48"/>
      <c r="W201" s="48"/>
      <c r="X201" s="48"/>
      <c r="Y201" s="48"/>
      <c r="Z201" s="48"/>
      <c r="AA201" s="48"/>
    </row>
    <row r="202" spans="1:27" ht="15.75" customHeight="1" x14ac:dyDescent="0.2">
      <c r="A202" s="48"/>
      <c r="B202" s="48"/>
      <c r="C202" s="48"/>
      <c r="D202" s="48"/>
      <c r="E202" s="48"/>
      <c r="F202" s="48"/>
      <c r="G202" s="48"/>
      <c r="H202" s="48"/>
      <c r="I202" s="48"/>
      <c r="J202" s="48"/>
      <c r="K202" s="48"/>
      <c r="L202" s="48"/>
      <c r="M202" s="48"/>
      <c r="N202" s="48"/>
      <c r="O202" s="48"/>
      <c r="P202" s="48"/>
      <c r="Q202" s="48"/>
      <c r="R202" s="48"/>
      <c r="S202" s="48"/>
      <c r="T202" s="48"/>
      <c r="U202" s="48"/>
      <c r="V202" s="48"/>
      <c r="W202" s="48"/>
      <c r="X202" s="48"/>
      <c r="Y202" s="48"/>
      <c r="Z202" s="48"/>
      <c r="AA202" s="48"/>
    </row>
    <row r="203" spans="1:27" ht="15.75" customHeight="1" x14ac:dyDescent="0.2">
      <c r="A203" s="48"/>
      <c r="B203" s="48"/>
      <c r="C203" s="48"/>
      <c r="D203" s="48"/>
      <c r="E203" s="48"/>
      <c r="F203" s="48"/>
      <c r="G203" s="48"/>
      <c r="H203" s="48"/>
      <c r="I203" s="48"/>
      <c r="J203" s="48"/>
      <c r="K203" s="48"/>
      <c r="L203" s="48"/>
      <c r="M203" s="48"/>
      <c r="N203" s="48"/>
      <c r="O203" s="48"/>
      <c r="P203" s="48"/>
      <c r="Q203" s="48"/>
      <c r="R203" s="48"/>
      <c r="S203" s="48"/>
      <c r="T203" s="48"/>
      <c r="U203" s="48"/>
      <c r="V203" s="48"/>
      <c r="W203" s="48"/>
      <c r="X203" s="48"/>
      <c r="Y203" s="48"/>
      <c r="Z203" s="48"/>
      <c r="AA203" s="48"/>
    </row>
    <row r="204" spans="1:27" ht="15.75" customHeight="1" x14ac:dyDescent="0.2">
      <c r="A204" s="48"/>
      <c r="B204" s="48"/>
      <c r="C204" s="48"/>
      <c r="D204" s="48"/>
      <c r="E204" s="48"/>
      <c r="F204" s="48"/>
      <c r="G204" s="48"/>
      <c r="H204" s="48"/>
      <c r="I204" s="48"/>
      <c r="J204" s="48"/>
      <c r="K204" s="48"/>
      <c r="L204" s="48"/>
      <c r="M204" s="48"/>
      <c r="N204" s="48"/>
      <c r="O204" s="48"/>
      <c r="P204" s="48"/>
      <c r="Q204" s="48"/>
      <c r="R204" s="48"/>
      <c r="S204" s="48"/>
      <c r="T204" s="48"/>
      <c r="U204" s="48"/>
      <c r="V204" s="48"/>
      <c r="W204" s="48"/>
      <c r="X204" s="48"/>
      <c r="Y204" s="48"/>
      <c r="Z204" s="48"/>
      <c r="AA204" s="48"/>
    </row>
    <row r="205" spans="1:27" ht="15.75" customHeight="1" x14ac:dyDescent="0.2">
      <c r="A205" s="48"/>
      <c r="B205" s="48"/>
      <c r="C205" s="48"/>
      <c r="D205" s="48"/>
      <c r="E205" s="48"/>
      <c r="F205" s="48"/>
      <c r="G205" s="48"/>
      <c r="H205" s="48"/>
      <c r="I205" s="48"/>
      <c r="J205" s="48"/>
      <c r="K205" s="48"/>
      <c r="L205" s="48"/>
      <c r="M205" s="48"/>
      <c r="N205" s="48"/>
      <c r="O205" s="48"/>
      <c r="P205" s="48"/>
      <c r="Q205" s="48"/>
      <c r="R205" s="48"/>
      <c r="S205" s="48"/>
      <c r="T205" s="48"/>
      <c r="U205" s="48"/>
      <c r="V205" s="48"/>
      <c r="W205" s="48"/>
      <c r="X205" s="48"/>
      <c r="Y205" s="48"/>
      <c r="Z205" s="48"/>
      <c r="AA205" s="48"/>
    </row>
    <row r="206" spans="1:27" ht="15.75" customHeight="1" x14ac:dyDescent="0.2">
      <c r="A206" s="48"/>
      <c r="B206" s="48"/>
      <c r="C206" s="48"/>
      <c r="D206" s="48"/>
      <c r="E206" s="48"/>
      <c r="F206" s="48"/>
      <c r="G206" s="48"/>
      <c r="H206" s="48"/>
      <c r="I206" s="48"/>
      <c r="J206" s="48"/>
      <c r="K206" s="48"/>
      <c r="L206" s="48"/>
      <c r="M206" s="48"/>
      <c r="N206" s="48"/>
      <c r="O206" s="48"/>
      <c r="P206" s="48"/>
      <c r="Q206" s="48"/>
      <c r="R206" s="48"/>
      <c r="S206" s="48"/>
      <c r="T206" s="48"/>
      <c r="U206" s="48"/>
      <c r="V206" s="48"/>
      <c r="W206" s="48"/>
      <c r="X206" s="48"/>
      <c r="Y206" s="48"/>
      <c r="Z206" s="48"/>
      <c r="AA206" s="48"/>
    </row>
    <row r="207" spans="1:27" ht="15.75" customHeight="1" x14ac:dyDescent="0.2">
      <c r="A207" s="48"/>
      <c r="B207" s="48"/>
      <c r="C207" s="48"/>
      <c r="D207" s="48"/>
      <c r="E207" s="48"/>
      <c r="F207" s="48"/>
      <c r="G207" s="48"/>
      <c r="H207" s="48"/>
      <c r="I207" s="48"/>
      <c r="J207" s="48"/>
      <c r="K207" s="48"/>
      <c r="L207" s="48"/>
      <c r="M207" s="48"/>
      <c r="N207" s="48"/>
      <c r="O207" s="48"/>
      <c r="P207" s="48"/>
      <c r="Q207" s="48"/>
      <c r="R207" s="48"/>
      <c r="S207" s="48"/>
      <c r="T207" s="48"/>
      <c r="U207" s="48"/>
      <c r="V207" s="48"/>
      <c r="W207" s="48"/>
      <c r="X207" s="48"/>
      <c r="Y207" s="48"/>
      <c r="Z207" s="48"/>
      <c r="AA207" s="48"/>
    </row>
    <row r="208" spans="1:27" ht="15.75" customHeight="1" x14ac:dyDescent="0.2">
      <c r="A208" s="48"/>
      <c r="B208" s="48"/>
      <c r="C208" s="48"/>
      <c r="D208" s="48"/>
      <c r="E208" s="48"/>
      <c r="F208" s="48"/>
      <c r="G208" s="48"/>
      <c r="H208" s="48"/>
      <c r="I208" s="48"/>
      <c r="J208" s="48"/>
      <c r="K208" s="48"/>
      <c r="L208" s="48"/>
      <c r="M208" s="48"/>
      <c r="N208" s="48"/>
      <c r="O208" s="48"/>
      <c r="P208" s="48"/>
      <c r="Q208" s="48"/>
      <c r="R208" s="48"/>
      <c r="S208" s="48"/>
      <c r="T208" s="48"/>
      <c r="U208" s="48"/>
      <c r="V208" s="48"/>
      <c r="W208" s="48"/>
      <c r="X208" s="48"/>
      <c r="Y208" s="48"/>
      <c r="Z208" s="48"/>
      <c r="AA208" s="48"/>
    </row>
    <row r="209" spans="1:27" ht="15.75" customHeight="1" x14ac:dyDescent="0.2">
      <c r="A209" s="48"/>
      <c r="B209" s="48"/>
      <c r="C209" s="48"/>
      <c r="D209" s="48"/>
      <c r="E209" s="48"/>
      <c r="F209" s="48"/>
      <c r="G209" s="48"/>
      <c r="H209" s="48"/>
      <c r="I209" s="48"/>
      <c r="J209" s="48"/>
      <c r="K209" s="48"/>
      <c r="L209" s="48"/>
      <c r="M209" s="48"/>
      <c r="N209" s="48"/>
      <c r="O209" s="48"/>
      <c r="P209" s="48"/>
      <c r="Q209" s="48"/>
      <c r="R209" s="48"/>
      <c r="S209" s="48"/>
      <c r="T209" s="48"/>
      <c r="U209" s="48"/>
      <c r="V209" s="48"/>
      <c r="W209" s="48"/>
      <c r="X209" s="48"/>
      <c r="Y209" s="48"/>
      <c r="Z209" s="48"/>
      <c r="AA209" s="48"/>
    </row>
    <row r="210" spans="1:27" ht="15.75" customHeight="1" x14ac:dyDescent="0.2">
      <c r="A210" s="48"/>
      <c r="B210" s="48"/>
      <c r="C210" s="48"/>
      <c r="D210" s="48"/>
      <c r="E210" s="48"/>
      <c r="F210" s="48"/>
      <c r="G210" s="48"/>
      <c r="H210" s="48"/>
      <c r="I210" s="48"/>
      <c r="J210" s="48"/>
      <c r="K210" s="48"/>
      <c r="L210" s="48"/>
      <c r="M210" s="48"/>
      <c r="N210" s="48"/>
      <c r="O210" s="48"/>
      <c r="P210" s="48"/>
      <c r="Q210" s="48"/>
      <c r="R210" s="48"/>
      <c r="S210" s="48"/>
      <c r="T210" s="48"/>
      <c r="U210" s="48"/>
      <c r="V210" s="48"/>
      <c r="W210" s="48"/>
      <c r="X210" s="48"/>
      <c r="Y210" s="48"/>
      <c r="Z210" s="48"/>
      <c r="AA210" s="48"/>
    </row>
    <row r="211" spans="1:27" ht="15.75" customHeight="1" x14ac:dyDescent="0.2">
      <c r="A211" s="48"/>
      <c r="B211" s="48"/>
      <c r="C211" s="48"/>
      <c r="D211" s="48"/>
      <c r="E211" s="48"/>
      <c r="F211" s="48"/>
      <c r="G211" s="48"/>
      <c r="H211" s="48"/>
      <c r="I211" s="48"/>
      <c r="J211" s="48"/>
      <c r="K211" s="48"/>
      <c r="L211" s="48"/>
      <c r="M211" s="48"/>
      <c r="N211" s="48"/>
      <c r="O211" s="48"/>
      <c r="P211" s="48"/>
      <c r="Q211" s="48"/>
      <c r="R211" s="48"/>
      <c r="S211" s="48"/>
      <c r="T211" s="48"/>
      <c r="U211" s="48"/>
      <c r="V211" s="48"/>
      <c r="W211" s="48"/>
      <c r="X211" s="48"/>
      <c r="Y211" s="48"/>
      <c r="Z211" s="48"/>
      <c r="AA211" s="48"/>
    </row>
    <row r="212" spans="1:27" ht="15.75" customHeight="1" x14ac:dyDescent="0.2">
      <c r="A212" s="48"/>
      <c r="B212" s="48"/>
      <c r="C212" s="48"/>
      <c r="D212" s="48"/>
      <c r="E212" s="48"/>
      <c r="F212" s="48"/>
      <c r="G212" s="48"/>
      <c r="H212" s="48"/>
      <c r="I212" s="48"/>
      <c r="J212" s="48"/>
      <c r="K212" s="48"/>
      <c r="L212" s="48"/>
      <c r="M212" s="48"/>
      <c r="N212" s="48"/>
      <c r="O212" s="48"/>
      <c r="P212" s="48"/>
      <c r="Q212" s="48"/>
      <c r="R212" s="48"/>
      <c r="S212" s="48"/>
      <c r="T212" s="48"/>
      <c r="U212" s="48"/>
      <c r="V212" s="48"/>
      <c r="W212" s="48"/>
      <c r="X212" s="48"/>
      <c r="Y212" s="48"/>
      <c r="Z212" s="48"/>
      <c r="AA212" s="48"/>
    </row>
    <row r="213" spans="1:27" ht="15.75" customHeight="1" x14ac:dyDescent="0.2">
      <c r="A213" s="48"/>
      <c r="B213" s="48"/>
      <c r="C213" s="48"/>
      <c r="D213" s="48"/>
      <c r="E213" s="48"/>
      <c r="F213" s="48"/>
      <c r="G213" s="48"/>
      <c r="H213" s="48"/>
      <c r="I213" s="48"/>
      <c r="J213" s="48"/>
      <c r="K213" s="48"/>
      <c r="L213" s="48"/>
      <c r="M213" s="48"/>
      <c r="N213" s="48"/>
      <c r="O213" s="48"/>
      <c r="P213" s="48"/>
      <c r="Q213" s="48"/>
      <c r="R213" s="48"/>
      <c r="S213" s="48"/>
      <c r="T213" s="48"/>
      <c r="U213" s="48"/>
      <c r="V213" s="48"/>
      <c r="W213" s="48"/>
      <c r="X213" s="48"/>
      <c r="Y213" s="48"/>
      <c r="Z213" s="48"/>
      <c r="AA213" s="48"/>
    </row>
    <row r="214" spans="1:27" ht="15.75" customHeight="1" x14ac:dyDescent="0.2">
      <c r="A214" s="48"/>
      <c r="B214" s="48"/>
      <c r="C214" s="48"/>
      <c r="D214" s="48"/>
      <c r="E214" s="48"/>
      <c r="F214" s="48"/>
      <c r="G214" s="48"/>
      <c r="H214" s="48"/>
      <c r="I214" s="48"/>
      <c r="J214" s="48"/>
      <c r="K214" s="48"/>
      <c r="L214" s="48"/>
      <c r="M214" s="48"/>
      <c r="N214" s="48"/>
      <c r="O214" s="48"/>
      <c r="P214" s="48"/>
      <c r="Q214" s="48"/>
      <c r="R214" s="48"/>
      <c r="S214" s="48"/>
      <c r="T214" s="48"/>
      <c r="U214" s="48"/>
      <c r="V214" s="48"/>
      <c r="W214" s="48"/>
      <c r="X214" s="48"/>
      <c r="Y214" s="48"/>
      <c r="Z214" s="48"/>
      <c r="AA214" s="48"/>
    </row>
    <row r="215" spans="1:27" ht="15.75" customHeight="1" x14ac:dyDescent="0.2">
      <c r="A215" s="48"/>
      <c r="B215" s="48"/>
      <c r="C215" s="48"/>
      <c r="D215" s="48"/>
      <c r="E215" s="48"/>
      <c r="F215" s="48"/>
      <c r="G215" s="48"/>
      <c r="H215" s="48"/>
      <c r="I215" s="48"/>
      <c r="J215" s="48"/>
      <c r="K215" s="48"/>
      <c r="L215" s="48"/>
      <c r="M215" s="48"/>
      <c r="N215" s="48"/>
      <c r="O215" s="48"/>
      <c r="P215" s="48"/>
      <c r="Q215" s="48"/>
      <c r="R215" s="48"/>
      <c r="S215" s="48"/>
      <c r="T215" s="48"/>
      <c r="U215" s="48"/>
      <c r="V215" s="48"/>
      <c r="W215" s="48"/>
      <c r="X215" s="48"/>
      <c r="Y215" s="48"/>
      <c r="Z215" s="48"/>
      <c r="AA215" s="48"/>
    </row>
    <row r="216" spans="1:27" ht="15.75" customHeight="1" x14ac:dyDescent="0.2">
      <c r="A216" s="48"/>
      <c r="B216" s="48"/>
      <c r="C216" s="48"/>
      <c r="D216" s="48"/>
      <c r="E216" s="48"/>
      <c r="F216" s="48"/>
      <c r="G216" s="48"/>
      <c r="H216" s="48"/>
      <c r="I216" s="48"/>
      <c r="J216" s="48"/>
      <c r="K216" s="48"/>
      <c r="L216" s="48"/>
      <c r="M216" s="48"/>
      <c r="N216" s="48"/>
      <c r="O216" s="48"/>
      <c r="P216" s="48"/>
      <c r="Q216" s="48"/>
      <c r="R216" s="48"/>
      <c r="S216" s="48"/>
      <c r="T216" s="48"/>
      <c r="U216" s="48"/>
      <c r="V216" s="48"/>
      <c r="W216" s="48"/>
      <c r="X216" s="48"/>
      <c r="Y216" s="48"/>
      <c r="Z216" s="48"/>
      <c r="AA216" s="48"/>
    </row>
    <row r="217" spans="1:27" ht="15.75" customHeight="1" x14ac:dyDescent="0.2">
      <c r="A217" s="48"/>
      <c r="B217" s="48"/>
      <c r="C217" s="48"/>
      <c r="D217" s="48"/>
      <c r="E217" s="48"/>
      <c r="F217" s="48"/>
      <c r="G217" s="48"/>
      <c r="H217" s="48"/>
      <c r="I217" s="48"/>
      <c r="J217" s="48"/>
      <c r="K217" s="48"/>
      <c r="L217" s="48"/>
      <c r="M217" s="48"/>
      <c r="N217" s="48"/>
      <c r="O217" s="48"/>
      <c r="P217" s="48"/>
      <c r="Q217" s="48"/>
      <c r="R217" s="48"/>
      <c r="S217" s="48"/>
      <c r="T217" s="48"/>
      <c r="U217" s="48"/>
      <c r="V217" s="48"/>
      <c r="W217" s="48"/>
      <c r="X217" s="48"/>
      <c r="Y217" s="48"/>
      <c r="Z217" s="48"/>
      <c r="AA217" s="48"/>
    </row>
    <row r="218" spans="1:27" ht="15.75" customHeight="1" x14ac:dyDescent="0.2">
      <c r="A218" s="48"/>
      <c r="B218" s="48"/>
      <c r="C218" s="48"/>
      <c r="D218" s="48"/>
      <c r="E218" s="48"/>
      <c r="F218" s="48"/>
      <c r="G218" s="48"/>
      <c r="H218" s="48"/>
      <c r="I218" s="48"/>
      <c r="J218" s="48"/>
      <c r="K218" s="48"/>
      <c r="L218" s="48"/>
      <c r="M218" s="48"/>
      <c r="N218" s="48"/>
      <c r="O218" s="48"/>
      <c r="P218" s="48"/>
      <c r="Q218" s="48"/>
      <c r="R218" s="48"/>
      <c r="S218" s="48"/>
      <c r="T218" s="48"/>
      <c r="U218" s="48"/>
      <c r="V218" s="48"/>
      <c r="W218" s="48"/>
      <c r="X218" s="48"/>
      <c r="Y218" s="48"/>
      <c r="Z218" s="48"/>
      <c r="AA218" s="48"/>
    </row>
    <row r="219" spans="1:27" ht="15.75" customHeight="1" x14ac:dyDescent="0.2">
      <c r="A219" s="48"/>
      <c r="B219" s="48"/>
      <c r="C219" s="48"/>
      <c r="D219" s="48"/>
      <c r="E219" s="48"/>
      <c r="F219" s="48"/>
      <c r="G219" s="48"/>
      <c r="H219" s="48"/>
      <c r="I219" s="48"/>
      <c r="J219" s="48"/>
      <c r="K219" s="48"/>
      <c r="L219" s="48"/>
      <c r="M219" s="48"/>
      <c r="N219" s="48"/>
      <c r="O219" s="48"/>
      <c r="P219" s="48"/>
      <c r="Q219" s="48"/>
      <c r="R219" s="48"/>
      <c r="S219" s="48"/>
      <c r="T219" s="48"/>
      <c r="U219" s="48"/>
      <c r="V219" s="48"/>
      <c r="W219" s="48"/>
      <c r="X219" s="48"/>
      <c r="Y219" s="48"/>
      <c r="Z219" s="48"/>
      <c r="AA219" s="48"/>
    </row>
    <row r="220" spans="1:27" ht="15.75" customHeight="1" x14ac:dyDescent="0.2">
      <c r="A220" s="48"/>
      <c r="B220" s="48"/>
      <c r="C220" s="48"/>
      <c r="D220" s="48"/>
      <c r="E220" s="48"/>
      <c r="F220" s="48"/>
      <c r="G220" s="48"/>
      <c r="H220" s="48"/>
      <c r="I220" s="48"/>
      <c r="J220" s="48"/>
      <c r="K220" s="48"/>
      <c r="L220" s="48"/>
      <c r="M220" s="48"/>
      <c r="N220" s="48"/>
      <c r="O220" s="48"/>
      <c r="P220" s="48"/>
      <c r="Q220" s="48"/>
      <c r="R220" s="48"/>
      <c r="S220" s="48"/>
      <c r="T220" s="48"/>
      <c r="U220" s="48"/>
      <c r="V220" s="48"/>
      <c r="W220" s="48"/>
      <c r="X220" s="48"/>
      <c r="Y220" s="48"/>
      <c r="Z220" s="48"/>
      <c r="AA220" s="48"/>
    </row>
    <row r="221" spans="1:27" ht="15.75" customHeight="1" x14ac:dyDescent="0.2"/>
    <row r="222" spans="1:27" ht="15.75" customHeight="1" x14ac:dyDescent="0.2"/>
    <row r="223" spans="1:27" ht="15.75" customHeight="1" x14ac:dyDescent="0.2"/>
    <row r="224" spans="1:27"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17">
    <mergeCell ref="B14:E14"/>
    <mergeCell ref="L9:M9"/>
    <mergeCell ref="L10:M10"/>
    <mergeCell ref="L12:M12"/>
    <mergeCell ref="L14:O14"/>
    <mergeCell ref="B9:C9"/>
    <mergeCell ref="B10:C10"/>
    <mergeCell ref="B12:C12"/>
    <mergeCell ref="B13:C13"/>
    <mergeCell ref="L8:M8"/>
    <mergeCell ref="L1:O3"/>
    <mergeCell ref="B4:C4"/>
    <mergeCell ref="L4:M4"/>
    <mergeCell ref="B5:C5"/>
    <mergeCell ref="B6:C6"/>
    <mergeCell ref="L6:M6"/>
    <mergeCell ref="B8:C8"/>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AK1000"/>
  <sheetViews>
    <sheetView workbookViewId="0">
      <pane xSplit="2" ySplit="2" topLeftCell="C3" activePane="bottomRight" state="frozen"/>
      <selection pane="topRight" activeCell="C1" sqref="C1"/>
      <selection pane="bottomLeft" activeCell="A3" sqref="A3"/>
      <selection pane="bottomRight" sqref="A1:AK1000"/>
    </sheetView>
  </sheetViews>
  <sheetFormatPr defaultColWidth="12.5703125" defaultRowHeight="15" customHeight="1" x14ac:dyDescent="0.2"/>
  <cols>
    <col min="1" max="1" width="13" customWidth="1"/>
    <col min="2" max="2" width="16" customWidth="1"/>
    <col min="3" max="3" width="38.140625" customWidth="1"/>
    <col min="4" max="6" width="12.5703125" customWidth="1"/>
  </cols>
  <sheetData>
    <row r="1" spans="1:37" ht="27.75" customHeight="1" x14ac:dyDescent="0.2">
      <c r="B1" s="139"/>
      <c r="F1" s="292"/>
      <c r="G1" s="271"/>
      <c r="H1" s="271"/>
    </row>
    <row r="2" spans="1:37" ht="27.75" customHeight="1" x14ac:dyDescent="0.2">
      <c r="B2" s="139"/>
      <c r="F2" s="271"/>
      <c r="G2" s="271"/>
      <c r="H2" s="271"/>
    </row>
    <row r="3" spans="1:37" ht="15.75" customHeight="1" x14ac:dyDescent="0.25">
      <c r="B3" s="140" t="s">
        <v>2</v>
      </c>
      <c r="C3" s="141"/>
      <c r="D3" s="141" t="s">
        <v>28</v>
      </c>
      <c r="E3" s="142">
        <v>46235</v>
      </c>
      <c r="F3" s="142">
        <v>46236</v>
      </c>
      <c r="G3" s="142">
        <v>46237</v>
      </c>
      <c r="H3" s="142">
        <v>46238</v>
      </c>
      <c r="I3" s="142">
        <v>46239</v>
      </c>
      <c r="J3" s="142">
        <v>46240</v>
      </c>
      <c r="K3" s="142">
        <v>46241</v>
      </c>
      <c r="L3" s="142">
        <v>46242</v>
      </c>
      <c r="M3" s="142">
        <v>46243</v>
      </c>
      <c r="N3" s="142">
        <v>46244</v>
      </c>
      <c r="O3" s="142">
        <v>46245</v>
      </c>
      <c r="P3" s="142">
        <v>46246</v>
      </c>
      <c r="Q3" s="142">
        <v>46247</v>
      </c>
      <c r="R3" s="142">
        <v>46248</v>
      </c>
      <c r="S3" s="142">
        <v>46249</v>
      </c>
      <c r="T3" s="142">
        <v>46250</v>
      </c>
      <c r="U3" s="142">
        <v>46251</v>
      </c>
      <c r="V3" s="142">
        <v>46252</v>
      </c>
      <c r="W3" s="142">
        <v>46253</v>
      </c>
      <c r="X3" s="142">
        <v>46254</v>
      </c>
      <c r="Y3" s="142">
        <v>46255</v>
      </c>
      <c r="Z3" s="142">
        <v>46256</v>
      </c>
      <c r="AA3" s="142">
        <v>46257</v>
      </c>
      <c r="AB3" s="142">
        <v>46258</v>
      </c>
      <c r="AC3" s="142">
        <v>46259</v>
      </c>
      <c r="AD3" s="142">
        <v>46260</v>
      </c>
      <c r="AE3" s="142">
        <v>46261</v>
      </c>
      <c r="AF3" s="142">
        <v>46262</v>
      </c>
      <c r="AG3" s="142">
        <v>46263</v>
      </c>
      <c r="AH3" s="142">
        <v>46264</v>
      </c>
      <c r="AI3" s="142">
        <v>46265</v>
      </c>
      <c r="AJ3" s="141" t="s">
        <v>29</v>
      </c>
      <c r="AK3" s="143" t="s">
        <v>30</v>
      </c>
    </row>
    <row r="4" spans="1:37" ht="15.75" customHeight="1" x14ac:dyDescent="0.25">
      <c r="A4" s="95"/>
      <c r="B4" s="293" t="s">
        <v>6</v>
      </c>
      <c r="C4" s="144" t="s">
        <v>340</v>
      </c>
      <c r="D4" s="144" t="s">
        <v>31</v>
      </c>
      <c r="E4" s="145">
        <v>250.27499999990687</v>
      </c>
      <c r="F4" s="145">
        <v>165.48416226729751</v>
      </c>
      <c r="G4" s="145">
        <v>360.76241963775828</v>
      </c>
      <c r="H4" s="145">
        <v>373.74166666669771</v>
      </c>
      <c r="I4" s="145">
        <v>361.77499999990687</v>
      </c>
      <c r="J4" s="145">
        <v>342.67916666669771</v>
      </c>
      <c r="K4" s="145">
        <v>368</v>
      </c>
      <c r="L4" s="145">
        <v>240.94549180287868</v>
      </c>
      <c r="M4" s="145">
        <v>154.31666666688398</v>
      </c>
      <c r="N4" s="145">
        <v>343.08852459024638</v>
      </c>
      <c r="O4" s="145">
        <v>363.04856557352468</v>
      </c>
      <c r="P4" s="145">
        <v>368.1875</v>
      </c>
      <c r="Q4" s="145">
        <v>371.28333333320916</v>
      </c>
      <c r="R4" s="145">
        <v>392.99999999953434</v>
      </c>
      <c r="S4" s="145">
        <v>199.38333333330229</v>
      </c>
      <c r="T4" s="145">
        <v>152.5</v>
      </c>
      <c r="U4" s="145">
        <v>356.58695355197415</v>
      </c>
      <c r="V4" s="145">
        <v>0</v>
      </c>
      <c r="W4" s="145">
        <v>0</v>
      </c>
      <c r="X4" s="145">
        <v>0</v>
      </c>
      <c r="Y4" s="145">
        <v>0</v>
      </c>
      <c r="Z4" s="145">
        <v>0</v>
      </c>
      <c r="AA4" s="145">
        <v>0</v>
      </c>
      <c r="AB4" s="145">
        <v>0</v>
      </c>
      <c r="AC4" s="145">
        <v>0</v>
      </c>
      <c r="AD4" s="145">
        <v>0</v>
      </c>
      <c r="AE4" s="145">
        <v>0</v>
      </c>
      <c r="AF4" s="145">
        <v>0</v>
      </c>
      <c r="AG4" s="145">
        <v>0</v>
      </c>
      <c r="AH4" s="145">
        <v>0</v>
      </c>
      <c r="AI4" s="145">
        <v>0</v>
      </c>
      <c r="AJ4" s="145">
        <v>5165.0577840898186</v>
      </c>
      <c r="AK4" s="146">
        <v>0.1902138651684146</v>
      </c>
    </row>
    <row r="5" spans="1:37" ht="15.75" customHeight="1" x14ac:dyDescent="0.25">
      <c r="A5" s="95"/>
      <c r="B5" s="290"/>
      <c r="C5" s="147" t="s">
        <v>341</v>
      </c>
      <c r="D5" s="148" t="s">
        <v>32</v>
      </c>
      <c r="E5" s="149">
        <v>719.49692622944713</v>
      </c>
      <c r="F5" s="149">
        <v>362.30272297840565</v>
      </c>
      <c r="G5" s="149">
        <v>888.82758620660752</v>
      </c>
      <c r="H5" s="149">
        <v>916.78333333320916</v>
      </c>
      <c r="I5" s="149">
        <v>889.7624999997206</v>
      </c>
      <c r="J5" s="149">
        <v>880.53333333320916</v>
      </c>
      <c r="K5" s="149">
        <v>861.125</v>
      </c>
      <c r="L5" s="149">
        <v>416.60637225583196</v>
      </c>
      <c r="M5" s="149">
        <v>305.19583333330229</v>
      </c>
      <c r="N5" s="149">
        <v>936.39999999990687</v>
      </c>
      <c r="O5" s="149">
        <v>1010.0597677598707</v>
      </c>
      <c r="P5" s="149">
        <v>491.03333333367482</v>
      </c>
      <c r="Q5" s="149">
        <v>967.79999999981374</v>
      </c>
      <c r="R5" s="149">
        <v>947.77759562851861</v>
      </c>
      <c r="S5" s="149">
        <v>325.57213114760816</v>
      </c>
      <c r="T5" s="149">
        <v>315.82500000018626</v>
      </c>
      <c r="U5" s="149">
        <v>912.74583333311602</v>
      </c>
      <c r="V5" s="149">
        <v>0</v>
      </c>
      <c r="W5" s="149">
        <v>0</v>
      </c>
      <c r="X5" s="149">
        <v>0</v>
      </c>
      <c r="Y5" s="149">
        <v>0</v>
      </c>
      <c r="Z5" s="149">
        <v>0</v>
      </c>
      <c r="AA5" s="149">
        <v>0</v>
      </c>
      <c r="AB5" s="149">
        <v>0</v>
      </c>
      <c r="AC5" s="149">
        <v>0</v>
      </c>
      <c r="AD5" s="149">
        <v>0</v>
      </c>
      <c r="AE5" s="149">
        <v>0</v>
      </c>
      <c r="AF5" s="149">
        <v>0</v>
      </c>
      <c r="AG5" s="149">
        <v>0</v>
      </c>
      <c r="AH5" s="149">
        <v>0</v>
      </c>
      <c r="AI5" s="149">
        <v>0</v>
      </c>
      <c r="AJ5" s="150">
        <v>12147.847268872429</v>
      </c>
      <c r="AK5" s="151">
        <v>0.44736943497622089</v>
      </c>
    </row>
    <row r="6" spans="1:37" ht="15.75" customHeight="1" x14ac:dyDescent="0.25">
      <c r="A6" s="95"/>
      <c r="B6" s="290"/>
      <c r="C6" s="147" t="s">
        <v>342</v>
      </c>
      <c r="D6" s="148" t="s">
        <v>33</v>
      </c>
      <c r="E6" s="149">
        <v>217.81557377055287</v>
      </c>
      <c r="F6" s="149">
        <v>125.27650375431404</v>
      </c>
      <c r="G6" s="149">
        <v>279.48965517245233</v>
      </c>
      <c r="H6" s="149">
        <v>274.77499999990687</v>
      </c>
      <c r="I6" s="149">
        <v>223.96250000037253</v>
      </c>
      <c r="J6" s="149">
        <v>304.29999999981374</v>
      </c>
      <c r="K6" s="149">
        <v>261.47951977420598</v>
      </c>
      <c r="L6" s="149">
        <v>123.9356359411031</v>
      </c>
      <c r="M6" s="149">
        <v>189.01250000018626</v>
      </c>
      <c r="N6" s="149">
        <v>298.9875000002794</v>
      </c>
      <c r="O6" s="149">
        <v>300.24166666669771</v>
      </c>
      <c r="P6" s="149">
        <v>333.77916666632518</v>
      </c>
      <c r="Q6" s="149">
        <v>284.9250000002794</v>
      </c>
      <c r="R6" s="149">
        <v>273.68073770496994</v>
      </c>
      <c r="S6" s="149">
        <v>191.85286885220557</v>
      </c>
      <c r="T6" s="149">
        <v>187.28750000009313</v>
      </c>
      <c r="U6" s="149">
        <v>265.77500000037253</v>
      </c>
      <c r="V6" s="149">
        <v>0</v>
      </c>
      <c r="W6" s="149">
        <v>0</v>
      </c>
      <c r="X6" s="149">
        <v>0</v>
      </c>
      <c r="Y6" s="149">
        <v>0</v>
      </c>
      <c r="Z6" s="149">
        <v>0</v>
      </c>
      <c r="AA6" s="149">
        <v>0</v>
      </c>
      <c r="AB6" s="149">
        <v>0</v>
      </c>
      <c r="AC6" s="149">
        <v>0</v>
      </c>
      <c r="AD6" s="149">
        <v>0</v>
      </c>
      <c r="AE6" s="149">
        <v>0</v>
      </c>
      <c r="AF6" s="149">
        <v>0</v>
      </c>
      <c r="AG6" s="149">
        <v>0</v>
      </c>
      <c r="AH6" s="149">
        <v>0</v>
      </c>
      <c r="AI6" s="149">
        <v>0</v>
      </c>
      <c r="AJ6" s="150">
        <v>4136.5763283041306</v>
      </c>
      <c r="AK6" s="151">
        <v>0.15233792241291499</v>
      </c>
    </row>
    <row r="7" spans="1:37" ht="15.75" customHeight="1" x14ac:dyDescent="0.25">
      <c r="A7" s="95"/>
      <c r="B7" s="290"/>
      <c r="C7" s="147" t="s">
        <v>343</v>
      </c>
      <c r="D7" s="148" t="s">
        <v>34</v>
      </c>
      <c r="E7" s="149">
        <v>335.03278688527644</v>
      </c>
      <c r="F7" s="149">
        <v>215.37416309770197</v>
      </c>
      <c r="G7" s="149">
        <v>362.52500000037253</v>
      </c>
      <c r="H7" s="149">
        <v>343.51250000018626</v>
      </c>
      <c r="I7" s="149">
        <v>338</v>
      </c>
      <c r="J7" s="149">
        <v>374.76666666660458</v>
      </c>
      <c r="K7" s="149">
        <v>342.80381355946884</v>
      </c>
      <c r="L7" s="149">
        <v>321.98749999981374</v>
      </c>
      <c r="M7" s="149">
        <v>316.48647540947422</v>
      </c>
      <c r="N7" s="149">
        <v>344</v>
      </c>
      <c r="O7" s="149">
        <v>373.47499999962747</v>
      </c>
      <c r="P7" s="149">
        <v>337.72916666697711</v>
      </c>
      <c r="Q7" s="149">
        <v>340.71666666679084</v>
      </c>
      <c r="R7" s="149">
        <v>334.94166666688398</v>
      </c>
      <c r="S7" s="149">
        <v>342.02499999990687</v>
      </c>
      <c r="T7" s="149">
        <v>345.80471311463043</v>
      </c>
      <c r="U7" s="149">
        <v>335.28749999962747</v>
      </c>
      <c r="V7" s="149">
        <v>0</v>
      </c>
      <c r="W7" s="149">
        <v>0</v>
      </c>
      <c r="X7" s="149">
        <v>0</v>
      </c>
      <c r="Y7" s="149">
        <v>0</v>
      </c>
      <c r="Z7" s="149">
        <v>0</v>
      </c>
      <c r="AA7" s="149">
        <v>0</v>
      </c>
      <c r="AB7" s="149">
        <v>0</v>
      </c>
      <c r="AC7" s="149">
        <v>0</v>
      </c>
      <c r="AD7" s="149">
        <v>0</v>
      </c>
      <c r="AE7" s="149">
        <v>0</v>
      </c>
      <c r="AF7" s="149">
        <v>0</v>
      </c>
      <c r="AG7" s="149">
        <v>0</v>
      </c>
      <c r="AH7" s="149">
        <v>0</v>
      </c>
      <c r="AI7" s="149">
        <v>0</v>
      </c>
      <c r="AJ7" s="150">
        <v>5704.4686187333427</v>
      </c>
      <c r="AK7" s="151">
        <v>0.21007877744244949</v>
      </c>
    </row>
    <row r="8" spans="1:37" ht="15.75" customHeight="1" x14ac:dyDescent="0.25">
      <c r="A8" s="95"/>
      <c r="B8" s="294"/>
      <c r="C8" s="152"/>
      <c r="D8" s="153" t="s">
        <v>29</v>
      </c>
      <c r="E8" s="154">
        <v>1522.6202868851833</v>
      </c>
      <c r="F8" s="154">
        <v>868.43755209771916</v>
      </c>
      <c r="G8" s="154">
        <v>1891.6046610171907</v>
      </c>
      <c r="H8" s="154">
        <v>1908.8125</v>
      </c>
      <c r="I8" s="154">
        <v>1813.5</v>
      </c>
      <c r="J8" s="154">
        <v>1902.2791666663252</v>
      </c>
      <c r="K8" s="154">
        <v>1833.4083333336748</v>
      </c>
      <c r="L8" s="154">
        <v>1103.4749999996275</v>
      </c>
      <c r="M8" s="154">
        <v>965.01147540984675</v>
      </c>
      <c r="N8" s="154">
        <v>1922.4760245904326</v>
      </c>
      <c r="O8" s="154">
        <v>2046.8249999997206</v>
      </c>
      <c r="P8" s="154">
        <v>1530.7291666669771</v>
      </c>
      <c r="Q8" s="154">
        <v>1964.7250000000931</v>
      </c>
      <c r="R8" s="154">
        <v>1949.3999999999069</v>
      </c>
      <c r="S8" s="154">
        <v>1058.8333333330229</v>
      </c>
      <c r="T8" s="154">
        <v>1001.4172131149098</v>
      </c>
      <c r="U8" s="154">
        <v>1870.3952868850902</v>
      </c>
      <c r="V8" s="154">
        <v>0</v>
      </c>
      <c r="W8" s="154">
        <v>0</v>
      </c>
      <c r="X8" s="154">
        <v>0</v>
      </c>
      <c r="Y8" s="154">
        <v>0</v>
      </c>
      <c r="Z8" s="154">
        <v>0</v>
      </c>
      <c r="AA8" s="154">
        <v>0</v>
      </c>
      <c r="AB8" s="154">
        <v>0</v>
      </c>
      <c r="AC8" s="154">
        <v>0</v>
      </c>
      <c r="AD8" s="154">
        <v>0</v>
      </c>
      <c r="AE8" s="154">
        <v>0</v>
      </c>
      <c r="AF8" s="154">
        <v>0</v>
      </c>
      <c r="AG8" s="154">
        <v>0</v>
      </c>
      <c r="AH8" s="154">
        <v>0</v>
      </c>
      <c r="AI8" s="154">
        <v>0</v>
      </c>
      <c r="AJ8" s="155">
        <v>27153.949999999721</v>
      </c>
      <c r="AK8" s="156">
        <v>1</v>
      </c>
    </row>
    <row r="9" spans="1:37" ht="15.75" customHeight="1" x14ac:dyDescent="0.25">
      <c r="A9" s="95"/>
      <c r="B9" s="289" t="s">
        <v>11</v>
      </c>
      <c r="C9" s="147" t="s">
        <v>35</v>
      </c>
      <c r="D9" s="148" t="s">
        <v>31</v>
      </c>
      <c r="E9" s="150">
        <v>66.438244047574699</v>
      </c>
      <c r="F9" s="150">
        <v>11.5</v>
      </c>
      <c r="G9" s="150">
        <v>58.021874999976717</v>
      </c>
      <c r="H9" s="150">
        <v>54.890625</v>
      </c>
      <c r="I9" s="150">
        <v>52.309374999953434</v>
      </c>
      <c r="J9" s="150">
        <v>51.429725609836169</v>
      </c>
      <c r="K9" s="150">
        <v>57.461649550707079</v>
      </c>
      <c r="L9" s="150">
        <v>51.573437500046566</v>
      </c>
      <c r="M9" s="150">
        <v>9.6875</v>
      </c>
      <c r="N9" s="150">
        <v>44.096875000046566</v>
      </c>
      <c r="O9" s="150">
        <v>48.695884146378376</v>
      </c>
      <c r="P9" s="150">
        <v>46.190625000046566</v>
      </c>
      <c r="Q9" s="150">
        <v>58.690625000046566</v>
      </c>
      <c r="R9" s="150">
        <v>45.292187499930151</v>
      </c>
      <c r="S9" s="150">
        <v>12.350609756074846</v>
      </c>
      <c r="T9" s="150">
        <v>28.350818452425301</v>
      </c>
      <c r="U9" s="150">
        <v>58.067427884670906</v>
      </c>
      <c r="V9" s="150">
        <v>0</v>
      </c>
      <c r="W9" s="150">
        <v>0</v>
      </c>
      <c r="X9" s="150">
        <v>0</v>
      </c>
      <c r="Y9" s="150">
        <v>0</v>
      </c>
      <c r="Z9" s="150">
        <v>0</v>
      </c>
      <c r="AA9" s="150">
        <v>0</v>
      </c>
      <c r="AB9" s="150">
        <v>0</v>
      </c>
      <c r="AC9" s="150">
        <v>0</v>
      </c>
      <c r="AD9" s="150">
        <v>0</v>
      </c>
      <c r="AE9" s="150">
        <v>0</v>
      </c>
      <c r="AF9" s="150">
        <v>0</v>
      </c>
      <c r="AG9" s="150">
        <v>0</v>
      </c>
      <c r="AH9" s="150">
        <v>0</v>
      </c>
      <c r="AI9" s="150">
        <v>0</v>
      </c>
      <c r="AJ9" s="150">
        <v>755.04748444771394</v>
      </c>
      <c r="AK9" s="151">
        <v>0.12871082851493792</v>
      </c>
    </row>
    <row r="10" spans="1:37" ht="15.75" customHeight="1" x14ac:dyDescent="0.25">
      <c r="A10" s="95"/>
      <c r="B10" s="290"/>
      <c r="C10" s="147" t="s">
        <v>36</v>
      </c>
      <c r="D10" s="148" t="s">
        <v>32</v>
      </c>
      <c r="E10" s="149">
        <v>84.739880952402018</v>
      </c>
      <c r="F10" s="149">
        <v>26.142187500023283</v>
      </c>
      <c r="G10" s="149">
        <v>88.293990384670906</v>
      </c>
      <c r="H10" s="149">
        <v>100.92500000004657</v>
      </c>
      <c r="I10" s="149">
        <v>91.037500000093132</v>
      </c>
      <c r="J10" s="149">
        <v>92.084374999976717</v>
      </c>
      <c r="K10" s="149">
        <v>90.810060975607485</v>
      </c>
      <c r="L10" s="149">
        <v>79.076562499976717</v>
      </c>
      <c r="M10" s="149">
        <v>24.887195121962577</v>
      </c>
      <c r="N10" s="149">
        <v>104.4408717105398</v>
      </c>
      <c r="O10" s="149">
        <v>102.5350609755842</v>
      </c>
      <c r="P10" s="149">
        <v>93.309374999953434</v>
      </c>
      <c r="Q10" s="149">
        <v>81.671875</v>
      </c>
      <c r="R10" s="149">
        <v>117.16093750006985</v>
      </c>
      <c r="S10" s="149">
        <v>27.623475609812886</v>
      </c>
      <c r="T10" s="149">
        <v>26.3828125</v>
      </c>
      <c r="U10" s="149">
        <v>143.45132211537566</v>
      </c>
      <c r="V10" s="149">
        <v>0</v>
      </c>
      <c r="W10" s="149">
        <v>0</v>
      </c>
      <c r="X10" s="149">
        <v>0</v>
      </c>
      <c r="Y10" s="149">
        <v>0</v>
      </c>
      <c r="Z10" s="149">
        <v>0</v>
      </c>
      <c r="AA10" s="149">
        <v>0</v>
      </c>
      <c r="AB10" s="149">
        <v>0</v>
      </c>
      <c r="AC10" s="149">
        <v>0</v>
      </c>
      <c r="AD10" s="149">
        <v>0</v>
      </c>
      <c r="AE10" s="149">
        <v>0</v>
      </c>
      <c r="AF10" s="149">
        <v>0</v>
      </c>
      <c r="AG10" s="149">
        <v>0</v>
      </c>
      <c r="AH10" s="149">
        <v>0</v>
      </c>
      <c r="AI10" s="149">
        <v>0</v>
      </c>
      <c r="AJ10" s="150">
        <v>1374.5724828460952</v>
      </c>
      <c r="AK10" s="151">
        <v>0.23431951865963452</v>
      </c>
    </row>
    <row r="11" spans="1:37" ht="15.75" customHeight="1" x14ac:dyDescent="0.25">
      <c r="A11" s="95"/>
      <c r="B11" s="290"/>
      <c r="C11" s="147" t="s">
        <v>37</v>
      </c>
      <c r="D11" s="148" t="s">
        <v>33</v>
      </c>
      <c r="E11" s="149">
        <v>96.237500000046566</v>
      </c>
      <c r="F11" s="149">
        <v>20.03311737801414</v>
      </c>
      <c r="G11" s="149">
        <v>93.27163461537566</v>
      </c>
      <c r="H11" s="149">
        <v>73.298076923121698</v>
      </c>
      <c r="I11" s="149">
        <v>83.252591463387944</v>
      </c>
      <c r="J11" s="149">
        <v>80.235937500023283</v>
      </c>
      <c r="K11" s="149">
        <v>79.554268292617053</v>
      </c>
      <c r="L11" s="149">
        <v>89.1328125</v>
      </c>
      <c r="M11" s="149">
        <v>19.789367377990857</v>
      </c>
      <c r="N11" s="149">
        <v>84.997352374717593</v>
      </c>
      <c r="O11" s="149">
        <v>77.750304877990857</v>
      </c>
      <c r="P11" s="149">
        <v>87.731250000069849</v>
      </c>
      <c r="Q11" s="149">
        <v>0</v>
      </c>
      <c r="R11" s="149">
        <v>80.448437500046566</v>
      </c>
      <c r="S11" s="149">
        <v>20.440625000046566</v>
      </c>
      <c r="T11" s="149">
        <v>55.324695121962577</v>
      </c>
      <c r="U11" s="149">
        <v>122.68281250004657</v>
      </c>
      <c r="V11" s="149">
        <v>0</v>
      </c>
      <c r="W11" s="149">
        <v>0</v>
      </c>
      <c r="X11" s="149">
        <v>0</v>
      </c>
      <c r="Y11" s="149">
        <v>0</v>
      </c>
      <c r="Z11" s="149">
        <v>0</v>
      </c>
      <c r="AA11" s="149">
        <v>0</v>
      </c>
      <c r="AB11" s="149">
        <v>0</v>
      </c>
      <c r="AC11" s="149">
        <v>0</v>
      </c>
      <c r="AD11" s="149">
        <v>0</v>
      </c>
      <c r="AE11" s="149">
        <v>0</v>
      </c>
      <c r="AF11" s="149">
        <v>0</v>
      </c>
      <c r="AG11" s="149">
        <v>0</v>
      </c>
      <c r="AH11" s="149">
        <v>0</v>
      </c>
      <c r="AI11" s="149">
        <v>0</v>
      </c>
      <c r="AJ11" s="150">
        <v>1164.1807834254578</v>
      </c>
      <c r="AK11" s="151">
        <v>0.19845463532066981</v>
      </c>
    </row>
    <row r="12" spans="1:37" ht="15.75" customHeight="1" x14ac:dyDescent="0.25">
      <c r="A12" s="95"/>
      <c r="B12" s="290"/>
      <c r="C12" s="147" t="s">
        <v>38</v>
      </c>
      <c r="D12" s="148" t="s">
        <v>34</v>
      </c>
      <c r="E12" s="149">
        <v>176.09999999997672</v>
      </c>
      <c r="F12" s="149">
        <v>41.330945121939294</v>
      </c>
      <c r="G12" s="149">
        <v>159.46562499995343</v>
      </c>
      <c r="H12" s="149">
        <v>185.2487980768783</v>
      </c>
      <c r="I12" s="149">
        <v>160.1676829267526</v>
      </c>
      <c r="J12" s="149">
        <v>163.18922697368544</v>
      </c>
      <c r="K12" s="149">
        <v>168.88791920733638</v>
      </c>
      <c r="L12" s="149">
        <v>163.1875</v>
      </c>
      <c r="M12" s="149">
        <v>37.196875000023283</v>
      </c>
      <c r="N12" s="149">
        <v>188.93521341471933</v>
      </c>
      <c r="O12" s="149">
        <v>197.21250000002328</v>
      </c>
      <c r="P12" s="149">
        <v>243.18124999990687</v>
      </c>
      <c r="Q12" s="149">
        <v>222.3046875</v>
      </c>
      <c r="R12" s="149">
        <v>208.3196646340657</v>
      </c>
      <c r="S12" s="149">
        <v>38.325744047528133</v>
      </c>
      <c r="T12" s="149">
        <v>39.679992377990857</v>
      </c>
      <c r="U12" s="149">
        <v>179.69687499990687</v>
      </c>
      <c r="V12" s="149">
        <v>0</v>
      </c>
      <c r="W12" s="149">
        <v>0</v>
      </c>
      <c r="X12" s="149">
        <v>0</v>
      </c>
      <c r="Y12" s="149">
        <v>0</v>
      </c>
      <c r="Z12" s="149">
        <v>0</v>
      </c>
      <c r="AA12" s="149">
        <v>0</v>
      </c>
      <c r="AB12" s="149">
        <v>0</v>
      </c>
      <c r="AC12" s="149">
        <v>0</v>
      </c>
      <c r="AD12" s="149">
        <v>0</v>
      </c>
      <c r="AE12" s="149">
        <v>0</v>
      </c>
      <c r="AF12" s="149">
        <v>0</v>
      </c>
      <c r="AG12" s="149">
        <v>0</v>
      </c>
      <c r="AH12" s="149">
        <v>0</v>
      </c>
      <c r="AI12" s="149">
        <v>0</v>
      </c>
      <c r="AJ12" s="150">
        <v>2572.4304992806865</v>
      </c>
      <c r="AK12" s="151">
        <v>0.43851501750475774</v>
      </c>
    </row>
    <row r="13" spans="1:37" ht="15.75" customHeight="1" x14ac:dyDescent="0.25">
      <c r="A13" s="95"/>
      <c r="B13" s="294"/>
      <c r="C13" s="152"/>
      <c r="D13" s="153" t="s">
        <v>29</v>
      </c>
      <c r="E13" s="154">
        <v>423.515625</v>
      </c>
      <c r="F13" s="154">
        <v>99.006249999976717</v>
      </c>
      <c r="G13" s="154">
        <v>399.05312499997672</v>
      </c>
      <c r="H13" s="154">
        <v>414.36250000004657</v>
      </c>
      <c r="I13" s="154">
        <v>386.76714939018711</v>
      </c>
      <c r="J13" s="154">
        <v>386.9392650835216</v>
      </c>
      <c r="K13" s="154">
        <v>396.713898026268</v>
      </c>
      <c r="L13" s="154">
        <v>382.97031250002328</v>
      </c>
      <c r="M13" s="154">
        <v>91.560937499976717</v>
      </c>
      <c r="N13" s="154">
        <v>422.47031250002328</v>
      </c>
      <c r="O13" s="154">
        <v>426.19374999997672</v>
      </c>
      <c r="P13" s="154">
        <v>470.41249999997672</v>
      </c>
      <c r="Q13" s="154">
        <v>362.66718750004657</v>
      </c>
      <c r="R13" s="154">
        <v>451.22122713411227</v>
      </c>
      <c r="S13" s="154">
        <v>98.74045441346243</v>
      </c>
      <c r="T13" s="154">
        <v>149.73831845237873</v>
      </c>
      <c r="U13" s="154">
        <v>503.8984375</v>
      </c>
      <c r="V13" s="154">
        <v>0</v>
      </c>
      <c r="W13" s="154">
        <v>0</v>
      </c>
      <c r="X13" s="154">
        <v>0</v>
      </c>
      <c r="Y13" s="154">
        <v>0</v>
      </c>
      <c r="Z13" s="154">
        <v>0</v>
      </c>
      <c r="AA13" s="154">
        <v>0</v>
      </c>
      <c r="AB13" s="154">
        <v>0</v>
      </c>
      <c r="AC13" s="154">
        <v>0</v>
      </c>
      <c r="AD13" s="154">
        <v>0</v>
      </c>
      <c r="AE13" s="154">
        <v>0</v>
      </c>
      <c r="AF13" s="154">
        <v>0</v>
      </c>
      <c r="AG13" s="154">
        <v>0</v>
      </c>
      <c r="AH13" s="154">
        <v>0</v>
      </c>
      <c r="AI13" s="154">
        <v>0</v>
      </c>
      <c r="AJ13" s="155">
        <v>5866.2312499999534</v>
      </c>
      <c r="AK13" s="156">
        <v>1</v>
      </c>
    </row>
    <row r="14" spans="1:37" ht="15.75" customHeight="1" x14ac:dyDescent="0.25">
      <c r="A14" s="95"/>
      <c r="B14" s="289" t="s">
        <v>7</v>
      </c>
      <c r="C14" s="147" t="s">
        <v>39</v>
      </c>
      <c r="D14" s="148" t="s">
        <v>31</v>
      </c>
      <c r="E14" s="150">
        <v>0</v>
      </c>
      <c r="F14" s="150">
        <v>0</v>
      </c>
      <c r="G14" s="150">
        <v>0</v>
      </c>
      <c r="H14" s="150">
        <v>0</v>
      </c>
      <c r="I14" s="150">
        <v>0</v>
      </c>
      <c r="J14" s="150">
        <v>0</v>
      </c>
      <c r="K14" s="150">
        <v>0</v>
      </c>
      <c r="L14" s="150">
        <v>0</v>
      </c>
      <c r="M14" s="150">
        <v>0</v>
      </c>
      <c r="N14" s="150">
        <v>0</v>
      </c>
      <c r="O14" s="150">
        <v>0</v>
      </c>
      <c r="P14" s="150">
        <v>0</v>
      </c>
      <c r="Q14" s="150">
        <v>0</v>
      </c>
      <c r="R14" s="150">
        <v>0</v>
      </c>
      <c r="S14" s="150">
        <v>0</v>
      </c>
      <c r="T14" s="150">
        <v>0</v>
      </c>
      <c r="U14" s="150">
        <v>0</v>
      </c>
      <c r="V14" s="150">
        <v>0</v>
      </c>
      <c r="W14" s="150">
        <v>0</v>
      </c>
      <c r="X14" s="150">
        <v>0</v>
      </c>
      <c r="Y14" s="150">
        <v>0</v>
      </c>
      <c r="Z14" s="150">
        <v>0</v>
      </c>
      <c r="AA14" s="150">
        <v>0</v>
      </c>
      <c r="AB14" s="150">
        <v>0</v>
      </c>
      <c r="AC14" s="150">
        <v>0</v>
      </c>
      <c r="AD14" s="150">
        <v>0</v>
      </c>
      <c r="AE14" s="150">
        <v>0</v>
      </c>
      <c r="AF14" s="150">
        <v>0</v>
      </c>
      <c r="AG14" s="150">
        <v>0</v>
      </c>
      <c r="AH14" s="150">
        <v>0</v>
      </c>
      <c r="AI14" s="150">
        <v>0</v>
      </c>
      <c r="AJ14" s="150">
        <v>0</v>
      </c>
      <c r="AK14" s="151">
        <v>0</v>
      </c>
    </row>
    <row r="15" spans="1:37" ht="15.75" customHeight="1" x14ac:dyDescent="0.25">
      <c r="A15" s="95"/>
      <c r="B15" s="290"/>
      <c r="C15" s="147" t="s">
        <v>40</v>
      </c>
      <c r="D15" s="148" t="s">
        <v>32</v>
      </c>
      <c r="E15" s="149">
        <v>0</v>
      </c>
      <c r="F15" s="149">
        <v>0</v>
      </c>
      <c r="G15" s="149">
        <v>0</v>
      </c>
      <c r="H15" s="149">
        <v>0</v>
      </c>
      <c r="I15" s="149">
        <v>0</v>
      </c>
      <c r="J15" s="149">
        <v>0</v>
      </c>
      <c r="K15" s="149">
        <v>0</v>
      </c>
      <c r="L15" s="149">
        <v>30.98046875</v>
      </c>
      <c r="M15" s="149">
        <v>2.8984375</v>
      </c>
      <c r="N15" s="149">
        <v>0</v>
      </c>
      <c r="O15" s="149">
        <v>0</v>
      </c>
      <c r="P15" s="149">
        <v>519.09375</v>
      </c>
      <c r="Q15" s="149">
        <v>0</v>
      </c>
      <c r="R15" s="149">
        <v>0</v>
      </c>
      <c r="S15" s="149">
        <v>0</v>
      </c>
      <c r="T15" s="149">
        <v>0</v>
      </c>
      <c r="U15" s="149">
        <v>0</v>
      </c>
      <c r="V15" s="149">
        <v>0</v>
      </c>
      <c r="W15" s="149">
        <v>0</v>
      </c>
      <c r="X15" s="149">
        <v>0</v>
      </c>
      <c r="Y15" s="149">
        <v>0</v>
      </c>
      <c r="Z15" s="149">
        <v>0</v>
      </c>
      <c r="AA15" s="149">
        <v>0</v>
      </c>
      <c r="AB15" s="149">
        <v>0</v>
      </c>
      <c r="AC15" s="149">
        <v>0</v>
      </c>
      <c r="AD15" s="149">
        <v>0</v>
      </c>
      <c r="AE15" s="149">
        <v>0</v>
      </c>
      <c r="AF15" s="149">
        <v>0</v>
      </c>
      <c r="AG15" s="149">
        <v>0</v>
      </c>
      <c r="AH15" s="149">
        <v>0</v>
      </c>
      <c r="AI15" s="149">
        <v>0</v>
      </c>
      <c r="AJ15" s="150">
        <v>552.97265625</v>
      </c>
      <c r="AK15" s="151">
        <v>0.65255331114532533</v>
      </c>
    </row>
    <row r="16" spans="1:37" ht="15.75" customHeight="1" x14ac:dyDescent="0.25">
      <c r="A16" s="95"/>
      <c r="B16" s="290"/>
      <c r="C16" s="147" t="s">
        <v>41</v>
      </c>
      <c r="D16" s="148" t="s">
        <v>33</v>
      </c>
      <c r="E16" s="149">
        <v>0</v>
      </c>
      <c r="F16" s="149">
        <v>81.300390624994179</v>
      </c>
      <c r="G16" s="149">
        <v>0</v>
      </c>
      <c r="H16" s="149">
        <v>0</v>
      </c>
      <c r="I16" s="149">
        <v>36</v>
      </c>
      <c r="J16" s="149">
        <v>0</v>
      </c>
      <c r="K16" s="149">
        <v>0</v>
      </c>
      <c r="L16" s="149">
        <v>50.84765625</v>
      </c>
      <c r="M16" s="149">
        <v>0</v>
      </c>
      <c r="N16" s="149">
        <v>0</v>
      </c>
      <c r="O16" s="149">
        <v>0</v>
      </c>
      <c r="P16" s="149">
        <v>0</v>
      </c>
      <c r="Q16" s="149">
        <v>0</v>
      </c>
      <c r="R16" s="149">
        <v>0</v>
      </c>
      <c r="S16" s="149">
        <v>0</v>
      </c>
      <c r="T16" s="149">
        <v>0</v>
      </c>
      <c r="U16" s="149">
        <v>0</v>
      </c>
      <c r="V16" s="149">
        <v>0</v>
      </c>
      <c r="W16" s="149">
        <v>0</v>
      </c>
      <c r="X16" s="149">
        <v>0</v>
      </c>
      <c r="Y16" s="149">
        <v>0</v>
      </c>
      <c r="Z16" s="149">
        <v>0</v>
      </c>
      <c r="AA16" s="149">
        <v>0</v>
      </c>
      <c r="AB16" s="149">
        <v>0</v>
      </c>
      <c r="AC16" s="149">
        <v>0</v>
      </c>
      <c r="AD16" s="149">
        <v>0</v>
      </c>
      <c r="AE16" s="149">
        <v>0</v>
      </c>
      <c r="AF16" s="149">
        <v>0</v>
      </c>
      <c r="AG16" s="149">
        <v>0</v>
      </c>
      <c r="AH16" s="149">
        <v>0</v>
      </c>
      <c r="AI16" s="149">
        <v>0</v>
      </c>
      <c r="AJ16" s="150">
        <v>168.14804687499418</v>
      </c>
      <c r="AK16" s="151">
        <v>0.19842855430683301</v>
      </c>
    </row>
    <row r="17" spans="1:37" ht="15.75" customHeight="1" x14ac:dyDescent="0.25">
      <c r="A17" s="95"/>
      <c r="B17" s="290"/>
      <c r="C17" s="147" t="s">
        <v>42</v>
      </c>
      <c r="D17" s="148" t="s">
        <v>34</v>
      </c>
      <c r="E17" s="149">
        <v>0</v>
      </c>
      <c r="F17" s="149">
        <v>126.27773437500582</v>
      </c>
      <c r="G17" s="149">
        <v>0</v>
      </c>
      <c r="H17" s="149">
        <v>0</v>
      </c>
      <c r="I17" s="149">
        <v>0</v>
      </c>
      <c r="J17" s="149">
        <v>0</v>
      </c>
      <c r="K17" s="149">
        <v>0</v>
      </c>
      <c r="L17" s="149">
        <v>0</v>
      </c>
      <c r="M17" s="149">
        <v>0</v>
      </c>
      <c r="N17" s="149">
        <v>0</v>
      </c>
      <c r="O17" s="149">
        <v>0</v>
      </c>
      <c r="P17" s="149">
        <v>0</v>
      </c>
      <c r="Q17" s="149">
        <v>0</v>
      </c>
      <c r="R17" s="149">
        <v>0</v>
      </c>
      <c r="S17" s="149">
        <v>0</v>
      </c>
      <c r="T17" s="149">
        <v>0</v>
      </c>
      <c r="U17" s="149">
        <v>0</v>
      </c>
      <c r="V17" s="149">
        <v>0</v>
      </c>
      <c r="W17" s="149">
        <v>0</v>
      </c>
      <c r="X17" s="149">
        <v>0</v>
      </c>
      <c r="Y17" s="149">
        <v>0</v>
      </c>
      <c r="Z17" s="149">
        <v>0</v>
      </c>
      <c r="AA17" s="149">
        <v>0</v>
      </c>
      <c r="AB17" s="149">
        <v>0</v>
      </c>
      <c r="AC17" s="149">
        <v>0</v>
      </c>
      <c r="AD17" s="149">
        <v>0</v>
      </c>
      <c r="AE17" s="149">
        <v>0</v>
      </c>
      <c r="AF17" s="149">
        <v>0</v>
      </c>
      <c r="AG17" s="149">
        <v>0</v>
      </c>
      <c r="AH17" s="149">
        <v>0</v>
      </c>
      <c r="AI17" s="149">
        <v>0</v>
      </c>
      <c r="AJ17" s="150">
        <v>126.27773437500582</v>
      </c>
      <c r="AK17" s="151">
        <v>0.14901813454784169</v>
      </c>
    </row>
    <row r="18" spans="1:37" ht="15.75" customHeight="1" x14ac:dyDescent="0.25">
      <c r="A18" s="95"/>
      <c r="B18" s="294"/>
      <c r="C18" s="152"/>
      <c r="D18" s="157" t="s">
        <v>29</v>
      </c>
      <c r="E18" s="158">
        <v>0</v>
      </c>
      <c r="F18" s="158">
        <v>207.578125</v>
      </c>
      <c r="G18" s="158">
        <v>0</v>
      </c>
      <c r="H18" s="158">
        <v>0</v>
      </c>
      <c r="I18" s="158">
        <v>36</v>
      </c>
      <c r="J18" s="158">
        <v>0</v>
      </c>
      <c r="K18" s="158">
        <v>0</v>
      </c>
      <c r="L18" s="158">
        <v>81.828125</v>
      </c>
      <c r="M18" s="158">
        <v>2.8984375</v>
      </c>
      <c r="N18" s="158">
        <v>0</v>
      </c>
      <c r="O18" s="158">
        <v>0</v>
      </c>
      <c r="P18" s="158">
        <v>519.09375</v>
      </c>
      <c r="Q18" s="158">
        <v>0</v>
      </c>
      <c r="R18" s="158">
        <v>0</v>
      </c>
      <c r="S18" s="158">
        <v>0</v>
      </c>
      <c r="T18" s="158">
        <v>0</v>
      </c>
      <c r="U18" s="158">
        <v>0</v>
      </c>
      <c r="V18" s="158">
        <v>0</v>
      </c>
      <c r="W18" s="158">
        <v>0</v>
      </c>
      <c r="X18" s="158">
        <v>0</v>
      </c>
      <c r="Y18" s="158">
        <v>0</v>
      </c>
      <c r="Z18" s="158">
        <v>0</v>
      </c>
      <c r="AA18" s="158">
        <v>0</v>
      </c>
      <c r="AB18" s="158">
        <v>0</v>
      </c>
      <c r="AC18" s="158">
        <v>0</v>
      </c>
      <c r="AD18" s="158">
        <v>0</v>
      </c>
      <c r="AE18" s="158">
        <v>0</v>
      </c>
      <c r="AF18" s="158">
        <v>0</v>
      </c>
      <c r="AG18" s="158">
        <v>0</v>
      </c>
      <c r="AH18" s="158">
        <v>0</v>
      </c>
      <c r="AI18" s="158">
        <v>0</v>
      </c>
      <c r="AJ18" s="159">
        <v>847.3984375</v>
      </c>
      <c r="AK18" s="160">
        <v>1</v>
      </c>
    </row>
    <row r="19" spans="1:37" ht="15.75" customHeight="1" x14ac:dyDescent="0.25">
      <c r="A19" s="95"/>
      <c r="B19" s="289" t="s">
        <v>8</v>
      </c>
      <c r="C19" s="147" t="s">
        <v>43</v>
      </c>
      <c r="D19" s="148" t="s">
        <v>31</v>
      </c>
      <c r="E19" s="150">
        <v>0</v>
      </c>
      <c r="F19" s="150">
        <v>0</v>
      </c>
      <c r="G19" s="150">
        <v>0</v>
      </c>
      <c r="H19" s="150">
        <v>0</v>
      </c>
      <c r="I19" s="150">
        <v>0</v>
      </c>
      <c r="J19" s="150">
        <v>0</v>
      </c>
      <c r="K19" s="150">
        <v>0</v>
      </c>
      <c r="L19" s="150">
        <v>0</v>
      </c>
      <c r="M19" s="150">
        <v>0</v>
      </c>
      <c r="N19" s="150">
        <v>0</v>
      </c>
      <c r="O19" s="150">
        <v>0</v>
      </c>
      <c r="P19" s="150">
        <v>0</v>
      </c>
      <c r="Q19" s="150">
        <v>0</v>
      </c>
      <c r="R19" s="150">
        <v>0</v>
      </c>
      <c r="S19" s="150">
        <v>0</v>
      </c>
      <c r="T19" s="150">
        <v>0</v>
      </c>
      <c r="U19" s="150">
        <v>0</v>
      </c>
      <c r="V19" s="150">
        <v>0</v>
      </c>
      <c r="W19" s="150">
        <v>0</v>
      </c>
      <c r="X19" s="150">
        <v>0</v>
      </c>
      <c r="Y19" s="150">
        <v>0</v>
      </c>
      <c r="Z19" s="150">
        <v>0</v>
      </c>
      <c r="AA19" s="150">
        <v>0</v>
      </c>
      <c r="AB19" s="150">
        <v>0</v>
      </c>
      <c r="AC19" s="150">
        <v>0</v>
      </c>
      <c r="AD19" s="150">
        <v>0</v>
      </c>
      <c r="AE19" s="150">
        <v>0</v>
      </c>
      <c r="AF19" s="150">
        <v>0</v>
      </c>
      <c r="AG19" s="150">
        <v>0</v>
      </c>
      <c r="AH19" s="150">
        <v>0</v>
      </c>
      <c r="AI19" s="150">
        <v>0</v>
      </c>
      <c r="AJ19" s="150">
        <v>0</v>
      </c>
      <c r="AK19" s="151" t="s">
        <v>339</v>
      </c>
    </row>
    <row r="20" spans="1:37" ht="15.75" customHeight="1" x14ac:dyDescent="0.25">
      <c r="A20" s="95"/>
      <c r="B20" s="290"/>
      <c r="C20" s="147" t="s">
        <v>44</v>
      </c>
      <c r="D20" s="148" t="s">
        <v>32</v>
      </c>
      <c r="E20" s="149">
        <v>0</v>
      </c>
      <c r="F20" s="149">
        <v>0</v>
      </c>
      <c r="G20" s="149">
        <v>0</v>
      </c>
      <c r="H20" s="149">
        <v>0</v>
      </c>
      <c r="I20" s="149">
        <v>0</v>
      </c>
      <c r="J20" s="149">
        <v>0</v>
      </c>
      <c r="K20" s="149">
        <v>0</v>
      </c>
      <c r="L20" s="149">
        <v>0</v>
      </c>
      <c r="M20" s="149">
        <v>0</v>
      </c>
      <c r="N20" s="149">
        <v>0</v>
      </c>
      <c r="O20" s="149">
        <v>0</v>
      </c>
      <c r="P20" s="149">
        <v>0</v>
      </c>
      <c r="Q20" s="149">
        <v>0</v>
      </c>
      <c r="R20" s="149">
        <v>0</v>
      </c>
      <c r="S20" s="149">
        <v>0</v>
      </c>
      <c r="T20" s="149">
        <v>0</v>
      </c>
      <c r="U20" s="149">
        <v>0</v>
      </c>
      <c r="V20" s="149">
        <v>0</v>
      </c>
      <c r="W20" s="149">
        <v>0</v>
      </c>
      <c r="X20" s="149">
        <v>0</v>
      </c>
      <c r="Y20" s="149">
        <v>0</v>
      </c>
      <c r="Z20" s="149">
        <v>0</v>
      </c>
      <c r="AA20" s="149">
        <v>0</v>
      </c>
      <c r="AB20" s="149">
        <v>0</v>
      </c>
      <c r="AC20" s="149">
        <v>0</v>
      </c>
      <c r="AD20" s="149">
        <v>0</v>
      </c>
      <c r="AE20" s="149">
        <v>0</v>
      </c>
      <c r="AF20" s="149">
        <v>0</v>
      </c>
      <c r="AG20" s="149">
        <v>0</v>
      </c>
      <c r="AH20" s="149">
        <v>0</v>
      </c>
      <c r="AI20" s="149">
        <v>0</v>
      </c>
      <c r="AJ20" s="150">
        <v>0</v>
      </c>
      <c r="AK20" s="151" t="s">
        <v>339</v>
      </c>
    </row>
    <row r="21" spans="1:37" ht="15.75" customHeight="1" x14ac:dyDescent="0.25">
      <c r="A21" s="95"/>
      <c r="B21" s="290"/>
      <c r="C21" s="147" t="s">
        <v>45</v>
      </c>
      <c r="D21" s="148" t="s">
        <v>33</v>
      </c>
      <c r="E21" s="149">
        <v>0</v>
      </c>
      <c r="F21" s="149">
        <v>0</v>
      </c>
      <c r="G21" s="149">
        <v>0</v>
      </c>
      <c r="H21" s="149">
        <v>0</v>
      </c>
      <c r="I21" s="149">
        <v>0</v>
      </c>
      <c r="J21" s="149">
        <v>0</v>
      </c>
      <c r="K21" s="149">
        <v>0</v>
      </c>
      <c r="L21" s="149">
        <v>0</v>
      </c>
      <c r="M21" s="149">
        <v>0</v>
      </c>
      <c r="N21" s="149">
        <v>0</v>
      </c>
      <c r="O21" s="149">
        <v>0</v>
      </c>
      <c r="P21" s="149">
        <v>0</v>
      </c>
      <c r="Q21" s="149">
        <v>0</v>
      </c>
      <c r="R21" s="149">
        <v>0</v>
      </c>
      <c r="S21" s="149">
        <v>0</v>
      </c>
      <c r="T21" s="149">
        <v>0</v>
      </c>
      <c r="U21" s="149">
        <v>0</v>
      </c>
      <c r="V21" s="149">
        <v>0</v>
      </c>
      <c r="W21" s="149">
        <v>0</v>
      </c>
      <c r="X21" s="149">
        <v>0</v>
      </c>
      <c r="Y21" s="149">
        <v>0</v>
      </c>
      <c r="Z21" s="149">
        <v>0</v>
      </c>
      <c r="AA21" s="149">
        <v>0</v>
      </c>
      <c r="AB21" s="149">
        <v>0</v>
      </c>
      <c r="AC21" s="149">
        <v>0</v>
      </c>
      <c r="AD21" s="149">
        <v>0</v>
      </c>
      <c r="AE21" s="149">
        <v>0</v>
      </c>
      <c r="AF21" s="149">
        <v>0</v>
      </c>
      <c r="AG21" s="149">
        <v>0</v>
      </c>
      <c r="AH21" s="149">
        <v>0</v>
      </c>
      <c r="AI21" s="149">
        <v>0</v>
      </c>
      <c r="AJ21" s="150">
        <v>0</v>
      </c>
      <c r="AK21" s="151" t="s">
        <v>339</v>
      </c>
    </row>
    <row r="22" spans="1:37" ht="15.75" customHeight="1" x14ac:dyDescent="0.25">
      <c r="A22" s="95"/>
      <c r="B22" s="290"/>
      <c r="C22" s="147" t="s">
        <v>46</v>
      </c>
      <c r="D22" s="148" t="s">
        <v>34</v>
      </c>
      <c r="E22" s="149">
        <v>0</v>
      </c>
      <c r="F22" s="149">
        <v>0</v>
      </c>
      <c r="G22" s="149">
        <v>0</v>
      </c>
      <c r="H22" s="149">
        <v>0</v>
      </c>
      <c r="I22" s="149">
        <v>0</v>
      </c>
      <c r="J22" s="149">
        <v>0</v>
      </c>
      <c r="K22" s="149">
        <v>0</v>
      </c>
      <c r="L22" s="149">
        <v>0</v>
      </c>
      <c r="M22" s="149">
        <v>0</v>
      </c>
      <c r="N22" s="149">
        <v>0</v>
      </c>
      <c r="O22" s="149">
        <v>0</v>
      </c>
      <c r="P22" s="149">
        <v>0</v>
      </c>
      <c r="Q22" s="149">
        <v>0</v>
      </c>
      <c r="R22" s="149">
        <v>0</v>
      </c>
      <c r="S22" s="149">
        <v>0</v>
      </c>
      <c r="T22" s="149">
        <v>0</v>
      </c>
      <c r="U22" s="149">
        <v>0</v>
      </c>
      <c r="V22" s="149">
        <v>0</v>
      </c>
      <c r="W22" s="149">
        <v>0</v>
      </c>
      <c r="X22" s="149">
        <v>0</v>
      </c>
      <c r="Y22" s="149">
        <v>0</v>
      </c>
      <c r="Z22" s="149">
        <v>0</v>
      </c>
      <c r="AA22" s="149">
        <v>0</v>
      </c>
      <c r="AB22" s="149">
        <v>0</v>
      </c>
      <c r="AC22" s="149">
        <v>0</v>
      </c>
      <c r="AD22" s="149">
        <v>0</v>
      </c>
      <c r="AE22" s="149">
        <v>0</v>
      </c>
      <c r="AF22" s="149">
        <v>0</v>
      </c>
      <c r="AG22" s="149">
        <v>0</v>
      </c>
      <c r="AH22" s="149">
        <v>0</v>
      </c>
      <c r="AI22" s="149">
        <v>0</v>
      </c>
      <c r="AJ22" s="150">
        <v>0</v>
      </c>
      <c r="AK22" s="151" t="s">
        <v>339</v>
      </c>
    </row>
    <row r="23" spans="1:37" ht="15.75" customHeight="1" x14ac:dyDescent="0.25">
      <c r="A23" s="95"/>
      <c r="B23" s="294"/>
      <c r="C23" s="152"/>
      <c r="D23" s="153" t="s">
        <v>29</v>
      </c>
      <c r="E23" s="154">
        <v>0</v>
      </c>
      <c r="F23" s="154">
        <v>0</v>
      </c>
      <c r="G23" s="154">
        <v>0</v>
      </c>
      <c r="H23" s="154">
        <v>0</v>
      </c>
      <c r="I23" s="154">
        <v>0</v>
      </c>
      <c r="J23" s="154">
        <v>0</v>
      </c>
      <c r="K23" s="154">
        <v>0</v>
      </c>
      <c r="L23" s="154">
        <v>0</v>
      </c>
      <c r="M23" s="154">
        <v>0</v>
      </c>
      <c r="N23" s="154">
        <v>0</v>
      </c>
      <c r="O23" s="154">
        <v>0</v>
      </c>
      <c r="P23" s="154">
        <v>0</v>
      </c>
      <c r="Q23" s="154">
        <v>0</v>
      </c>
      <c r="R23" s="154">
        <v>0</v>
      </c>
      <c r="S23" s="154">
        <v>0</v>
      </c>
      <c r="T23" s="154">
        <v>0</v>
      </c>
      <c r="U23" s="154">
        <v>0</v>
      </c>
      <c r="V23" s="154">
        <v>0</v>
      </c>
      <c r="W23" s="154">
        <v>0</v>
      </c>
      <c r="X23" s="154">
        <v>0</v>
      </c>
      <c r="Y23" s="154">
        <v>0</v>
      </c>
      <c r="Z23" s="154">
        <v>0</v>
      </c>
      <c r="AA23" s="154">
        <v>0</v>
      </c>
      <c r="AB23" s="154">
        <v>0</v>
      </c>
      <c r="AC23" s="154">
        <v>0</v>
      </c>
      <c r="AD23" s="154">
        <v>0</v>
      </c>
      <c r="AE23" s="154">
        <v>0</v>
      </c>
      <c r="AF23" s="154">
        <v>0</v>
      </c>
      <c r="AG23" s="154">
        <v>0</v>
      </c>
      <c r="AH23" s="154">
        <v>0</v>
      </c>
      <c r="AI23" s="154">
        <v>0</v>
      </c>
      <c r="AJ23" s="155">
        <v>0</v>
      </c>
      <c r="AK23" s="156" t="s">
        <v>339</v>
      </c>
    </row>
    <row r="24" spans="1:37" ht="15.75" customHeight="1" x14ac:dyDescent="0.25">
      <c r="A24" s="95"/>
      <c r="B24" s="289" t="s">
        <v>12</v>
      </c>
      <c r="C24" s="147" t="s">
        <v>47</v>
      </c>
      <c r="D24" s="148" t="s">
        <v>31</v>
      </c>
      <c r="E24" s="161">
        <v>0</v>
      </c>
      <c r="F24" s="161">
        <v>0</v>
      </c>
      <c r="G24" s="161">
        <v>0</v>
      </c>
      <c r="H24" s="161">
        <v>0</v>
      </c>
      <c r="I24" s="161">
        <v>0</v>
      </c>
      <c r="J24" s="161">
        <v>0</v>
      </c>
      <c r="K24" s="161">
        <v>0</v>
      </c>
      <c r="L24" s="161">
        <v>0</v>
      </c>
      <c r="M24" s="161">
        <v>0</v>
      </c>
      <c r="N24" s="161">
        <v>0</v>
      </c>
      <c r="O24" s="161">
        <v>0</v>
      </c>
      <c r="P24" s="161">
        <v>0</v>
      </c>
      <c r="Q24" s="161">
        <v>0</v>
      </c>
      <c r="R24" s="161">
        <v>0</v>
      </c>
      <c r="S24" s="161">
        <v>0</v>
      </c>
      <c r="T24" s="161">
        <v>0</v>
      </c>
      <c r="U24" s="161">
        <v>0</v>
      </c>
      <c r="V24" s="161">
        <v>0</v>
      </c>
      <c r="W24" s="161">
        <v>0</v>
      </c>
      <c r="X24" s="161">
        <v>0</v>
      </c>
      <c r="Y24" s="161">
        <v>0</v>
      </c>
      <c r="Z24" s="161">
        <v>0</v>
      </c>
      <c r="AA24" s="161">
        <v>0</v>
      </c>
      <c r="AB24" s="161">
        <v>0</v>
      </c>
      <c r="AC24" s="161">
        <v>0</v>
      </c>
      <c r="AD24" s="161">
        <v>0</v>
      </c>
      <c r="AE24" s="161">
        <v>0</v>
      </c>
      <c r="AF24" s="161">
        <v>0</v>
      </c>
      <c r="AG24" s="161">
        <v>0</v>
      </c>
      <c r="AH24" s="161">
        <v>0</v>
      </c>
      <c r="AI24" s="161">
        <v>0</v>
      </c>
      <c r="AJ24" s="150">
        <v>0</v>
      </c>
      <c r="AK24" s="151" t="s">
        <v>339</v>
      </c>
    </row>
    <row r="25" spans="1:37" ht="15.75" customHeight="1" x14ac:dyDescent="0.25">
      <c r="A25" s="95"/>
      <c r="B25" s="290"/>
      <c r="C25" s="147" t="s">
        <v>48</v>
      </c>
      <c r="D25" s="148" t="s">
        <v>32</v>
      </c>
      <c r="E25" s="149">
        <v>0</v>
      </c>
      <c r="F25" s="149">
        <v>0</v>
      </c>
      <c r="G25" s="149">
        <v>0</v>
      </c>
      <c r="H25" s="149">
        <v>0</v>
      </c>
      <c r="I25" s="149">
        <v>0</v>
      </c>
      <c r="J25" s="149">
        <v>0</v>
      </c>
      <c r="K25" s="149">
        <v>0</v>
      </c>
      <c r="L25" s="149">
        <v>0</v>
      </c>
      <c r="M25" s="149">
        <v>0</v>
      </c>
      <c r="N25" s="149">
        <v>0</v>
      </c>
      <c r="O25" s="149">
        <v>0</v>
      </c>
      <c r="P25" s="149">
        <v>0</v>
      </c>
      <c r="Q25" s="149">
        <v>0</v>
      </c>
      <c r="R25" s="149">
        <v>0</v>
      </c>
      <c r="S25" s="149">
        <v>0</v>
      </c>
      <c r="T25" s="149">
        <v>0</v>
      </c>
      <c r="U25" s="149">
        <v>0</v>
      </c>
      <c r="V25" s="149">
        <v>0</v>
      </c>
      <c r="W25" s="149">
        <v>0</v>
      </c>
      <c r="X25" s="149">
        <v>0</v>
      </c>
      <c r="Y25" s="149">
        <v>0</v>
      </c>
      <c r="Z25" s="149">
        <v>0</v>
      </c>
      <c r="AA25" s="149">
        <v>0</v>
      </c>
      <c r="AB25" s="149">
        <v>0</v>
      </c>
      <c r="AC25" s="149">
        <v>0</v>
      </c>
      <c r="AD25" s="149">
        <v>0</v>
      </c>
      <c r="AE25" s="149">
        <v>0</v>
      </c>
      <c r="AF25" s="149">
        <v>0</v>
      </c>
      <c r="AG25" s="149">
        <v>0</v>
      </c>
      <c r="AH25" s="149">
        <v>0</v>
      </c>
      <c r="AI25" s="149">
        <v>0</v>
      </c>
      <c r="AJ25" s="150">
        <v>0</v>
      </c>
      <c r="AK25" s="151" t="s">
        <v>339</v>
      </c>
    </row>
    <row r="26" spans="1:37" ht="15.75" customHeight="1" x14ac:dyDescent="0.25">
      <c r="A26" s="95"/>
      <c r="B26" s="290"/>
      <c r="C26" s="147" t="s">
        <v>49</v>
      </c>
      <c r="D26" s="148" t="s">
        <v>33</v>
      </c>
      <c r="E26" s="149">
        <v>0</v>
      </c>
      <c r="F26" s="149">
        <v>0</v>
      </c>
      <c r="G26" s="149">
        <v>0</v>
      </c>
      <c r="H26" s="149">
        <v>0</v>
      </c>
      <c r="I26" s="149">
        <v>0</v>
      </c>
      <c r="J26" s="149">
        <v>0</v>
      </c>
      <c r="K26" s="149">
        <v>0</v>
      </c>
      <c r="L26" s="149">
        <v>0</v>
      </c>
      <c r="M26" s="149">
        <v>0</v>
      </c>
      <c r="N26" s="149">
        <v>0</v>
      </c>
      <c r="O26" s="149">
        <v>0</v>
      </c>
      <c r="P26" s="149">
        <v>0</v>
      </c>
      <c r="Q26" s="149">
        <v>0</v>
      </c>
      <c r="R26" s="149">
        <v>0</v>
      </c>
      <c r="S26" s="149">
        <v>0</v>
      </c>
      <c r="T26" s="149">
        <v>0</v>
      </c>
      <c r="U26" s="149">
        <v>0</v>
      </c>
      <c r="V26" s="149">
        <v>0</v>
      </c>
      <c r="W26" s="149">
        <v>0</v>
      </c>
      <c r="X26" s="149">
        <v>0</v>
      </c>
      <c r="Y26" s="149">
        <v>0</v>
      </c>
      <c r="Z26" s="149">
        <v>0</v>
      </c>
      <c r="AA26" s="149">
        <v>0</v>
      </c>
      <c r="AB26" s="149">
        <v>0</v>
      </c>
      <c r="AC26" s="149">
        <v>0</v>
      </c>
      <c r="AD26" s="149">
        <v>0</v>
      </c>
      <c r="AE26" s="149">
        <v>0</v>
      </c>
      <c r="AF26" s="149">
        <v>0</v>
      </c>
      <c r="AG26" s="149">
        <v>0</v>
      </c>
      <c r="AH26" s="149">
        <v>0</v>
      </c>
      <c r="AI26" s="149">
        <v>0</v>
      </c>
      <c r="AJ26" s="150">
        <v>0</v>
      </c>
      <c r="AK26" s="151" t="s">
        <v>339</v>
      </c>
    </row>
    <row r="27" spans="1:37" ht="15.75" customHeight="1" x14ac:dyDescent="0.25">
      <c r="A27" s="95"/>
      <c r="B27" s="290"/>
      <c r="C27" s="147" t="s">
        <v>50</v>
      </c>
      <c r="D27" s="148" t="s">
        <v>34</v>
      </c>
      <c r="E27" s="149">
        <v>0</v>
      </c>
      <c r="F27" s="149">
        <v>0</v>
      </c>
      <c r="G27" s="149">
        <v>0</v>
      </c>
      <c r="H27" s="149">
        <v>0</v>
      </c>
      <c r="I27" s="149">
        <v>0</v>
      </c>
      <c r="J27" s="149">
        <v>0</v>
      </c>
      <c r="K27" s="149">
        <v>0</v>
      </c>
      <c r="L27" s="149">
        <v>0</v>
      </c>
      <c r="M27" s="149">
        <v>0</v>
      </c>
      <c r="N27" s="149">
        <v>0</v>
      </c>
      <c r="O27" s="149">
        <v>0</v>
      </c>
      <c r="P27" s="149">
        <v>0</v>
      </c>
      <c r="Q27" s="149">
        <v>0</v>
      </c>
      <c r="R27" s="149">
        <v>0</v>
      </c>
      <c r="S27" s="149">
        <v>0</v>
      </c>
      <c r="T27" s="149">
        <v>0</v>
      </c>
      <c r="U27" s="149">
        <v>0</v>
      </c>
      <c r="V27" s="149">
        <v>0</v>
      </c>
      <c r="W27" s="149">
        <v>0</v>
      </c>
      <c r="X27" s="149">
        <v>0</v>
      </c>
      <c r="Y27" s="149">
        <v>0</v>
      </c>
      <c r="Z27" s="149">
        <v>0</v>
      </c>
      <c r="AA27" s="149">
        <v>0</v>
      </c>
      <c r="AB27" s="149">
        <v>0</v>
      </c>
      <c r="AC27" s="149">
        <v>0</v>
      </c>
      <c r="AD27" s="149">
        <v>0</v>
      </c>
      <c r="AE27" s="149">
        <v>0</v>
      </c>
      <c r="AF27" s="149">
        <v>0</v>
      </c>
      <c r="AG27" s="149">
        <v>0</v>
      </c>
      <c r="AH27" s="149">
        <v>0</v>
      </c>
      <c r="AI27" s="149">
        <v>0</v>
      </c>
      <c r="AJ27" s="150">
        <v>0</v>
      </c>
      <c r="AK27" s="151" t="s">
        <v>339</v>
      </c>
    </row>
    <row r="28" spans="1:37" ht="15.75" customHeight="1" x14ac:dyDescent="0.25">
      <c r="A28" s="95"/>
      <c r="B28" s="291"/>
      <c r="C28" s="162"/>
      <c r="D28" s="163" t="s">
        <v>29</v>
      </c>
      <c r="E28" s="164">
        <v>0</v>
      </c>
      <c r="F28" s="164">
        <v>0</v>
      </c>
      <c r="G28" s="164">
        <v>0</v>
      </c>
      <c r="H28" s="164">
        <v>0</v>
      </c>
      <c r="I28" s="164">
        <v>0</v>
      </c>
      <c r="J28" s="164">
        <v>0</v>
      </c>
      <c r="K28" s="164">
        <v>0</v>
      </c>
      <c r="L28" s="164">
        <v>0</v>
      </c>
      <c r="M28" s="164">
        <v>0</v>
      </c>
      <c r="N28" s="164">
        <v>0</v>
      </c>
      <c r="O28" s="164">
        <v>0</v>
      </c>
      <c r="P28" s="164">
        <v>0</v>
      </c>
      <c r="Q28" s="164">
        <v>0</v>
      </c>
      <c r="R28" s="164">
        <v>0</v>
      </c>
      <c r="S28" s="164">
        <v>0</v>
      </c>
      <c r="T28" s="164">
        <v>0</v>
      </c>
      <c r="U28" s="164">
        <v>0</v>
      </c>
      <c r="V28" s="164">
        <v>0</v>
      </c>
      <c r="W28" s="164">
        <v>0</v>
      </c>
      <c r="X28" s="164">
        <v>0</v>
      </c>
      <c r="Y28" s="164">
        <v>0</v>
      </c>
      <c r="Z28" s="164">
        <v>0</v>
      </c>
      <c r="AA28" s="164">
        <v>0</v>
      </c>
      <c r="AB28" s="164">
        <v>0</v>
      </c>
      <c r="AC28" s="164">
        <v>0</v>
      </c>
      <c r="AD28" s="164">
        <v>0</v>
      </c>
      <c r="AE28" s="164">
        <v>0</v>
      </c>
      <c r="AF28" s="164">
        <v>0</v>
      </c>
      <c r="AG28" s="164">
        <v>0</v>
      </c>
      <c r="AH28" s="164">
        <v>0</v>
      </c>
      <c r="AI28" s="164">
        <v>0</v>
      </c>
      <c r="AJ28" s="165">
        <v>0</v>
      </c>
      <c r="AK28" s="166" t="s">
        <v>339</v>
      </c>
    </row>
    <row r="29" spans="1:37" ht="15.75" customHeight="1" x14ac:dyDescent="0.25">
      <c r="A29" s="95"/>
      <c r="B29" s="167"/>
      <c r="C29" s="168"/>
      <c r="D29" s="168"/>
      <c r="E29" s="169"/>
      <c r="F29" s="169"/>
      <c r="G29" s="169"/>
      <c r="H29" s="169"/>
      <c r="I29" s="169"/>
      <c r="J29" s="169"/>
      <c r="K29" s="169"/>
      <c r="L29" s="169"/>
      <c r="M29" s="169"/>
      <c r="N29" s="169"/>
      <c r="O29" s="169"/>
      <c r="P29" s="169"/>
      <c r="Q29" s="169"/>
      <c r="R29" s="169"/>
      <c r="S29" s="169"/>
      <c r="T29" s="169"/>
      <c r="U29" s="169"/>
      <c r="V29" s="169"/>
      <c r="W29" s="169"/>
      <c r="X29" s="169"/>
      <c r="Y29" s="169"/>
      <c r="Z29" s="169"/>
      <c r="AA29" s="169"/>
      <c r="AB29" s="169"/>
      <c r="AC29" s="169"/>
      <c r="AD29" s="169"/>
      <c r="AE29" s="169"/>
      <c r="AF29" s="169"/>
      <c r="AG29" s="169"/>
      <c r="AH29" s="169"/>
      <c r="AI29" s="169"/>
      <c r="AJ29" s="169"/>
      <c r="AK29" s="170"/>
    </row>
    <row r="30" spans="1:37" ht="15.75" customHeight="1" x14ac:dyDescent="0.25">
      <c r="A30" s="95"/>
      <c r="B30" s="171"/>
      <c r="C30" s="95"/>
      <c r="D30" s="95"/>
      <c r="E30" s="172"/>
      <c r="F30" s="172"/>
      <c r="G30" s="172"/>
      <c r="H30" s="172"/>
      <c r="I30" s="172"/>
      <c r="J30" s="172"/>
      <c r="K30" s="172"/>
      <c r="L30" s="172"/>
      <c r="M30" s="172"/>
      <c r="N30" s="172"/>
      <c r="O30" s="172"/>
      <c r="P30" s="172"/>
      <c r="Q30" s="172"/>
      <c r="R30" s="172"/>
      <c r="S30" s="172"/>
      <c r="T30" s="172"/>
      <c r="U30" s="172"/>
      <c r="V30" s="172"/>
      <c r="W30" s="172"/>
      <c r="X30" s="172"/>
      <c r="Y30" s="172"/>
      <c r="Z30" s="172"/>
      <c r="AA30" s="172"/>
      <c r="AB30" s="172"/>
      <c r="AC30" s="172"/>
      <c r="AD30" s="172"/>
      <c r="AE30" s="172"/>
      <c r="AF30" s="172"/>
      <c r="AG30" s="172"/>
      <c r="AH30" s="172"/>
      <c r="AI30" s="172"/>
      <c r="AJ30" s="172"/>
      <c r="AK30" s="173"/>
    </row>
    <row r="31" spans="1:37" ht="15.75" customHeight="1" x14ac:dyDescent="0.25">
      <c r="A31" s="95"/>
      <c r="B31" s="171"/>
      <c r="C31" s="95"/>
      <c r="D31" s="95"/>
      <c r="E31" s="172"/>
      <c r="F31" s="172"/>
      <c r="G31" s="172"/>
      <c r="H31" s="172"/>
      <c r="I31" s="172"/>
      <c r="J31" s="172"/>
      <c r="K31" s="172"/>
      <c r="L31" s="172"/>
      <c r="M31" s="172"/>
      <c r="N31" s="172"/>
      <c r="O31" s="172"/>
      <c r="P31" s="172"/>
      <c r="Q31" s="172"/>
      <c r="R31" s="172"/>
      <c r="S31" s="172"/>
      <c r="T31" s="172"/>
      <c r="U31" s="172"/>
      <c r="V31" s="172"/>
      <c r="W31" s="172"/>
      <c r="X31" s="172"/>
      <c r="Y31" s="172"/>
      <c r="Z31" s="172"/>
      <c r="AA31" s="172"/>
      <c r="AB31" s="172"/>
      <c r="AC31" s="172"/>
      <c r="AD31" s="172"/>
      <c r="AE31" s="172"/>
      <c r="AF31" s="172"/>
      <c r="AG31" s="172"/>
      <c r="AH31" s="172"/>
      <c r="AI31" s="172"/>
      <c r="AJ31" s="172"/>
      <c r="AK31" s="173"/>
    </row>
    <row r="32" spans="1:37" ht="15.75" customHeight="1" x14ac:dyDescent="0.25">
      <c r="A32" s="95"/>
      <c r="B32" s="171"/>
      <c r="C32" s="95"/>
      <c r="D32" s="95"/>
      <c r="E32" s="172"/>
      <c r="F32" s="172"/>
      <c r="G32" s="172"/>
      <c r="H32" s="172"/>
      <c r="I32" s="172"/>
      <c r="J32" s="172"/>
      <c r="K32" s="172"/>
      <c r="L32" s="172"/>
      <c r="M32" s="172"/>
      <c r="N32" s="172"/>
      <c r="O32" s="172"/>
      <c r="P32" s="172"/>
      <c r="Q32" s="172"/>
      <c r="R32" s="172"/>
      <c r="S32" s="172"/>
      <c r="T32" s="172"/>
      <c r="U32" s="172"/>
      <c r="V32" s="172"/>
      <c r="W32" s="172"/>
      <c r="X32" s="172"/>
      <c r="Y32" s="172"/>
      <c r="Z32" s="172"/>
      <c r="AA32" s="172"/>
      <c r="AB32" s="172"/>
      <c r="AC32" s="172"/>
      <c r="AD32" s="172"/>
      <c r="AE32" s="172"/>
      <c r="AF32" s="172"/>
      <c r="AG32" s="172"/>
      <c r="AH32" s="172"/>
      <c r="AI32" s="172"/>
      <c r="AJ32" s="172"/>
      <c r="AK32" s="173"/>
    </row>
    <row r="33" spans="1:37" ht="15.75" customHeight="1" x14ac:dyDescent="0.25">
      <c r="A33" s="95"/>
      <c r="B33" s="171"/>
      <c r="C33" s="97"/>
      <c r="D33" s="95"/>
      <c r="E33" s="172"/>
      <c r="F33" s="172"/>
      <c r="G33" s="172"/>
      <c r="H33" s="172"/>
      <c r="I33" s="172"/>
      <c r="J33" s="172"/>
      <c r="K33" s="172"/>
      <c r="L33" s="172"/>
      <c r="M33" s="172"/>
      <c r="N33" s="172"/>
      <c r="O33" s="172"/>
      <c r="P33" s="172"/>
      <c r="Q33" s="172"/>
      <c r="R33" s="172"/>
      <c r="S33" s="172"/>
      <c r="T33" s="172"/>
      <c r="U33" s="172"/>
      <c r="V33" s="172"/>
      <c r="W33" s="172"/>
      <c r="X33" s="172"/>
      <c r="Y33" s="172"/>
      <c r="Z33" s="172"/>
      <c r="AA33" s="172"/>
      <c r="AB33" s="172"/>
      <c r="AC33" s="172"/>
      <c r="AD33" s="172"/>
      <c r="AE33" s="172"/>
      <c r="AF33" s="172"/>
      <c r="AG33" s="172"/>
      <c r="AH33" s="172"/>
      <c r="AI33" s="172"/>
      <c r="AJ33" s="172"/>
      <c r="AK33" s="173"/>
    </row>
    <row r="34" spans="1:37" ht="15.75" customHeight="1" x14ac:dyDescent="0.25">
      <c r="A34" s="95"/>
      <c r="B34" s="288"/>
      <c r="C34" s="95"/>
      <c r="D34" s="95"/>
      <c r="E34" s="172"/>
      <c r="F34" s="172"/>
      <c r="G34" s="172"/>
      <c r="H34" s="172"/>
      <c r="I34" s="172"/>
      <c r="J34" s="172"/>
      <c r="K34" s="172"/>
      <c r="L34" s="172"/>
      <c r="M34" s="172"/>
      <c r="N34" s="172"/>
      <c r="O34" s="172"/>
      <c r="P34" s="172"/>
      <c r="Q34" s="172"/>
      <c r="R34" s="172"/>
      <c r="S34" s="172"/>
      <c r="T34" s="172"/>
      <c r="U34" s="172"/>
      <c r="V34" s="172"/>
      <c r="W34" s="172"/>
      <c r="X34" s="172"/>
      <c r="Y34" s="172"/>
      <c r="Z34" s="172"/>
      <c r="AA34" s="172"/>
      <c r="AB34" s="172"/>
      <c r="AC34" s="172"/>
      <c r="AD34" s="172"/>
      <c r="AE34" s="172"/>
      <c r="AF34" s="172"/>
      <c r="AG34" s="172"/>
      <c r="AH34" s="172"/>
      <c r="AI34" s="172"/>
      <c r="AJ34" s="172"/>
      <c r="AK34" s="173"/>
    </row>
    <row r="35" spans="1:37" ht="15.75" customHeight="1" x14ac:dyDescent="0.25">
      <c r="A35" s="95"/>
      <c r="B35" s="271"/>
      <c r="C35" s="95"/>
      <c r="D35" s="95"/>
      <c r="E35" s="172"/>
      <c r="F35" s="172"/>
      <c r="G35" s="172"/>
      <c r="H35" s="172"/>
      <c r="I35" s="172"/>
      <c r="J35" s="172"/>
      <c r="K35" s="172"/>
      <c r="L35" s="172"/>
      <c r="M35" s="172"/>
      <c r="N35" s="172"/>
      <c r="O35" s="172"/>
      <c r="P35" s="172"/>
      <c r="Q35" s="172"/>
      <c r="R35" s="172"/>
      <c r="S35" s="172"/>
      <c r="T35" s="172"/>
      <c r="U35" s="172"/>
      <c r="V35" s="172"/>
      <c r="W35" s="172"/>
      <c r="X35" s="172"/>
      <c r="Y35" s="172"/>
      <c r="Z35" s="172"/>
      <c r="AA35" s="172"/>
      <c r="AB35" s="172"/>
      <c r="AC35" s="172"/>
      <c r="AD35" s="172"/>
      <c r="AE35" s="172"/>
      <c r="AF35" s="172"/>
      <c r="AG35" s="172"/>
      <c r="AH35" s="172"/>
      <c r="AI35" s="172"/>
      <c r="AJ35" s="172"/>
      <c r="AK35" s="173"/>
    </row>
    <row r="36" spans="1:37" ht="15.75" customHeight="1" x14ac:dyDescent="0.25">
      <c r="A36" s="95"/>
      <c r="B36" s="271"/>
      <c r="C36" s="95"/>
      <c r="D36" s="95"/>
      <c r="E36" s="172"/>
      <c r="F36" s="172"/>
      <c r="G36" s="172"/>
      <c r="H36" s="172"/>
      <c r="I36" s="172"/>
      <c r="J36" s="172"/>
      <c r="K36" s="172"/>
      <c r="L36" s="172"/>
      <c r="M36" s="172"/>
      <c r="N36" s="172"/>
      <c r="O36" s="172"/>
      <c r="P36" s="172"/>
      <c r="Q36" s="172"/>
      <c r="R36" s="172"/>
      <c r="S36" s="172"/>
      <c r="T36" s="172"/>
      <c r="U36" s="172"/>
      <c r="V36" s="172"/>
      <c r="W36" s="172"/>
      <c r="X36" s="172"/>
      <c r="Y36" s="172"/>
      <c r="Z36" s="172"/>
      <c r="AA36" s="172"/>
      <c r="AB36" s="172"/>
      <c r="AC36" s="172"/>
      <c r="AD36" s="172"/>
      <c r="AE36" s="172"/>
      <c r="AF36" s="172"/>
      <c r="AG36" s="172"/>
      <c r="AH36" s="172"/>
      <c r="AI36" s="172"/>
      <c r="AJ36" s="172"/>
      <c r="AK36" s="173"/>
    </row>
    <row r="37" spans="1:37" ht="15.75" customHeight="1" x14ac:dyDescent="0.25">
      <c r="A37" s="95"/>
      <c r="B37" s="271"/>
      <c r="C37" s="95"/>
      <c r="D37" s="95"/>
      <c r="E37" s="172"/>
      <c r="F37" s="172"/>
      <c r="G37" s="172"/>
      <c r="H37" s="172"/>
      <c r="I37" s="172"/>
      <c r="J37" s="172"/>
      <c r="K37" s="172"/>
      <c r="L37" s="172"/>
      <c r="M37" s="172"/>
      <c r="N37" s="172"/>
      <c r="O37" s="172"/>
      <c r="P37" s="172"/>
      <c r="Q37" s="172"/>
      <c r="R37" s="172"/>
      <c r="S37" s="172"/>
      <c r="T37" s="172"/>
      <c r="U37" s="172"/>
      <c r="V37" s="172"/>
      <c r="W37" s="172"/>
      <c r="X37" s="172"/>
      <c r="Y37" s="172"/>
      <c r="Z37" s="172"/>
      <c r="AA37" s="172"/>
      <c r="AB37" s="172"/>
      <c r="AC37" s="172"/>
      <c r="AD37" s="172"/>
      <c r="AE37" s="172"/>
      <c r="AF37" s="172"/>
      <c r="AG37" s="172"/>
      <c r="AH37" s="172"/>
      <c r="AI37" s="172"/>
      <c r="AJ37" s="172"/>
      <c r="AK37" s="173"/>
    </row>
    <row r="38" spans="1:37" ht="15.75" customHeight="1" x14ac:dyDescent="0.25">
      <c r="A38" s="95"/>
      <c r="B38" s="271"/>
      <c r="C38" s="97"/>
      <c r="D38" s="95"/>
      <c r="E38" s="172"/>
      <c r="F38" s="172"/>
      <c r="G38" s="172"/>
      <c r="H38" s="172"/>
      <c r="I38" s="172"/>
      <c r="J38" s="172"/>
      <c r="K38" s="172"/>
      <c r="L38" s="172"/>
      <c r="M38" s="172"/>
      <c r="N38" s="172"/>
      <c r="O38" s="172"/>
      <c r="P38" s="172"/>
      <c r="Q38" s="172"/>
      <c r="R38" s="172"/>
      <c r="S38" s="172"/>
      <c r="T38" s="172"/>
      <c r="U38" s="172"/>
      <c r="V38" s="172"/>
      <c r="W38" s="172"/>
      <c r="X38" s="172"/>
      <c r="Y38" s="172"/>
      <c r="Z38" s="172"/>
      <c r="AA38" s="172"/>
      <c r="AB38" s="172"/>
      <c r="AC38" s="172"/>
      <c r="AD38" s="172"/>
      <c r="AE38" s="172"/>
      <c r="AF38" s="172"/>
      <c r="AG38" s="172"/>
      <c r="AH38" s="172"/>
      <c r="AI38" s="172"/>
      <c r="AJ38" s="172"/>
      <c r="AK38" s="173"/>
    </row>
    <row r="39" spans="1:37" ht="15.75" customHeight="1" x14ac:dyDescent="0.25">
      <c r="A39" s="95"/>
      <c r="B39" s="288"/>
      <c r="C39" s="95"/>
      <c r="D39" s="95"/>
      <c r="E39" s="172"/>
      <c r="F39" s="172"/>
      <c r="G39" s="172"/>
      <c r="H39" s="172"/>
      <c r="I39" s="172"/>
      <c r="J39" s="172"/>
      <c r="K39" s="172"/>
      <c r="L39" s="172"/>
      <c r="M39" s="172"/>
      <c r="N39" s="172"/>
      <c r="O39" s="172"/>
      <c r="P39" s="172"/>
      <c r="Q39" s="172"/>
      <c r="R39" s="172"/>
      <c r="S39" s="172"/>
      <c r="T39" s="172"/>
      <c r="U39" s="172"/>
      <c r="V39" s="172"/>
      <c r="W39" s="172"/>
      <c r="X39" s="172"/>
      <c r="Y39" s="172"/>
      <c r="Z39" s="172"/>
      <c r="AA39" s="172"/>
      <c r="AB39" s="172"/>
      <c r="AC39" s="172"/>
      <c r="AD39" s="172"/>
      <c r="AE39" s="172"/>
      <c r="AF39" s="172"/>
      <c r="AG39" s="172"/>
      <c r="AH39" s="172"/>
      <c r="AI39" s="172"/>
      <c r="AJ39" s="172"/>
      <c r="AK39" s="173"/>
    </row>
    <row r="40" spans="1:37" ht="15.75" customHeight="1" x14ac:dyDescent="0.25">
      <c r="A40" s="95"/>
      <c r="B40" s="271"/>
      <c r="C40" s="95"/>
      <c r="D40" s="95"/>
      <c r="E40" s="172"/>
      <c r="F40" s="172"/>
      <c r="G40" s="172"/>
      <c r="H40" s="172"/>
      <c r="I40" s="172"/>
      <c r="J40" s="172"/>
      <c r="K40" s="172"/>
      <c r="L40" s="172"/>
      <c r="M40" s="172"/>
      <c r="N40" s="172"/>
      <c r="O40" s="172"/>
      <c r="P40" s="172"/>
      <c r="Q40" s="172"/>
      <c r="R40" s="172"/>
      <c r="S40" s="172"/>
      <c r="T40" s="172"/>
      <c r="U40" s="172"/>
      <c r="V40" s="172"/>
      <c r="W40" s="172"/>
      <c r="X40" s="172"/>
      <c r="Y40" s="172"/>
      <c r="Z40" s="172"/>
      <c r="AA40" s="172"/>
      <c r="AB40" s="172"/>
      <c r="AC40" s="172"/>
      <c r="AD40" s="172"/>
      <c r="AE40" s="172"/>
      <c r="AF40" s="172"/>
      <c r="AG40" s="172"/>
      <c r="AH40" s="172"/>
      <c r="AI40" s="172"/>
      <c r="AJ40" s="172"/>
      <c r="AK40" s="173"/>
    </row>
    <row r="41" spans="1:37" ht="15.75" customHeight="1" x14ac:dyDescent="0.25">
      <c r="A41" s="95"/>
      <c r="B41" s="271"/>
      <c r="C41" s="95"/>
      <c r="D41" s="95"/>
      <c r="E41" s="172"/>
      <c r="F41" s="172"/>
      <c r="G41" s="172"/>
      <c r="H41" s="172"/>
      <c r="I41" s="172"/>
      <c r="J41" s="172"/>
      <c r="K41" s="172"/>
      <c r="L41" s="172"/>
      <c r="M41" s="172"/>
      <c r="N41" s="172"/>
      <c r="O41" s="172"/>
      <c r="P41" s="172"/>
      <c r="Q41" s="172"/>
      <c r="R41" s="172"/>
      <c r="S41" s="172"/>
      <c r="T41" s="172"/>
      <c r="U41" s="172"/>
      <c r="V41" s="172"/>
      <c r="W41" s="172"/>
      <c r="X41" s="172"/>
      <c r="Y41" s="172"/>
      <c r="Z41" s="172"/>
      <c r="AA41" s="172"/>
      <c r="AB41" s="172"/>
      <c r="AC41" s="172"/>
      <c r="AD41" s="172"/>
      <c r="AE41" s="172"/>
      <c r="AF41" s="172"/>
      <c r="AG41" s="172"/>
      <c r="AH41" s="172"/>
      <c r="AI41" s="172"/>
      <c r="AJ41" s="172"/>
      <c r="AK41" s="173"/>
    </row>
    <row r="42" spans="1:37" ht="15.75" customHeight="1" x14ac:dyDescent="0.25">
      <c r="A42" s="95"/>
      <c r="B42" s="271"/>
      <c r="C42" s="95"/>
      <c r="D42" s="95"/>
      <c r="E42" s="172"/>
      <c r="F42" s="172"/>
      <c r="G42" s="172"/>
      <c r="H42" s="172"/>
      <c r="I42" s="172"/>
      <c r="J42" s="172"/>
      <c r="K42" s="172"/>
      <c r="L42" s="172"/>
      <c r="M42" s="172"/>
      <c r="N42" s="172"/>
      <c r="O42" s="172"/>
      <c r="P42" s="172"/>
      <c r="Q42" s="172"/>
      <c r="R42" s="172"/>
      <c r="S42" s="172"/>
      <c r="T42" s="172"/>
      <c r="U42" s="172"/>
      <c r="V42" s="172"/>
      <c r="W42" s="172"/>
      <c r="X42" s="172"/>
      <c r="Y42" s="172"/>
      <c r="Z42" s="172"/>
      <c r="AA42" s="172"/>
      <c r="AB42" s="172"/>
      <c r="AC42" s="172"/>
      <c r="AD42" s="172"/>
      <c r="AE42" s="172"/>
      <c r="AF42" s="172"/>
      <c r="AG42" s="172"/>
      <c r="AH42" s="172"/>
      <c r="AI42" s="172"/>
      <c r="AJ42" s="172"/>
      <c r="AK42" s="173"/>
    </row>
    <row r="43" spans="1:37" ht="15.75" customHeight="1" x14ac:dyDescent="0.25">
      <c r="A43" s="95"/>
      <c r="B43" s="271"/>
      <c r="C43" s="97"/>
      <c r="D43" s="95"/>
      <c r="E43" s="172"/>
      <c r="F43" s="172"/>
      <c r="G43" s="172"/>
      <c r="H43" s="172"/>
      <c r="I43" s="172"/>
      <c r="J43" s="172"/>
      <c r="K43" s="172"/>
      <c r="L43" s="172"/>
      <c r="M43" s="172"/>
      <c r="N43" s="172"/>
      <c r="O43" s="172"/>
      <c r="P43" s="172"/>
      <c r="Q43" s="172"/>
      <c r="R43" s="172"/>
      <c r="S43" s="172"/>
      <c r="T43" s="172"/>
      <c r="U43" s="172"/>
      <c r="V43" s="172"/>
      <c r="W43" s="172"/>
      <c r="X43" s="172"/>
      <c r="Y43" s="172"/>
      <c r="Z43" s="172"/>
      <c r="AA43" s="172"/>
      <c r="AB43" s="172"/>
      <c r="AC43" s="172"/>
      <c r="AD43" s="172"/>
      <c r="AE43" s="172"/>
      <c r="AF43" s="172"/>
      <c r="AG43" s="172"/>
      <c r="AH43" s="172"/>
      <c r="AI43" s="172"/>
      <c r="AJ43" s="172"/>
      <c r="AK43" s="173"/>
    </row>
    <row r="44" spans="1:37" ht="15.75" customHeight="1" x14ac:dyDescent="0.25">
      <c r="A44" s="95"/>
      <c r="B44" s="288"/>
      <c r="C44" s="95"/>
      <c r="D44" s="95"/>
      <c r="E44" s="172"/>
      <c r="F44" s="172"/>
      <c r="G44" s="172"/>
      <c r="H44" s="172"/>
      <c r="I44" s="172"/>
      <c r="J44" s="172"/>
      <c r="K44" s="172"/>
      <c r="L44" s="172"/>
      <c r="M44" s="172"/>
      <c r="N44" s="172"/>
      <c r="O44" s="172"/>
      <c r="P44" s="172"/>
      <c r="Q44" s="172"/>
      <c r="R44" s="172"/>
      <c r="S44" s="172"/>
      <c r="T44" s="172"/>
      <c r="U44" s="172"/>
      <c r="V44" s="172"/>
      <c r="W44" s="172"/>
      <c r="X44" s="172"/>
      <c r="Y44" s="172"/>
      <c r="Z44" s="172"/>
      <c r="AA44" s="172"/>
      <c r="AB44" s="172"/>
      <c r="AC44" s="172"/>
      <c r="AD44" s="172"/>
      <c r="AE44" s="172"/>
      <c r="AF44" s="172"/>
      <c r="AG44" s="172"/>
      <c r="AH44" s="172"/>
      <c r="AI44" s="172"/>
      <c r="AJ44" s="172"/>
      <c r="AK44" s="173"/>
    </row>
    <row r="45" spans="1:37" ht="15.75" customHeight="1" x14ac:dyDescent="0.25">
      <c r="A45" s="95"/>
      <c r="B45" s="271"/>
      <c r="C45" s="95"/>
      <c r="D45" s="95"/>
      <c r="E45" s="172"/>
      <c r="F45" s="172"/>
      <c r="G45" s="172"/>
      <c r="H45" s="172"/>
      <c r="I45" s="172"/>
      <c r="J45" s="172"/>
      <c r="K45" s="172"/>
      <c r="L45" s="172"/>
      <c r="M45" s="172"/>
      <c r="N45" s="172"/>
      <c r="O45" s="172"/>
      <c r="P45" s="172"/>
      <c r="Q45" s="172"/>
      <c r="R45" s="172"/>
      <c r="S45" s="172"/>
      <c r="T45" s="172"/>
      <c r="U45" s="172"/>
      <c r="V45" s="172"/>
      <c r="W45" s="172"/>
      <c r="X45" s="172"/>
      <c r="Y45" s="172"/>
      <c r="Z45" s="172"/>
      <c r="AA45" s="172"/>
      <c r="AB45" s="172"/>
      <c r="AC45" s="172"/>
      <c r="AD45" s="172"/>
      <c r="AE45" s="172"/>
      <c r="AF45" s="172"/>
      <c r="AG45" s="172"/>
      <c r="AH45" s="172"/>
      <c r="AI45" s="172"/>
      <c r="AJ45" s="172"/>
      <c r="AK45" s="173"/>
    </row>
    <row r="46" spans="1:37" ht="15.75" customHeight="1" x14ac:dyDescent="0.25">
      <c r="A46" s="95"/>
      <c r="B46" s="271"/>
      <c r="C46" s="95"/>
      <c r="D46" s="95"/>
      <c r="E46" s="172"/>
      <c r="F46" s="172"/>
      <c r="G46" s="172"/>
      <c r="H46" s="172"/>
      <c r="I46" s="172"/>
      <c r="J46" s="172"/>
      <c r="K46" s="172"/>
      <c r="L46" s="172"/>
      <c r="M46" s="172"/>
      <c r="N46" s="172"/>
      <c r="O46" s="172"/>
      <c r="P46" s="172"/>
      <c r="Q46" s="172"/>
      <c r="R46" s="172"/>
      <c r="S46" s="172"/>
      <c r="T46" s="172"/>
      <c r="U46" s="172"/>
      <c r="V46" s="172"/>
      <c r="W46" s="172"/>
      <c r="X46" s="172"/>
      <c r="Y46" s="172"/>
      <c r="Z46" s="172"/>
      <c r="AA46" s="172"/>
      <c r="AB46" s="172"/>
      <c r="AC46" s="172"/>
      <c r="AD46" s="172"/>
      <c r="AE46" s="172"/>
      <c r="AF46" s="172"/>
      <c r="AG46" s="172"/>
      <c r="AH46" s="172"/>
      <c r="AI46" s="172"/>
      <c r="AJ46" s="172"/>
      <c r="AK46" s="173"/>
    </row>
    <row r="47" spans="1:37" ht="15.75" customHeight="1" x14ac:dyDescent="0.25">
      <c r="A47" s="95"/>
      <c r="B47" s="271"/>
      <c r="C47" s="95"/>
      <c r="D47" s="95"/>
      <c r="E47" s="172"/>
      <c r="F47" s="172"/>
      <c r="G47" s="172"/>
      <c r="H47" s="172"/>
      <c r="I47" s="172"/>
      <c r="J47" s="172"/>
      <c r="K47" s="172"/>
      <c r="L47" s="172"/>
      <c r="M47" s="172"/>
      <c r="N47" s="172"/>
      <c r="O47" s="172"/>
      <c r="P47" s="172"/>
      <c r="Q47" s="172"/>
      <c r="R47" s="172"/>
      <c r="S47" s="172"/>
      <c r="T47" s="172"/>
      <c r="U47" s="172"/>
      <c r="V47" s="172"/>
      <c r="W47" s="172"/>
      <c r="X47" s="172"/>
      <c r="Y47" s="172"/>
      <c r="Z47" s="172"/>
      <c r="AA47" s="172"/>
      <c r="AB47" s="172"/>
      <c r="AC47" s="172"/>
      <c r="AD47" s="172"/>
      <c r="AE47" s="172"/>
      <c r="AF47" s="172"/>
      <c r="AG47" s="172"/>
      <c r="AH47" s="172"/>
      <c r="AI47" s="172"/>
      <c r="AJ47" s="172"/>
      <c r="AK47" s="173"/>
    </row>
    <row r="48" spans="1:37" ht="15.75" customHeight="1" x14ac:dyDescent="0.25">
      <c r="A48" s="95"/>
      <c r="B48" s="271"/>
      <c r="C48" s="97"/>
      <c r="D48" s="95"/>
      <c r="E48" s="172"/>
      <c r="F48" s="172"/>
      <c r="G48" s="172"/>
      <c r="H48" s="172"/>
      <c r="I48" s="172"/>
      <c r="J48" s="172"/>
      <c r="K48" s="172"/>
      <c r="L48" s="172"/>
      <c r="M48" s="172"/>
      <c r="N48" s="172"/>
      <c r="O48" s="172"/>
      <c r="P48" s="172"/>
      <c r="Q48" s="172"/>
      <c r="R48" s="172"/>
      <c r="S48" s="172"/>
      <c r="T48" s="172"/>
      <c r="U48" s="172"/>
      <c r="V48" s="172"/>
      <c r="W48" s="172"/>
      <c r="X48" s="172"/>
      <c r="Y48" s="172"/>
      <c r="Z48" s="172"/>
      <c r="AA48" s="172"/>
      <c r="AB48" s="172"/>
      <c r="AC48" s="172"/>
      <c r="AD48" s="172"/>
      <c r="AE48" s="172"/>
      <c r="AF48" s="172"/>
      <c r="AG48" s="172"/>
      <c r="AH48" s="172"/>
      <c r="AI48" s="172"/>
      <c r="AJ48" s="172"/>
      <c r="AK48" s="173"/>
    </row>
    <row r="49" spans="1:37" ht="15.75" customHeight="1" x14ac:dyDescent="0.25">
      <c r="A49" s="95"/>
      <c r="B49" s="288"/>
      <c r="C49" s="95"/>
      <c r="D49" s="95"/>
      <c r="E49" s="172"/>
      <c r="F49" s="172"/>
      <c r="G49" s="172"/>
      <c r="H49" s="172"/>
      <c r="I49" s="172"/>
      <c r="J49" s="172"/>
      <c r="K49" s="172"/>
      <c r="L49" s="172"/>
      <c r="M49" s="172"/>
      <c r="N49" s="172"/>
      <c r="O49" s="172"/>
      <c r="P49" s="172"/>
      <c r="Q49" s="172"/>
      <c r="R49" s="172"/>
      <c r="S49" s="172"/>
      <c r="T49" s="172"/>
      <c r="U49" s="172"/>
      <c r="V49" s="172"/>
      <c r="W49" s="172"/>
      <c r="X49" s="172"/>
      <c r="Y49" s="172"/>
      <c r="Z49" s="172"/>
      <c r="AA49" s="172"/>
      <c r="AB49" s="172"/>
      <c r="AC49" s="172"/>
      <c r="AD49" s="172"/>
      <c r="AE49" s="172"/>
      <c r="AF49" s="172"/>
      <c r="AG49" s="172"/>
      <c r="AH49" s="172"/>
      <c r="AI49" s="172"/>
      <c r="AJ49" s="172"/>
      <c r="AK49" s="173"/>
    </row>
    <row r="50" spans="1:37" ht="15.75" customHeight="1" x14ac:dyDescent="0.25">
      <c r="A50" s="95"/>
      <c r="B50" s="271"/>
      <c r="C50" s="95"/>
      <c r="D50" s="95"/>
      <c r="E50" s="172"/>
      <c r="F50" s="172"/>
      <c r="G50" s="172"/>
      <c r="H50" s="172"/>
      <c r="I50" s="172"/>
      <c r="J50" s="172"/>
      <c r="K50" s="172"/>
      <c r="L50" s="172"/>
      <c r="M50" s="172"/>
      <c r="N50" s="172"/>
      <c r="O50" s="172"/>
      <c r="P50" s="172"/>
      <c r="Q50" s="172"/>
      <c r="R50" s="172"/>
      <c r="S50" s="172"/>
      <c r="T50" s="172"/>
      <c r="U50" s="172"/>
      <c r="V50" s="172"/>
      <c r="W50" s="172"/>
      <c r="X50" s="172"/>
      <c r="Y50" s="172"/>
      <c r="Z50" s="172"/>
      <c r="AA50" s="172"/>
      <c r="AB50" s="172"/>
      <c r="AC50" s="172"/>
      <c r="AD50" s="172"/>
      <c r="AE50" s="172"/>
      <c r="AF50" s="172"/>
      <c r="AG50" s="172"/>
      <c r="AH50" s="172"/>
      <c r="AI50" s="172"/>
      <c r="AJ50" s="172"/>
      <c r="AK50" s="173"/>
    </row>
    <row r="51" spans="1:37" ht="15.75" customHeight="1" x14ac:dyDescent="0.25">
      <c r="A51" s="95"/>
      <c r="B51" s="271"/>
      <c r="C51" s="95"/>
      <c r="D51" s="95"/>
      <c r="E51" s="172"/>
      <c r="F51" s="172"/>
      <c r="G51" s="172"/>
      <c r="H51" s="172"/>
      <c r="I51" s="172"/>
      <c r="J51" s="172"/>
      <c r="K51" s="172"/>
      <c r="L51" s="172"/>
      <c r="M51" s="172"/>
      <c r="N51" s="172"/>
      <c r="O51" s="172"/>
      <c r="P51" s="172"/>
      <c r="Q51" s="172"/>
      <c r="R51" s="172"/>
      <c r="S51" s="172"/>
      <c r="T51" s="172"/>
      <c r="U51" s="172"/>
      <c r="V51" s="172"/>
      <c r="W51" s="172"/>
      <c r="X51" s="172"/>
      <c r="Y51" s="172"/>
      <c r="Z51" s="172"/>
      <c r="AA51" s="172"/>
      <c r="AB51" s="172"/>
      <c r="AC51" s="172"/>
      <c r="AD51" s="172"/>
      <c r="AE51" s="172"/>
      <c r="AF51" s="172"/>
      <c r="AG51" s="172"/>
      <c r="AH51" s="172"/>
      <c r="AI51" s="172"/>
      <c r="AJ51" s="172"/>
      <c r="AK51" s="173"/>
    </row>
    <row r="52" spans="1:37" ht="15.75" customHeight="1" x14ac:dyDescent="0.25">
      <c r="A52" s="95"/>
      <c r="B52" s="271"/>
      <c r="C52" s="95"/>
      <c r="D52" s="95"/>
      <c r="E52" s="172"/>
      <c r="F52" s="172"/>
      <c r="G52" s="172"/>
      <c r="H52" s="172"/>
      <c r="I52" s="172"/>
      <c r="J52" s="172"/>
      <c r="K52" s="172"/>
      <c r="L52" s="172"/>
      <c r="M52" s="172"/>
      <c r="N52" s="172"/>
      <c r="O52" s="172"/>
      <c r="P52" s="172"/>
      <c r="Q52" s="172"/>
      <c r="R52" s="172"/>
      <c r="S52" s="172"/>
      <c r="T52" s="172"/>
      <c r="U52" s="172"/>
      <c r="V52" s="172"/>
      <c r="W52" s="172"/>
      <c r="X52" s="172"/>
      <c r="Y52" s="172"/>
      <c r="Z52" s="172"/>
      <c r="AA52" s="172"/>
      <c r="AB52" s="172"/>
      <c r="AC52" s="172"/>
      <c r="AD52" s="172"/>
      <c r="AE52" s="172"/>
      <c r="AF52" s="172"/>
      <c r="AG52" s="172"/>
      <c r="AH52" s="172"/>
      <c r="AI52" s="172"/>
      <c r="AJ52" s="172"/>
      <c r="AK52" s="173"/>
    </row>
    <row r="53" spans="1:37" ht="15.75" customHeight="1" x14ac:dyDescent="0.25">
      <c r="A53" s="95"/>
      <c r="B53" s="271"/>
      <c r="C53" s="97"/>
      <c r="D53" s="95"/>
      <c r="E53" s="172"/>
      <c r="F53" s="172"/>
      <c r="G53" s="172"/>
      <c r="H53" s="172"/>
      <c r="I53" s="172"/>
      <c r="J53" s="172"/>
      <c r="K53" s="172"/>
      <c r="L53" s="172"/>
      <c r="M53" s="172"/>
      <c r="N53" s="172"/>
      <c r="O53" s="172"/>
      <c r="P53" s="172"/>
      <c r="Q53" s="172"/>
      <c r="R53" s="172"/>
      <c r="S53" s="172"/>
      <c r="T53" s="172"/>
      <c r="U53" s="172"/>
      <c r="V53" s="172"/>
      <c r="W53" s="172"/>
      <c r="X53" s="172"/>
      <c r="Y53" s="172"/>
      <c r="Z53" s="172"/>
      <c r="AA53" s="172"/>
      <c r="AB53" s="172"/>
      <c r="AC53" s="172"/>
      <c r="AD53" s="172"/>
      <c r="AE53" s="172"/>
      <c r="AF53" s="172"/>
      <c r="AG53" s="172"/>
      <c r="AH53" s="172"/>
      <c r="AI53" s="172"/>
      <c r="AJ53" s="172"/>
      <c r="AK53" s="173"/>
    </row>
    <row r="54" spans="1:37" ht="15.75" customHeight="1" x14ac:dyDescent="0.25">
      <c r="A54" s="95"/>
      <c r="B54" s="288"/>
      <c r="C54" s="95"/>
      <c r="D54" s="95"/>
      <c r="E54" s="172"/>
      <c r="F54" s="172"/>
      <c r="G54" s="172"/>
      <c r="H54" s="172"/>
      <c r="I54" s="172"/>
      <c r="J54" s="172"/>
      <c r="K54" s="172"/>
      <c r="L54" s="172"/>
      <c r="M54" s="172"/>
      <c r="N54" s="172"/>
      <c r="O54" s="172"/>
      <c r="P54" s="172"/>
      <c r="Q54" s="172"/>
      <c r="R54" s="172"/>
      <c r="S54" s="172"/>
      <c r="T54" s="172"/>
      <c r="U54" s="172"/>
      <c r="V54" s="172"/>
      <c r="W54" s="172"/>
      <c r="X54" s="172"/>
      <c r="Y54" s="172"/>
      <c r="Z54" s="172"/>
      <c r="AA54" s="172"/>
      <c r="AB54" s="172"/>
      <c r="AC54" s="172"/>
      <c r="AD54" s="172"/>
      <c r="AE54" s="172"/>
      <c r="AF54" s="172"/>
      <c r="AG54" s="172"/>
      <c r="AH54" s="172"/>
      <c r="AI54" s="172"/>
      <c r="AJ54" s="172"/>
      <c r="AK54" s="173"/>
    </row>
    <row r="55" spans="1:37" ht="15.75" customHeight="1" x14ac:dyDescent="0.25">
      <c r="A55" s="95"/>
      <c r="B55" s="271"/>
      <c r="C55" s="95"/>
      <c r="D55" s="95"/>
      <c r="E55" s="172"/>
      <c r="F55" s="172"/>
      <c r="G55" s="172"/>
      <c r="H55" s="172"/>
      <c r="I55" s="172"/>
      <c r="J55" s="172"/>
      <c r="K55" s="172"/>
      <c r="L55" s="172"/>
      <c r="M55" s="172"/>
      <c r="N55" s="172"/>
      <c r="O55" s="172"/>
      <c r="P55" s="172"/>
      <c r="Q55" s="172"/>
      <c r="R55" s="172"/>
      <c r="S55" s="172"/>
      <c r="T55" s="172"/>
      <c r="U55" s="172"/>
      <c r="V55" s="172"/>
      <c r="W55" s="172"/>
      <c r="X55" s="172"/>
      <c r="Y55" s="172"/>
      <c r="Z55" s="172"/>
      <c r="AA55" s="172"/>
      <c r="AB55" s="172"/>
      <c r="AC55" s="172"/>
      <c r="AD55" s="172"/>
      <c r="AE55" s="172"/>
      <c r="AF55" s="172"/>
      <c r="AG55" s="172"/>
      <c r="AH55" s="172"/>
      <c r="AI55" s="172"/>
      <c r="AJ55" s="172"/>
      <c r="AK55" s="173"/>
    </row>
    <row r="56" spans="1:37" ht="15.75" customHeight="1" x14ac:dyDescent="0.25">
      <c r="A56" s="95"/>
      <c r="B56" s="271"/>
      <c r="C56" s="95"/>
      <c r="D56" s="95"/>
      <c r="E56" s="172"/>
      <c r="F56" s="172"/>
      <c r="G56" s="172"/>
      <c r="H56" s="172"/>
      <c r="I56" s="172"/>
      <c r="J56" s="172"/>
      <c r="K56" s="172"/>
      <c r="L56" s="172"/>
      <c r="M56" s="172"/>
      <c r="N56" s="172"/>
      <c r="O56" s="172"/>
      <c r="P56" s="172"/>
      <c r="Q56" s="172"/>
      <c r="R56" s="172"/>
      <c r="S56" s="172"/>
      <c r="T56" s="172"/>
      <c r="U56" s="172"/>
      <c r="V56" s="172"/>
      <c r="W56" s="172"/>
      <c r="X56" s="172"/>
      <c r="Y56" s="172"/>
      <c r="Z56" s="172"/>
      <c r="AA56" s="172"/>
      <c r="AB56" s="172"/>
      <c r="AC56" s="172"/>
      <c r="AD56" s="172"/>
      <c r="AE56" s="172"/>
      <c r="AF56" s="172"/>
      <c r="AG56" s="172"/>
      <c r="AH56" s="172"/>
      <c r="AI56" s="172"/>
      <c r="AJ56" s="172"/>
      <c r="AK56" s="173"/>
    </row>
    <row r="57" spans="1:37" ht="15.75" customHeight="1" x14ac:dyDescent="0.25">
      <c r="A57" s="95"/>
      <c r="B57" s="271"/>
      <c r="C57" s="95"/>
      <c r="D57" s="95"/>
      <c r="E57" s="172"/>
      <c r="F57" s="172"/>
      <c r="G57" s="172"/>
      <c r="H57" s="172"/>
      <c r="I57" s="172"/>
      <c r="J57" s="172"/>
      <c r="K57" s="172"/>
      <c r="L57" s="172"/>
      <c r="M57" s="172"/>
      <c r="N57" s="172"/>
      <c r="O57" s="172"/>
      <c r="P57" s="172"/>
      <c r="Q57" s="172"/>
      <c r="R57" s="172"/>
      <c r="S57" s="172"/>
      <c r="T57" s="172"/>
      <c r="U57" s="172"/>
      <c r="V57" s="172"/>
      <c r="W57" s="172"/>
      <c r="X57" s="172"/>
      <c r="Y57" s="172"/>
      <c r="Z57" s="172"/>
      <c r="AA57" s="172"/>
      <c r="AB57" s="172"/>
      <c r="AC57" s="172"/>
      <c r="AD57" s="172"/>
      <c r="AE57" s="172"/>
      <c r="AF57" s="172"/>
      <c r="AG57" s="172"/>
      <c r="AH57" s="172"/>
      <c r="AI57" s="172"/>
      <c r="AJ57" s="172"/>
      <c r="AK57" s="173"/>
    </row>
    <row r="58" spans="1:37" ht="15.75" customHeight="1" x14ac:dyDescent="0.25">
      <c r="A58" s="95"/>
      <c r="B58" s="271"/>
      <c r="C58" s="97"/>
      <c r="D58" s="95"/>
      <c r="E58" s="172"/>
      <c r="F58" s="172"/>
      <c r="G58" s="172"/>
      <c r="H58" s="172"/>
      <c r="I58" s="172"/>
      <c r="J58" s="172"/>
      <c r="K58" s="172"/>
      <c r="L58" s="172"/>
      <c r="M58" s="172"/>
      <c r="N58" s="172"/>
      <c r="O58" s="172"/>
      <c r="P58" s="172"/>
      <c r="Q58" s="172"/>
      <c r="R58" s="172"/>
      <c r="S58" s="172"/>
      <c r="T58" s="172"/>
      <c r="U58" s="172"/>
      <c r="V58" s="172"/>
      <c r="W58" s="172"/>
      <c r="X58" s="172"/>
      <c r="Y58" s="172"/>
      <c r="Z58" s="172"/>
      <c r="AA58" s="172"/>
      <c r="AB58" s="172"/>
      <c r="AC58" s="172"/>
      <c r="AD58" s="172"/>
      <c r="AE58" s="172"/>
      <c r="AF58" s="172"/>
      <c r="AG58" s="172"/>
      <c r="AH58" s="172"/>
      <c r="AI58" s="172"/>
      <c r="AJ58" s="172"/>
      <c r="AK58" s="173"/>
    </row>
    <row r="59" spans="1:37" ht="15.75" customHeight="1" x14ac:dyDescent="0.25">
      <c r="A59" s="95"/>
      <c r="B59" s="288"/>
      <c r="C59" s="95"/>
      <c r="D59" s="95"/>
      <c r="E59" s="172"/>
      <c r="F59" s="172"/>
      <c r="G59" s="172"/>
      <c r="H59" s="172"/>
      <c r="I59" s="172"/>
      <c r="J59" s="172"/>
      <c r="K59" s="172"/>
      <c r="L59" s="172"/>
      <c r="M59" s="172"/>
      <c r="N59" s="172"/>
      <c r="O59" s="172"/>
      <c r="P59" s="172"/>
      <c r="Q59" s="172"/>
      <c r="R59" s="172"/>
      <c r="S59" s="172"/>
      <c r="T59" s="172"/>
      <c r="U59" s="172"/>
      <c r="V59" s="172"/>
      <c r="W59" s="172"/>
      <c r="X59" s="172"/>
      <c r="Y59" s="172"/>
      <c r="Z59" s="172"/>
      <c r="AA59" s="172"/>
      <c r="AB59" s="172"/>
      <c r="AC59" s="172"/>
      <c r="AD59" s="172"/>
      <c r="AE59" s="172"/>
      <c r="AF59" s="172"/>
      <c r="AG59" s="172"/>
      <c r="AH59" s="172"/>
      <c r="AI59" s="172"/>
      <c r="AJ59" s="172"/>
      <c r="AK59" s="173"/>
    </row>
    <row r="60" spans="1:37" ht="15.75" customHeight="1" x14ac:dyDescent="0.25">
      <c r="A60" s="95"/>
      <c r="B60" s="271"/>
      <c r="C60" s="95"/>
      <c r="D60" s="95"/>
      <c r="E60" s="172"/>
      <c r="F60" s="172"/>
      <c r="G60" s="172"/>
      <c r="H60" s="172"/>
      <c r="I60" s="172"/>
      <c r="J60" s="172"/>
      <c r="K60" s="172"/>
      <c r="L60" s="172"/>
      <c r="M60" s="172"/>
      <c r="N60" s="172"/>
      <c r="O60" s="172"/>
      <c r="P60" s="172"/>
      <c r="Q60" s="172"/>
      <c r="R60" s="172"/>
      <c r="S60" s="172"/>
      <c r="T60" s="172"/>
      <c r="U60" s="172"/>
      <c r="V60" s="172"/>
      <c r="W60" s="172"/>
      <c r="X60" s="172"/>
      <c r="Y60" s="172"/>
      <c r="Z60" s="172"/>
      <c r="AA60" s="172"/>
      <c r="AB60" s="172"/>
      <c r="AC60" s="172"/>
      <c r="AD60" s="172"/>
      <c r="AE60" s="172"/>
      <c r="AF60" s="172"/>
      <c r="AG60" s="172"/>
      <c r="AH60" s="172"/>
      <c r="AI60" s="172"/>
      <c r="AJ60" s="172"/>
      <c r="AK60" s="173"/>
    </row>
    <row r="61" spans="1:37" ht="15.75" customHeight="1" x14ac:dyDescent="0.25">
      <c r="A61" s="95"/>
      <c r="B61" s="271"/>
      <c r="C61" s="95"/>
      <c r="D61" s="95"/>
      <c r="E61" s="172"/>
      <c r="F61" s="172"/>
      <c r="G61" s="172"/>
      <c r="H61" s="172"/>
      <c r="I61" s="172"/>
      <c r="J61" s="172"/>
      <c r="K61" s="172"/>
      <c r="L61" s="172"/>
      <c r="M61" s="172"/>
      <c r="N61" s="172"/>
      <c r="O61" s="172"/>
      <c r="P61" s="172"/>
      <c r="Q61" s="172"/>
      <c r="R61" s="172"/>
      <c r="S61" s="172"/>
      <c r="T61" s="172"/>
      <c r="U61" s="172"/>
      <c r="V61" s="172"/>
      <c r="W61" s="172"/>
      <c r="X61" s="172"/>
      <c r="Y61" s="172"/>
      <c r="Z61" s="172"/>
      <c r="AA61" s="172"/>
      <c r="AB61" s="172"/>
      <c r="AC61" s="172"/>
      <c r="AD61" s="172"/>
      <c r="AE61" s="172"/>
      <c r="AF61" s="172"/>
      <c r="AG61" s="172"/>
      <c r="AH61" s="172"/>
      <c r="AI61" s="172"/>
      <c r="AJ61" s="172"/>
      <c r="AK61" s="173"/>
    </row>
    <row r="62" spans="1:37" ht="15.75" customHeight="1" x14ac:dyDescent="0.25">
      <c r="A62" s="95"/>
      <c r="B62" s="271"/>
      <c r="C62" s="95"/>
      <c r="D62" s="95"/>
      <c r="E62" s="172"/>
      <c r="F62" s="172"/>
      <c r="G62" s="172"/>
      <c r="H62" s="172"/>
      <c r="I62" s="172"/>
      <c r="J62" s="172"/>
      <c r="K62" s="172"/>
      <c r="L62" s="172"/>
      <c r="M62" s="172"/>
      <c r="N62" s="172"/>
      <c r="O62" s="172"/>
      <c r="P62" s="172"/>
      <c r="Q62" s="172"/>
      <c r="R62" s="172"/>
      <c r="S62" s="172"/>
      <c r="T62" s="172"/>
      <c r="U62" s="172"/>
      <c r="V62" s="172"/>
      <c r="W62" s="172"/>
      <c r="X62" s="172"/>
      <c r="Y62" s="172"/>
      <c r="Z62" s="172"/>
      <c r="AA62" s="172"/>
      <c r="AB62" s="172"/>
      <c r="AC62" s="172"/>
      <c r="AD62" s="172"/>
      <c r="AE62" s="172"/>
      <c r="AF62" s="172"/>
      <c r="AG62" s="172"/>
      <c r="AH62" s="172"/>
      <c r="AI62" s="172"/>
      <c r="AJ62" s="172"/>
      <c r="AK62" s="173"/>
    </row>
    <row r="63" spans="1:37" ht="15.75" customHeight="1" x14ac:dyDescent="0.25">
      <c r="A63" s="95"/>
      <c r="B63" s="271"/>
      <c r="C63" s="97"/>
      <c r="D63" s="95"/>
      <c r="E63" s="172"/>
      <c r="F63" s="172"/>
      <c r="G63" s="172"/>
      <c r="H63" s="172"/>
      <c r="I63" s="172"/>
      <c r="J63" s="172"/>
      <c r="K63" s="172"/>
      <c r="L63" s="172"/>
      <c r="M63" s="172"/>
      <c r="N63" s="172"/>
      <c r="O63" s="172"/>
      <c r="P63" s="172"/>
      <c r="Q63" s="172"/>
      <c r="R63" s="172"/>
      <c r="S63" s="172"/>
      <c r="T63" s="172"/>
      <c r="U63" s="172"/>
      <c r="V63" s="172"/>
      <c r="W63" s="172"/>
      <c r="X63" s="172"/>
      <c r="Y63" s="172"/>
      <c r="Z63" s="172"/>
      <c r="AA63" s="172"/>
      <c r="AB63" s="172"/>
      <c r="AC63" s="172"/>
      <c r="AD63" s="172"/>
      <c r="AE63" s="172"/>
      <c r="AF63" s="172"/>
      <c r="AG63" s="172"/>
      <c r="AH63" s="172"/>
      <c r="AI63" s="172"/>
      <c r="AJ63" s="172"/>
      <c r="AK63" s="173"/>
    </row>
    <row r="64" spans="1:37" ht="15.75" customHeight="1" x14ac:dyDescent="0.25">
      <c r="A64" s="95"/>
      <c r="B64" s="288"/>
      <c r="C64" s="95"/>
      <c r="D64" s="95"/>
      <c r="E64" s="172"/>
      <c r="F64" s="172"/>
      <c r="G64" s="172"/>
      <c r="H64" s="172"/>
      <c r="I64" s="172"/>
      <c r="J64" s="172"/>
      <c r="K64" s="172"/>
      <c r="L64" s="172"/>
      <c r="M64" s="172"/>
      <c r="N64" s="172"/>
      <c r="O64" s="172"/>
      <c r="P64" s="172"/>
      <c r="Q64" s="172"/>
      <c r="R64" s="172"/>
      <c r="S64" s="172"/>
      <c r="T64" s="172"/>
      <c r="U64" s="172"/>
      <c r="V64" s="172"/>
      <c r="W64" s="172"/>
      <c r="X64" s="172"/>
      <c r="Y64" s="172"/>
      <c r="Z64" s="172"/>
      <c r="AA64" s="172"/>
      <c r="AB64" s="172"/>
      <c r="AC64" s="172"/>
      <c r="AD64" s="172"/>
      <c r="AE64" s="172"/>
      <c r="AF64" s="172"/>
      <c r="AG64" s="172"/>
      <c r="AH64" s="172"/>
      <c r="AI64" s="172"/>
      <c r="AJ64" s="172"/>
      <c r="AK64" s="173"/>
    </row>
    <row r="65" spans="1:37" ht="15.75" customHeight="1" x14ac:dyDescent="0.25">
      <c r="A65" s="95"/>
      <c r="B65" s="271"/>
      <c r="C65" s="95"/>
      <c r="D65" s="95"/>
      <c r="E65" s="172"/>
      <c r="F65" s="172"/>
      <c r="G65" s="172"/>
      <c r="H65" s="172"/>
      <c r="I65" s="172"/>
      <c r="J65" s="172"/>
      <c r="K65" s="172"/>
      <c r="L65" s="172"/>
      <c r="M65" s="172"/>
      <c r="N65" s="172"/>
      <c r="O65" s="172"/>
      <c r="P65" s="172"/>
      <c r="Q65" s="172"/>
      <c r="R65" s="172"/>
      <c r="S65" s="172"/>
      <c r="T65" s="172"/>
      <c r="U65" s="172"/>
      <c r="V65" s="172"/>
      <c r="W65" s="172"/>
      <c r="X65" s="172"/>
      <c r="Y65" s="172"/>
      <c r="Z65" s="172"/>
      <c r="AA65" s="172"/>
      <c r="AB65" s="172"/>
      <c r="AC65" s="172"/>
      <c r="AD65" s="172"/>
      <c r="AE65" s="172"/>
      <c r="AF65" s="172"/>
      <c r="AG65" s="172"/>
      <c r="AH65" s="172"/>
      <c r="AI65" s="172"/>
      <c r="AJ65" s="172"/>
      <c r="AK65" s="173"/>
    </row>
    <row r="66" spans="1:37" ht="15.75" customHeight="1" x14ac:dyDescent="0.25">
      <c r="A66" s="95"/>
      <c r="B66" s="271"/>
      <c r="C66" s="95"/>
      <c r="D66" s="95"/>
      <c r="E66" s="172"/>
      <c r="F66" s="172"/>
      <c r="G66" s="172"/>
      <c r="H66" s="172"/>
      <c r="I66" s="172"/>
      <c r="J66" s="172"/>
      <c r="K66" s="172"/>
      <c r="L66" s="172"/>
      <c r="M66" s="172"/>
      <c r="N66" s="172"/>
      <c r="O66" s="172"/>
      <c r="P66" s="172"/>
      <c r="Q66" s="172"/>
      <c r="R66" s="172"/>
      <c r="S66" s="172"/>
      <c r="T66" s="172"/>
      <c r="U66" s="172"/>
      <c r="V66" s="172"/>
      <c r="W66" s="172"/>
      <c r="X66" s="172"/>
      <c r="Y66" s="172"/>
      <c r="Z66" s="172"/>
      <c r="AA66" s="172"/>
      <c r="AB66" s="172"/>
      <c r="AC66" s="172"/>
      <c r="AD66" s="172"/>
      <c r="AE66" s="172"/>
      <c r="AF66" s="172"/>
      <c r="AG66" s="172"/>
      <c r="AH66" s="172"/>
      <c r="AI66" s="172"/>
      <c r="AJ66" s="172"/>
      <c r="AK66" s="173"/>
    </row>
    <row r="67" spans="1:37" ht="15.75" customHeight="1" x14ac:dyDescent="0.25">
      <c r="A67" s="95"/>
      <c r="B67" s="271"/>
      <c r="C67" s="95"/>
      <c r="D67" s="95"/>
      <c r="E67" s="172"/>
      <c r="F67" s="172"/>
      <c r="G67" s="172"/>
      <c r="H67" s="172"/>
      <c r="I67" s="172"/>
      <c r="J67" s="172"/>
      <c r="K67" s="172"/>
      <c r="L67" s="172"/>
      <c r="M67" s="172"/>
      <c r="N67" s="172"/>
      <c r="O67" s="172"/>
      <c r="P67" s="172"/>
      <c r="Q67" s="172"/>
      <c r="R67" s="172"/>
      <c r="S67" s="172"/>
      <c r="T67" s="172"/>
      <c r="U67" s="172"/>
      <c r="V67" s="172"/>
      <c r="W67" s="172"/>
      <c r="X67" s="172"/>
      <c r="Y67" s="172"/>
      <c r="Z67" s="172"/>
      <c r="AA67" s="172"/>
      <c r="AB67" s="172"/>
      <c r="AC67" s="172"/>
      <c r="AD67" s="172"/>
      <c r="AE67" s="172"/>
      <c r="AF67" s="172"/>
      <c r="AG67" s="172"/>
      <c r="AH67" s="172"/>
      <c r="AI67" s="172"/>
      <c r="AJ67" s="172"/>
      <c r="AK67" s="173"/>
    </row>
    <row r="68" spans="1:37" ht="15.75" customHeight="1" x14ac:dyDescent="0.25">
      <c r="A68" s="95"/>
      <c r="B68" s="271"/>
      <c r="C68" s="97"/>
      <c r="D68" s="95"/>
      <c r="E68" s="172"/>
      <c r="F68" s="172"/>
      <c r="G68" s="172"/>
      <c r="H68" s="172"/>
      <c r="I68" s="172"/>
      <c r="J68" s="172"/>
      <c r="K68" s="172"/>
      <c r="L68" s="172"/>
      <c r="M68" s="172"/>
      <c r="N68" s="172"/>
      <c r="O68" s="172"/>
      <c r="P68" s="172"/>
      <c r="Q68" s="172"/>
      <c r="R68" s="172"/>
      <c r="S68" s="172"/>
      <c r="T68" s="172"/>
      <c r="U68" s="172"/>
      <c r="V68" s="172"/>
      <c r="W68" s="172"/>
      <c r="X68" s="172"/>
      <c r="Y68" s="172"/>
      <c r="Z68" s="172"/>
      <c r="AA68" s="172"/>
      <c r="AB68" s="172"/>
      <c r="AC68" s="172"/>
      <c r="AD68" s="172"/>
      <c r="AE68" s="172"/>
      <c r="AF68" s="172"/>
      <c r="AG68" s="172"/>
      <c r="AH68" s="172"/>
      <c r="AI68" s="172"/>
      <c r="AJ68" s="172"/>
      <c r="AK68" s="173"/>
    </row>
    <row r="69" spans="1:37" ht="15.75" customHeight="1" x14ac:dyDescent="0.25">
      <c r="A69" s="95"/>
      <c r="B69" s="288"/>
      <c r="C69" s="95"/>
      <c r="D69" s="95"/>
      <c r="E69" s="172"/>
      <c r="F69" s="172"/>
      <c r="G69" s="172"/>
      <c r="H69" s="172"/>
      <c r="I69" s="172"/>
      <c r="J69" s="172"/>
      <c r="K69" s="172"/>
      <c r="L69" s="172"/>
      <c r="M69" s="172"/>
      <c r="N69" s="172"/>
      <c r="O69" s="172"/>
      <c r="P69" s="172"/>
      <c r="Q69" s="172"/>
      <c r="R69" s="172"/>
      <c r="S69" s="172"/>
      <c r="T69" s="172"/>
      <c r="U69" s="172"/>
      <c r="V69" s="172"/>
      <c r="W69" s="172"/>
      <c r="X69" s="172"/>
      <c r="Y69" s="172"/>
      <c r="Z69" s="172"/>
      <c r="AA69" s="172"/>
      <c r="AB69" s="172"/>
      <c r="AC69" s="172"/>
      <c r="AD69" s="172"/>
      <c r="AE69" s="172"/>
      <c r="AF69" s="172"/>
      <c r="AG69" s="172"/>
      <c r="AH69" s="172"/>
      <c r="AI69" s="172"/>
      <c r="AJ69" s="172"/>
      <c r="AK69" s="173"/>
    </row>
    <row r="70" spans="1:37" ht="15.75" customHeight="1" x14ac:dyDescent="0.25">
      <c r="A70" s="95"/>
      <c r="B70" s="271"/>
      <c r="C70" s="95"/>
      <c r="D70" s="95"/>
      <c r="E70" s="172"/>
      <c r="F70" s="172"/>
      <c r="G70" s="172"/>
      <c r="H70" s="172"/>
      <c r="I70" s="172"/>
      <c r="J70" s="172"/>
      <c r="K70" s="172"/>
      <c r="L70" s="172"/>
      <c r="M70" s="172"/>
      <c r="N70" s="172"/>
      <c r="O70" s="172"/>
      <c r="P70" s="172"/>
      <c r="Q70" s="172"/>
      <c r="R70" s="172"/>
      <c r="S70" s="172"/>
      <c r="T70" s="172"/>
      <c r="U70" s="172"/>
      <c r="V70" s="172"/>
      <c r="W70" s="172"/>
      <c r="X70" s="172"/>
      <c r="Y70" s="172"/>
      <c r="Z70" s="172"/>
      <c r="AA70" s="172"/>
      <c r="AB70" s="172"/>
      <c r="AC70" s="172"/>
      <c r="AD70" s="172"/>
      <c r="AE70" s="172"/>
      <c r="AF70" s="172"/>
      <c r="AG70" s="172"/>
      <c r="AH70" s="172"/>
      <c r="AI70" s="172"/>
      <c r="AJ70" s="172"/>
      <c r="AK70" s="173"/>
    </row>
    <row r="71" spans="1:37" ht="15.75" customHeight="1" x14ac:dyDescent="0.25">
      <c r="A71" s="95"/>
      <c r="B71" s="271"/>
      <c r="C71" s="95"/>
      <c r="D71" s="95"/>
      <c r="E71" s="172"/>
      <c r="F71" s="172"/>
      <c r="G71" s="172"/>
      <c r="H71" s="172"/>
      <c r="I71" s="172"/>
      <c r="J71" s="172"/>
      <c r="K71" s="172"/>
      <c r="L71" s="172"/>
      <c r="M71" s="172"/>
      <c r="N71" s="172"/>
      <c r="O71" s="172"/>
      <c r="P71" s="172"/>
      <c r="Q71" s="172"/>
      <c r="R71" s="172"/>
      <c r="S71" s="172"/>
      <c r="T71" s="172"/>
      <c r="U71" s="172"/>
      <c r="V71" s="172"/>
      <c r="W71" s="172"/>
      <c r="X71" s="172"/>
      <c r="Y71" s="172"/>
      <c r="Z71" s="172"/>
      <c r="AA71" s="172"/>
      <c r="AB71" s="172"/>
      <c r="AC71" s="172"/>
      <c r="AD71" s="172"/>
      <c r="AE71" s="172"/>
      <c r="AF71" s="172"/>
      <c r="AG71" s="172"/>
      <c r="AH71" s="172"/>
      <c r="AI71" s="172"/>
      <c r="AJ71" s="172"/>
      <c r="AK71" s="173"/>
    </row>
    <row r="72" spans="1:37" ht="15.75" customHeight="1" x14ac:dyDescent="0.25">
      <c r="A72" s="95"/>
      <c r="B72" s="271"/>
      <c r="C72" s="95"/>
      <c r="D72" s="95"/>
      <c r="E72" s="172"/>
      <c r="F72" s="172"/>
      <c r="G72" s="172"/>
      <c r="H72" s="172"/>
      <c r="I72" s="172"/>
      <c r="J72" s="172"/>
      <c r="K72" s="172"/>
      <c r="L72" s="172"/>
      <c r="M72" s="172"/>
      <c r="N72" s="172"/>
      <c r="O72" s="172"/>
      <c r="P72" s="172"/>
      <c r="Q72" s="172"/>
      <c r="R72" s="172"/>
      <c r="S72" s="172"/>
      <c r="T72" s="172"/>
      <c r="U72" s="172"/>
      <c r="V72" s="172"/>
      <c r="W72" s="172"/>
      <c r="X72" s="172"/>
      <c r="Y72" s="172"/>
      <c r="Z72" s="172"/>
      <c r="AA72" s="172"/>
      <c r="AB72" s="172"/>
      <c r="AC72" s="172"/>
      <c r="AD72" s="172"/>
      <c r="AE72" s="172"/>
      <c r="AF72" s="172"/>
      <c r="AG72" s="172"/>
      <c r="AH72" s="172"/>
      <c r="AI72" s="172"/>
      <c r="AJ72" s="172"/>
      <c r="AK72" s="173"/>
    </row>
    <row r="73" spans="1:37" ht="15.75" customHeight="1" x14ac:dyDescent="0.25">
      <c r="A73" s="95"/>
      <c r="B73" s="271"/>
      <c r="C73" s="97"/>
      <c r="D73" s="95"/>
      <c r="E73" s="172"/>
      <c r="F73" s="172"/>
      <c r="G73" s="172"/>
      <c r="H73" s="172"/>
      <c r="I73" s="172"/>
      <c r="J73" s="172"/>
      <c r="K73" s="172"/>
      <c r="L73" s="172"/>
      <c r="M73" s="172"/>
      <c r="N73" s="172"/>
      <c r="O73" s="172"/>
      <c r="P73" s="172"/>
      <c r="Q73" s="172"/>
      <c r="R73" s="172"/>
      <c r="S73" s="172"/>
      <c r="T73" s="172"/>
      <c r="U73" s="172"/>
      <c r="V73" s="172"/>
      <c r="W73" s="172"/>
      <c r="X73" s="172"/>
      <c r="Y73" s="172"/>
      <c r="Z73" s="172"/>
      <c r="AA73" s="172"/>
      <c r="AB73" s="172"/>
      <c r="AC73" s="172"/>
      <c r="AD73" s="172"/>
      <c r="AE73" s="172"/>
      <c r="AF73" s="172"/>
      <c r="AG73" s="172"/>
      <c r="AH73" s="172"/>
      <c r="AI73" s="172"/>
      <c r="AJ73" s="172"/>
      <c r="AK73" s="173"/>
    </row>
    <row r="74" spans="1:37" ht="15.75" customHeight="1" x14ac:dyDescent="0.25">
      <c r="A74" s="95"/>
      <c r="B74" s="288"/>
      <c r="C74" s="95"/>
      <c r="D74" s="95"/>
      <c r="E74" s="172"/>
      <c r="F74" s="172"/>
      <c r="G74" s="172"/>
      <c r="H74" s="172"/>
      <c r="I74" s="172"/>
      <c r="J74" s="172"/>
      <c r="K74" s="172"/>
      <c r="L74" s="172"/>
      <c r="M74" s="172"/>
      <c r="N74" s="172"/>
      <c r="O74" s="172"/>
      <c r="P74" s="172"/>
      <c r="Q74" s="172"/>
      <c r="R74" s="172"/>
      <c r="S74" s="172"/>
      <c r="T74" s="172"/>
      <c r="U74" s="172"/>
      <c r="V74" s="172"/>
      <c r="W74" s="172"/>
      <c r="X74" s="172"/>
      <c r="Y74" s="172"/>
      <c r="Z74" s="172"/>
      <c r="AA74" s="172"/>
      <c r="AB74" s="172"/>
      <c r="AC74" s="172"/>
      <c r="AD74" s="172"/>
      <c r="AE74" s="172"/>
      <c r="AF74" s="172"/>
      <c r="AG74" s="172"/>
      <c r="AH74" s="172"/>
      <c r="AI74" s="172"/>
      <c r="AJ74" s="172"/>
      <c r="AK74" s="173"/>
    </row>
    <row r="75" spans="1:37" ht="15.75" customHeight="1" x14ac:dyDescent="0.25">
      <c r="A75" s="95"/>
      <c r="B75" s="271"/>
      <c r="C75" s="95"/>
      <c r="D75" s="95"/>
      <c r="E75" s="172"/>
      <c r="F75" s="172"/>
      <c r="G75" s="172"/>
      <c r="H75" s="172"/>
      <c r="I75" s="172"/>
      <c r="J75" s="172"/>
      <c r="K75" s="172"/>
      <c r="L75" s="172"/>
      <c r="M75" s="172"/>
      <c r="N75" s="172"/>
      <c r="O75" s="172"/>
      <c r="P75" s="172"/>
      <c r="Q75" s="172"/>
      <c r="R75" s="172"/>
      <c r="S75" s="172"/>
      <c r="T75" s="172"/>
      <c r="U75" s="172"/>
      <c r="V75" s="172"/>
      <c r="W75" s="172"/>
      <c r="X75" s="172"/>
      <c r="Y75" s="172"/>
      <c r="Z75" s="172"/>
      <c r="AA75" s="172"/>
      <c r="AB75" s="172"/>
      <c r="AC75" s="172"/>
      <c r="AD75" s="172"/>
      <c r="AE75" s="172"/>
      <c r="AF75" s="172"/>
      <c r="AG75" s="172"/>
      <c r="AH75" s="172"/>
      <c r="AI75" s="172"/>
      <c r="AJ75" s="172"/>
      <c r="AK75" s="173"/>
    </row>
    <row r="76" spans="1:37" ht="15.75" customHeight="1" x14ac:dyDescent="0.25">
      <c r="A76" s="95"/>
      <c r="B76" s="271"/>
      <c r="C76" s="95"/>
      <c r="D76" s="95"/>
      <c r="E76" s="172"/>
      <c r="F76" s="172"/>
      <c r="G76" s="172"/>
      <c r="H76" s="172"/>
      <c r="I76" s="172"/>
      <c r="J76" s="172"/>
      <c r="K76" s="172"/>
      <c r="L76" s="172"/>
      <c r="M76" s="172"/>
      <c r="N76" s="172"/>
      <c r="O76" s="172"/>
      <c r="P76" s="172"/>
      <c r="Q76" s="172"/>
      <c r="R76" s="172"/>
      <c r="S76" s="172"/>
      <c r="T76" s="172"/>
      <c r="U76" s="172"/>
      <c r="V76" s="172"/>
      <c r="W76" s="172"/>
      <c r="X76" s="172"/>
      <c r="Y76" s="172"/>
      <c r="Z76" s="172"/>
      <c r="AA76" s="172"/>
      <c r="AB76" s="172"/>
      <c r="AC76" s="172"/>
      <c r="AD76" s="172"/>
      <c r="AE76" s="172"/>
      <c r="AF76" s="172"/>
      <c r="AG76" s="172"/>
      <c r="AH76" s="172"/>
      <c r="AI76" s="172"/>
      <c r="AJ76" s="172"/>
      <c r="AK76" s="173"/>
    </row>
    <row r="77" spans="1:37" ht="15.75" customHeight="1" x14ac:dyDescent="0.25">
      <c r="A77" s="95"/>
      <c r="B77" s="271"/>
      <c r="C77" s="95"/>
      <c r="D77" s="95"/>
      <c r="E77" s="172"/>
      <c r="F77" s="172"/>
      <c r="G77" s="172"/>
      <c r="H77" s="172"/>
      <c r="I77" s="172"/>
      <c r="J77" s="172"/>
      <c r="K77" s="172"/>
      <c r="L77" s="172"/>
      <c r="M77" s="172"/>
      <c r="N77" s="172"/>
      <c r="O77" s="172"/>
      <c r="P77" s="172"/>
      <c r="Q77" s="172"/>
      <c r="R77" s="172"/>
      <c r="S77" s="172"/>
      <c r="T77" s="172"/>
      <c r="U77" s="172"/>
      <c r="V77" s="172"/>
      <c r="W77" s="172"/>
      <c r="X77" s="172"/>
      <c r="Y77" s="172"/>
      <c r="Z77" s="172"/>
      <c r="AA77" s="172"/>
      <c r="AB77" s="172"/>
      <c r="AC77" s="172"/>
      <c r="AD77" s="172"/>
      <c r="AE77" s="172"/>
      <c r="AF77" s="172"/>
      <c r="AG77" s="172"/>
      <c r="AH77" s="172"/>
      <c r="AI77" s="172"/>
      <c r="AJ77" s="172"/>
      <c r="AK77" s="173"/>
    </row>
    <row r="78" spans="1:37" ht="15.75" customHeight="1" x14ac:dyDescent="0.25">
      <c r="A78" s="95"/>
      <c r="B78" s="271"/>
      <c r="C78" s="97"/>
      <c r="D78" s="95"/>
      <c r="E78" s="172"/>
      <c r="F78" s="172"/>
      <c r="G78" s="172"/>
      <c r="H78" s="172"/>
      <c r="I78" s="172"/>
      <c r="J78" s="172"/>
      <c r="K78" s="172"/>
      <c r="L78" s="172"/>
      <c r="M78" s="172"/>
      <c r="N78" s="172"/>
      <c r="O78" s="172"/>
      <c r="P78" s="172"/>
      <c r="Q78" s="172"/>
      <c r="R78" s="172"/>
      <c r="S78" s="172"/>
      <c r="T78" s="172"/>
      <c r="U78" s="172"/>
      <c r="V78" s="172"/>
      <c r="W78" s="172"/>
      <c r="X78" s="172"/>
      <c r="Y78" s="172"/>
      <c r="Z78" s="172"/>
      <c r="AA78" s="172"/>
      <c r="AB78" s="172"/>
      <c r="AC78" s="172"/>
      <c r="AD78" s="172"/>
      <c r="AE78" s="172"/>
      <c r="AF78" s="172"/>
      <c r="AG78" s="172"/>
      <c r="AH78" s="172"/>
      <c r="AI78" s="172"/>
      <c r="AJ78" s="172"/>
      <c r="AK78" s="173"/>
    </row>
    <row r="79" spans="1:37" ht="15.75" customHeight="1" x14ac:dyDescent="0.25">
      <c r="A79" s="95"/>
      <c r="B79" s="288"/>
      <c r="C79" s="95"/>
      <c r="D79" s="95"/>
      <c r="E79" s="172"/>
      <c r="F79" s="172"/>
      <c r="G79" s="172"/>
      <c r="H79" s="172"/>
      <c r="I79" s="172"/>
      <c r="J79" s="172"/>
      <c r="K79" s="172"/>
      <c r="L79" s="172"/>
      <c r="M79" s="172"/>
      <c r="N79" s="172"/>
      <c r="O79" s="172"/>
      <c r="P79" s="172"/>
      <c r="Q79" s="172"/>
      <c r="R79" s="172"/>
      <c r="S79" s="172"/>
      <c r="T79" s="172"/>
      <c r="U79" s="172"/>
      <c r="V79" s="172"/>
      <c r="W79" s="172"/>
      <c r="X79" s="172"/>
      <c r="Y79" s="172"/>
      <c r="Z79" s="172"/>
      <c r="AA79" s="172"/>
      <c r="AB79" s="172"/>
      <c r="AC79" s="172"/>
      <c r="AD79" s="172"/>
      <c r="AE79" s="172"/>
      <c r="AF79" s="172"/>
      <c r="AG79" s="172"/>
      <c r="AH79" s="172"/>
      <c r="AI79" s="172"/>
      <c r="AJ79" s="172"/>
      <c r="AK79" s="173"/>
    </row>
    <row r="80" spans="1:37" ht="15.75" customHeight="1" x14ac:dyDescent="0.25">
      <c r="A80" s="95"/>
      <c r="B80" s="271"/>
      <c r="C80" s="95"/>
      <c r="D80" s="95"/>
      <c r="E80" s="172"/>
      <c r="F80" s="172"/>
      <c r="G80" s="172"/>
      <c r="H80" s="172"/>
      <c r="I80" s="172"/>
      <c r="J80" s="172"/>
      <c r="K80" s="172"/>
      <c r="L80" s="172"/>
      <c r="M80" s="172"/>
      <c r="N80" s="172"/>
      <c r="O80" s="172"/>
      <c r="P80" s="172"/>
      <c r="Q80" s="172"/>
      <c r="R80" s="172"/>
      <c r="S80" s="172"/>
      <c r="T80" s="172"/>
      <c r="U80" s="172"/>
      <c r="V80" s="172"/>
      <c r="W80" s="172"/>
      <c r="X80" s="172"/>
      <c r="Y80" s="172"/>
      <c r="Z80" s="172"/>
      <c r="AA80" s="172"/>
      <c r="AB80" s="172"/>
      <c r="AC80" s="172"/>
      <c r="AD80" s="172"/>
      <c r="AE80" s="172"/>
      <c r="AF80" s="172"/>
      <c r="AG80" s="172"/>
      <c r="AH80" s="172"/>
      <c r="AI80" s="172"/>
      <c r="AJ80" s="172"/>
      <c r="AK80" s="173"/>
    </row>
    <row r="81" spans="1:37" ht="15.75" customHeight="1" x14ac:dyDescent="0.25">
      <c r="A81" s="95"/>
      <c r="B81" s="271"/>
      <c r="C81" s="95"/>
      <c r="D81" s="95"/>
      <c r="E81" s="172"/>
      <c r="F81" s="172"/>
      <c r="G81" s="172"/>
      <c r="H81" s="172"/>
      <c r="I81" s="172"/>
      <c r="J81" s="172"/>
      <c r="K81" s="172"/>
      <c r="L81" s="172"/>
      <c r="M81" s="172"/>
      <c r="N81" s="172"/>
      <c r="O81" s="172"/>
      <c r="P81" s="172"/>
      <c r="Q81" s="172"/>
      <c r="R81" s="172"/>
      <c r="S81" s="172"/>
      <c r="T81" s="172"/>
      <c r="U81" s="172"/>
      <c r="V81" s="172"/>
      <c r="W81" s="172"/>
      <c r="X81" s="172"/>
      <c r="Y81" s="172"/>
      <c r="Z81" s="172"/>
      <c r="AA81" s="172"/>
      <c r="AB81" s="172"/>
      <c r="AC81" s="172"/>
      <c r="AD81" s="172"/>
      <c r="AE81" s="172"/>
      <c r="AF81" s="172"/>
      <c r="AG81" s="172"/>
      <c r="AH81" s="172"/>
      <c r="AI81" s="172"/>
      <c r="AJ81" s="172"/>
      <c r="AK81" s="173"/>
    </row>
    <row r="82" spans="1:37" ht="15.75" customHeight="1" x14ac:dyDescent="0.25">
      <c r="A82" s="95"/>
      <c r="B82" s="271"/>
      <c r="C82" s="95"/>
      <c r="D82" s="95"/>
      <c r="E82" s="172"/>
      <c r="F82" s="172"/>
      <c r="G82" s="172"/>
      <c r="H82" s="172"/>
      <c r="I82" s="172"/>
      <c r="J82" s="172"/>
      <c r="K82" s="172"/>
      <c r="L82" s="172"/>
      <c r="M82" s="172"/>
      <c r="N82" s="172"/>
      <c r="O82" s="172"/>
      <c r="P82" s="172"/>
      <c r="Q82" s="172"/>
      <c r="R82" s="172"/>
      <c r="S82" s="172"/>
      <c r="T82" s="172"/>
      <c r="U82" s="172"/>
      <c r="V82" s="172"/>
      <c r="W82" s="172"/>
      <c r="X82" s="172"/>
      <c r="Y82" s="172"/>
      <c r="Z82" s="172"/>
      <c r="AA82" s="172"/>
      <c r="AB82" s="172"/>
      <c r="AC82" s="172"/>
      <c r="AD82" s="172"/>
      <c r="AE82" s="172"/>
      <c r="AF82" s="172"/>
      <c r="AG82" s="172"/>
      <c r="AH82" s="172"/>
      <c r="AI82" s="172"/>
      <c r="AJ82" s="172"/>
      <c r="AK82" s="173"/>
    </row>
    <row r="83" spans="1:37" ht="15.75" customHeight="1" x14ac:dyDescent="0.25">
      <c r="A83" s="95"/>
      <c r="B83" s="271"/>
      <c r="C83" s="97"/>
      <c r="D83" s="95"/>
      <c r="E83" s="172"/>
      <c r="F83" s="172"/>
      <c r="G83" s="172"/>
      <c r="H83" s="172"/>
      <c r="I83" s="172"/>
      <c r="J83" s="172"/>
      <c r="K83" s="172"/>
      <c r="L83" s="172"/>
      <c r="M83" s="172"/>
      <c r="N83" s="172"/>
      <c r="O83" s="172"/>
      <c r="P83" s="172"/>
      <c r="Q83" s="172"/>
      <c r="R83" s="172"/>
      <c r="S83" s="172"/>
      <c r="T83" s="172"/>
      <c r="U83" s="172"/>
      <c r="V83" s="172"/>
      <c r="W83" s="172"/>
      <c r="X83" s="172"/>
      <c r="Y83" s="172"/>
      <c r="Z83" s="172"/>
      <c r="AA83" s="172"/>
      <c r="AB83" s="172"/>
      <c r="AC83" s="172"/>
      <c r="AD83" s="172"/>
      <c r="AE83" s="172"/>
      <c r="AF83" s="172"/>
      <c r="AG83" s="172"/>
      <c r="AH83" s="172"/>
      <c r="AI83" s="172"/>
      <c r="AJ83" s="172"/>
      <c r="AK83" s="173"/>
    </row>
    <row r="84" spans="1:37" ht="15.75" customHeight="1" x14ac:dyDescent="0.25">
      <c r="A84" s="95"/>
      <c r="B84" s="288"/>
      <c r="C84" s="95"/>
      <c r="D84" s="95"/>
      <c r="E84" s="172"/>
      <c r="F84" s="172"/>
      <c r="G84" s="172"/>
      <c r="H84" s="172"/>
      <c r="I84" s="172"/>
      <c r="J84" s="172"/>
      <c r="K84" s="172"/>
      <c r="L84" s="172"/>
      <c r="M84" s="172"/>
      <c r="N84" s="172"/>
      <c r="O84" s="172"/>
      <c r="P84" s="172"/>
      <c r="Q84" s="172"/>
      <c r="R84" s="172"/>
      <c r="S84" s="172"/>
      <c r="T84" s="172"/>
      <c r="U84" s="172"/>
      <c r="V84" s="172"/>
      <c r="W84" s="172"/>
      <c r="X84" s="172"/>
      <c r="Y84" s="172"/>
      <c r="Z84" s="172"/>
      <c r="AA84" s="172"/>
      <c r="AB84" s="172"/>
      <c r="AC84" s="172"/>
      <c r="AD84" s="172"/>
      <c r="AE84" s="172"/>
      <c r="AF84" s="172"/>
      <c r="AG84" s="172"/>
      <c r="AH84" s="172"/>
      <c r="AI84" s="172"/>
      <c r="AJ84" s="172"/>
      <c r="AK84" s="173"/>
    </row>
    <row r="85" spans="1:37" ht="15.75" customHeight="1" x14ac:dyDescent="0.25">
      <c r="A85" s="95"/>
      <c r="B85" s="271"/>
      <c r="C85" s="95"/>
      <c r="D85" s="95"/>
      <c r="E85" s="172"/>
      <c r="F85" s="172"/>
      <c r="G85" s="172"/>
      <c r="H85" s="172"/>
      <c r="I85" s="172"/>
      <c r="J85" s="172"/>
      <c r="K85" s="172"/>
      <c r="L85" s="172"/>
      <c r="M85" s="172"/>
      <c r="N85" s="172"/>
      <c r="O85" s="172"/>
      <c r="P85" s="172"/>
      <c r="Q85" s="172"/>
      <c r="R85" s="172"/>
      <c r="S85" s="172"/>
      <c r="T85" s="172"/>
      <c r="U85" s="172"/>
      <c r="V85" s="172"/>
      <c r="W85" s="172"/>
      <c r="X85" s="172"/>
      <c r="Y85" s="172"/>
      <c r="Z85" s="172"/>
      <c r="AA85" s="172"/>
      <c r="AB85" s="172"/>
      <c r="AC85" s="172"/>
      <c r="AD85" s="172"/>
      <c r="AE85" s="172"/>
      <c r="AF85" s="172"/>
      <c r="AG85" s="172"/>
      <c r="AH85" s="172"/>
      <c r="AI85" s="172"/>
      <c r="AJ85" s="172"/>
      <c r="AK85" s="173"/>
    </row>
    <row r="86" spans="1:37" ht="15.75" customHeight="1" x14ac:dyDescent="0.25">
      <c r="A86" s="95"/>
      <c r="B86" s="271"/>
      <c r="C86" s="95"/>
      <c r="D86" s="95"/>
      <c r="E86" s="172"/>
      <c r="F86" s="172"/>
      <c r="G86" s="172"/>
      <c r="H86" s="172"/>
      <c r="I86" s="172"/>
      <c r="J86" s="172"/>
      <c r="K86" s="172"/>
      <c r="L86" s="172"/>
      <c r="M86" s="172"/>
      <c r="N86" s="172"/>
      <c r="O86" s="172"/>
      <c r="P86" s="172"/>
      <c r="Q86" s="172"/>
      <c r="R86" s="172"/>
      <c r="S86" s="172"/>
      <c r="T86" s="172"/>
      <c r="U86" s="172"/>
      <c r="V86" s="172"/>
      <c r="W86" s="172"/>
      <c r="X86" s="172"/>
      <c r="Y86" s="172"/>
      <c r="Z86" s="172"/>
      <c r="AA86" s="172"/>
      <c r="AB86" s="172"/>
      <c r="AC86" s="172"/>
      <c r="AD86" s="172"/>
      <c r="AE86" s="172"/>
      <c r="AF86" s="172"/>
      <c r="AG86" s="172"/>
      <c r="AH86" s="172"/>
      <c r="AI86" s="172"/>
      <c r="AJ86" s="172"/>
      <c r="AK86" s="173"/>
    </row>
    <row r="87" spans="1:37" ht="15.75" customHeight="1" x14ac:dyDescent="0.25">
      <c r="A87" s="95"/>
      <c r="B87" s="271"/>
      <c r="C87" s="95"/>
      <c r="D87" s="95"/>
      <c r="E87" s="172"/>
      <c r="F87" s="172"/>
      <c r="G87" s="172"/>
      <c r="H87" s="172"/>
      <c r="I87" s="172"/>
      <c r="J87" s="172"/>
      <c r="K87" s="172"/>
      <c r="L87" s="172"/>
      <c r="M87" s="172"/>
      <c r="N87" s="172"/>
      <c r="O87" s="172"/>
      <c r="P87" s="172"/>
      <c r="Q87" s="172"/>
      <c r="R87" s="172"/>
      <c r="S87" s="172"/>
      <c r="T87" s="172"/>
      <c r="U87" s="172"/>
      <c r="V87" s="172"/>
      <c r="W87" s="172"/>
      <c r="X87" s="172"/>
      <c r="Y87" s="172"/>
      <c r="Z87" s="172"/>
      <c r="AA87" s="172"/>
      <c r="AB87" s="172"/>
      <c r="AC87" s="172"/>
      <c r="AD87" s="172"/>
      <c r="AE87" s="172"/>
      <c r="AF87" s="172"/>
      <c r="AG87" s="172"/>
      <c r="AH87" s="172"/>
      <c r="AI87" s="172"/>
      <c r="AJ87" s="172"/>
      <c r="AK87" s="173"/>
    </row>
    <row r="88" spans="1:37" ht="15.75" customHeight="1" x14ac:dyDescent="0.25">
      <c r="A88" s="95"/>
      <c r="B88" s="271"/>
      <c r="C88" s="97"/>
      <c r="D88" s="95"/>
      <c r="E88" s="172"/>
      <c r="F88" s="172"/>
      <c r="G88" s="172"/>
      <c r="H88" s="172"/>
      <c r="I88" s="172"/>
      <c r="J88" s="172"/>
      <c r="K88" s="172"/>
      <c r="L88" s="172"/>
      <c r="M88" s="172"/>
      <c r="N88" s="172"/>
      <c r="O88" s="172"/>
      <c r="P88" s="172"/>
      <c r="Q88" s="172"/>
      <c r="R88" s="172"/>
      <c r="S88" s="172"/>
      <c r="T88" s="172"/>
      <c r="U88" s="172"/>
      <c r="V88" s="172"/>
      <c r="W88" s="172"/>
      <c r="X88" s="172"/>
      <c r="Y88" s="172"/>
      <c r="Z88" s="172"/>
      <c r="AA88" s="172"/>
      <c r="AB88" s="172"/>
      <c r="AC88" s="172"/>
      <c r="AD88" s="172"/>
      <c r="AE88" s="172"/>
      <c r="AF88" s="172"/>
      <c r="AG88" s="172"/>
      <c r="AH88" s="172"/>
      <c r="AI88" s="172"/>
      <c r="AJ88" s="172"/>
      <c r="AK88" s="173"/>
    </row>
    <row r="89" spans="1:37" ht="15.75" customHeight="1" x14ac:dyDescent="0.25">
      <c r="A89" s="95"/>
      <c r="B89" s="288"/>
      <c r="C89" s="95"/>
      <c r="D89" s="95"/>
      <c r="E89" s="172"/>
      <c r="F89" s="172"/>
      <c r="G89" s="172"/>
      <c r="H89" s="172"/>
      <c r="I89" s="172"/>
      <c r="J89" s="172"/>
      <c r="K89" s="172"/>
      <c r="L89" s="172"/>
      <c r="M89" s="172"/>
      <c r="N89" s="172"/>
      <c r="O89" s="172"/>
      <c r="P89" s="172"/>
      <c r="Q89" s="172"/>
      <c r="R89" s="172"/>
      <c r="S89" s="172"/>
      <c r="T89" s="172"/>
      <c r="U89" s="172"/>
      <c r="V89" s="172"/>
      <c r="W89" s="172"/>
      <c r="X89" s="172"/>
      <c r="Y89" s="172"/>
      <c r="Z89" s="172"/>
      <c r="AA89" s="172"/>
      <c r="AB89" s="172"/>
      <c r="AC89" s="172"/>
      <c r="AD89" s="172"/>
      <c r="AE89" s="172"/>
      <c r="AF89" s="172"/>
      <c r="AG89" s="172"/>
      <c r="AH89" s="172"/>
      <c r="AI89" s="172"/>
      <c r="AJ89" s="172"/>
      <c r="AK89" s="173"/>
    </row>
    <row r="90" spans="1:37" ht="15.75" customHeight="1" x14ac:dyDescent="0.25">
      <c r="A90" s="95"/>
      <c r="B90" s="271"/>
      <c r="C90" s="95"/>
      <c r="D90" s="95"/>
      <c r="E90" s="172"/>
      <c r="F90" s="172"/>
      <c r="G90" s="172"/>
      <c r="H90" s="172"/>
      <c r="I90" s="172"/>
      <c r="J90" s="172"/>
      <c r="K90" s="172"/>
      <c r="L90" s="172"/>
      <c r="M90" s="172"/>
      <c r="N90" s="172"/>
      <c r="O90" s="172"/>
      <c r="P90" s="172"/>
      <c r="Q90" s="172"/>
      <c r="R90" s="172"/>
      <c r="S90" s="172"/>
      <c r="T90" s="172"/>
      <c r="U90" s="172"/>
      <c r="V90" s="172"/>
      <c r="W90" s="172"/>
      <c r="X90" s="172"/>
      <c r="Y90" s="172"/>
      <c r="Z90" s="172"/>
      <c r="AA90" s="172"/>
      <c r="AB90" s="172"/>
      <c r="AC90" s="172"/>
      <c r="AD90" s="172"/>
      <c r="AE90" s="172"/>
      <c r="AF90" s="172"/>
      <c r="AG90" s="172"/>
      <c r="AH90" s="172"/>
      <c r="AI90" s="172"/>
      <c r="AJ90" s="172"/>
      <c r="AK90" s="173"/>
    </row>
    <row r="91" spans="1:37" ht="15.75" customHeight="1" x14ac:dyDescent="0.25">
      <c r="A91" s="95"/>
      <c r="B91" s="271"/>
      <c r="C91" s="95"/>
      <c r="D91" s="95"/>
      <c r="E91" s="172"/>
      <c r="F91" s="172"/>
      <c r="G91" s="172"/>
      <c r="H91" s="172"/>
      <c r="I91" s="172"/>
      <c r="J91" s="172"/>
      <c r="K91" s="172"/>
      <c r="L91" s="172"/>
      <c r="M91" s="172"/>
      <c r="N91" s="172"/>
      <c r="O91" s="172"/>
      <c r="P91" s="172"/>
      <c r="Q91" s="172"/>
      <c r="R91" s="172"/>
      <c r="S91" s="172"/>
      <c r="T91" s="172"/>
      <c r="U91" s="172"/>
      <c r="V91" s="172"/>
      <c r="W91" s="172"/>
      <c r="X91" s="172"/>
      <c r="Y91" s="172"/>
      <c r="Z91" s="172"/>
      <c r="AA91" s="172"/>
      <c r="AB91" s="172"/>
      <c r="AC91" s="172"/>
      <c r="AD91" s="172"/>
      <c r="AE91" s="172"/>
      <c r="AF91" s="172"/>
      <c r="AG91" s="172"/>
      <c r="AH91" s="172"/>
      <c r="AI91" s="172"/>
      <c r="AJ91" s="172"/>
      <c r="AK91" s="173"/>
    </row>
    <row r="92" spans="1:37" ht="15.75" customHeight="1" x14ac:dyDescent="0.25">
      <c r="A92" s="95"/>
      <c r="B92" s="271"/>
      <c r="C92" s="95"/>
      <c r="D92" s="95"/>
      <c r="E92" s="172"/>
      <c r="F92" s="172"/>
      <c r="G92" s="172"/>
      <c r="H92" s="172"/>
      <c r="I92" s="172"/>
      <c r="J92" s="172"/>
      <c r="K92" s="172"/>
      <c r="L92" s="172"/>
      <c r="M92" s="172"/>
      <c r="N92" s="172"/>
      <c r="O92" s="172"/>
      <c r="P92" s="172"/>
      <c r="Q92" s="172"/>
      <c r="R92" s="172"/>
      <c r="S92" s="172"/>
      <c r="T92" s="172"/>
      <c r="U92" s="172"/>
      <c r="V92" s="172"/>
      <c r="W92" s="172"/>
      <c r="X92" s="172"/>
      <c r="Y92" s="172"/>
      <c r="Z92" s="172"/>
      <c r="AA92" s="172"/>
      <c r="AB92" s="172"/>
      <c r="AC92" s="172"/>
      <c r="AD92" s="172"/>
      <c r="AE92" s="172"/>
      <c r="AF92" s="172"/>
      <c r="AG92" s="172"/>
      <c r="AH92" s="172"/>
      <c r="AI92" s="172"/>
      <c r="AJ92" s="172"/>
      <c r="AK92" s="173"/>
    </row>
    <row r="93" spans="1:37" ht="15.75" customHeight="1" x14ac:dyDescent="0.25">
      <c r="A93" s="95"/>
      <c r="B93" s="271"/>
      <c r="C93" s="97"/>
      <c r="D93" s="95"/>
      <c r="E93" s="172"/>
      <c r="F93" s="172"/>
      <c r="G93" s="172"/>
      <c r="H93" s="172"/>
      <c r="I93" s="172"/>
      <c r="J93" s="172"/>
      <c r="K93" s="172"/>
      <c r="L93" s="172"/>
      <c r="M93" s="172"/>
      <c r="N93" s="172"/>
      <c r="O93" s="172"/>
      <c r="P93" s="172"/>
      <c r="Q93" s="172"/>
      <c r="R93" s="172"/>
      <c r="S93" s="172"/>
      <c r="T93" s="172"/>
      <c r="U93" s="172"/>
      <c r="V93" s="172"/>
      <c r="W93" s="172"/>
      <c r="X93" s="172"/>
      <c r="Y93" s="172"/>
      <c r="Z93" s="172"/>
      <c r="AA93" s="172"/>
      <c r="AB93" s="172"/>
      <c r="AC93" s="172"/>
      <c r="AD93" s="172"/>
      <c r="AE93" s="172"/>
      <c r="AF93" s="172"/>
      <c r="AG93" s="172"/>
      <c r="AH93" s="172"/>
      <c r="AI93" s="172"/>
      <c r="AJ93" s="172"/>
      <c r="AK93" s="173"/>
    </row>
    <row r="94" spans="1:37" ht="15.75" customHeight="1" x14ac:dyDescent="0.25">
      <c r="A94" s="95"/>
      <c r="B94" s="288"/>
      <c r="C94" s="95"/>
      <c r="D94" s="95"/>
      <c r="E94" s="172"/>
      <c r="F94" s="172"/>
      <c r="G94" s="172"/>
      <c r="H94" s="172"/>
      <c r="I94" s="172"/>
      <c r="J94" s="172"/>
      <c r="K94" s="172"/>
      <c r="L94" s="172"/>
      <c r="M94" s="172"/>
      <c r="N94" s="172"/>
      <c r="O94" s="172"/>
      <c r="P94" s="172"/>
      <c r="Q94" s="172"/>
      <c r="R94" s="172"/>
      <c r="S94" s="172"/>
      <c r="T94" s="172"/>
      <c r="U94" s="172"/>
      <c r="V94" s="172"/>
      <c r="W94" s="172"/>
      <c r="X94" s="172"/>
      <c r="Y94" s="172"/>
      <c r="Z94" s="172"/>
      <c r="AA94" s="172"/>
      <c r="AB94" s="172"/>
      <c r="AC94" s="172"/>
      <c r="AD94" s="172"/>
      <c r="AE94" s="172"/>
      <c r="AF94" s="172"/>
      <c r="AG94" s="172"/>
      <c r="AH94" s="172"/>
      <c r="AI94" s="172"/>
      <c r="AJ94" s="172"/>
      <c r="AK94" s="173"/>
    </row>
    <row r="95" spans="1:37" ht="15.75" customHeight="1" x14ac:dyDescent="0.25">
      <c r="A95" s="95"/>
      <c r="B95" s="271"/>
      <c r="C95" s="95"/>
      <c r="D95" s="95"/>
      <c r="E95" s="172"/>
      <c r="F95" s="172"/>
      <c r="G95" s="172"/>
      <c r="H95" s="172"/>
      <c r="I95" s="172"/>
      <c r="J95" s="172"/>
      <c r="K95" s="172"/>
      <c r="L95" s="172"/>
      <c r="M95" s="172"/>
      <c r="N95" s="172"/>
      <c r="O95" s="172"/>
      <c r="P95" s="172"/>
      <c r="Q95" s="172"/>
      <c r="R95" s="172"/>
      <c r="S95" s="172"/>
      <c r="T95" s="172"/>
      <c r="U95" s="172"/>
      <c r="V95" s="172"/>
      <c r="W95" s="172"/>
      <c r="X95" s="172"/>
      <c r="Y95" s="172"/>
      <c r="Z95" s="172"/>
      <c r="AA95" s="172"/>
      <c r="AB95" s="172"/>
      <c r="AC95" s="172"/>
      <c r="AD95" s="172"/>
      <c r="AE95" s="172"/>
      <c r="AF95" s="172"/>
      <c r="AG95" s="172"/>
      <c r="AH95" s="172"/>
      <c r="AI95" s="172"/>
      <c r="AJ95" s="172"/>
      <c r="AK95" s="173"/>
    </row>
    <row r="96" spans="1:37" ht="15.75" customHeight="1" x14ac:dyDescent="0.25">
      <c r="A96" s="95"/>
      <c r="B96" s="271"/>
      <c r="C96" s="95"/>
      <c r="D96" s="95"/>
      <c r="E96" s="172"/>
      <c r="F96" s="172"/>
      <c r="G96" s="172"/>
      <c r="H96" s="172"/>
      <c r="I96" s="172"/>
      <c r="J96" s="172"/>
      <c r="K96" s="172"/>
      <c r="L96" s="172"/>
      <c r="M96" s="172"/>
      <c r="N96" s="172"/>
      <c r="O96" s="172"/>
      <c r="P96" s="172"/>
      <c r="Q96" s="172"/>
      <c r="R96" s="172"/>
      <c r="S96" s="172"/>
      <c r="T96" s="172"/>
      <c r="U96" s="172"/>
      <c r="V96" s="172"/>
      <c r="W96" s="172"/>
      <c r="X96" s="172"/>
      <c r="Y96" s="172"/>
      <c r="Z96" s="172"/>
      <c r="AA96" s="172"/>
      <c r="AB96" s="172"/>
      <c r="AC96" s="172"/>
      <c r="AD96" s="172"/>
      <c r="AE96" s="172"/>
      <c r="AF96" s="172"/>
      <c r="AG96" s="172"/>
      <c r="AH96" s="172"/>
      <c r="AI96" s="172"/>
      <c r="AJ96" s="172"/>
      <c r="AK96" s="173"/>
    </row>
    <row r="97" spans="1:37" ht="15.75" customHeight="1" x14ac:dyDescent="0.25">
      <c r="A97" s="95"/>
      <c r="B97" s="271"/>
      <c r="C97" s="95"/>
      <c r="D97" s="95"/>
      <c r="E97" s="172"/>
      <c r="F97" s="172"/>
      <c r="G97" s="172"/>
      <c r="H97" s="172"/>
      <c r="I97" s="172"/>
      <c r="J97" s="172"/>
      <c r="K97" s="172"/>
      <c r="L97" s="172"/>
      <c r="M97" s="172"/>
      <c r="N97" s="172"/>
      <c r="O97" s="172"/>
      <c r="P97" s="172"/>
      <c r="Q97" s="172"/>
      <c r="R97" s="172"/>
      <c r="S97" s="172"/>
      <c r="T97" s="172"/>
      <c r="U97" s="172"/>
      <c r="V97" s="172"/>
      <c r="W97" s="172"/>
      <c r="X97" s="172"/>
      <c r="Y97" s="172"/>
      <c r="Z97" s="172"/>
      <c r="AA97" s="172"/>
      <c r="AB97" s="172"/>
      <c r="AC97" s="172"/>
      <c r="AD97" s="172"/>
      <c r="AE97" s="172"/>
      <c r="AF97" s="172"/>
      <c r="AG97" s="172"/>
      <c r="AH97" s="172"/>
      <c r="AI97" s="172"/>
      <c r="AJ97" s="172"/>
      <c r="AK97" s="173"/>
    </row>
    <row r="98" spans="1:37" ht="15.75" customHeight="1" x14ac:dyDescent="0.25">
      <c r="A98" s="95"/>
      <c r="B98" s="271"/>
      <c r="C98" s="97"/>
      <c r="D98" s="95"/>
      <c r="E98" s="172"/>
      <c r="F98" s="172"/>
      <c r="G98" s="172"/>
      <c r="H98" s="172"/>
      <c r="I98" s="172"/>
      <c r="J98" s="172"/>
      <c r="K98" s="172"/>
      <c r="L98" s="172"/>
      <c r="M98" s="172"/>
      <c r="N98" s="172"/>
      <c r="O98" s="172"/>
      <c r="P98" s="172"/>
      <c r="Q98" s="172"/>
      <c r="R98" s="172"/>
      <c r="S98" s="172"/>
      <c r="T98" s="172"/>
      <c r="U98" s="172"/>
      <c r="V98" s="172"/>
      <c r="W98" s="172"/>
      <c r="X98" s="172"/>
      <c r="Y98" s="172"/>
      <c r="Z98" s="172"/>
      <c r="AA98" s="172"/>
      <c r="AB98" s="172"/>
      <c r="AC98" s="172"/>
      <c r="AD98" s="172"/>
      <c r="AE98" s="172"/>
      <c r="AF98" s="172"/>
      <c r="AG98" s="172"/>
      <c r="AH98" s="172"/>
      <c r="AI98" s="172"/>
      <c r="AJ98" s="172"/>
      <c r="AK98" s="173"/>
    </row>
    <row r="99" spans="1:37" ht="15.75" customHeight="1" x14ac:dyDescent="0.25">
      <c r="A99" s="95"/>
      <c r="B99" s="288"/>
      <c r="C99" s="95"/>
      <c r="D99" s="95"/>
      <c r="E99" s="172"/>
      <c r="F99" s="172"/>
      <c r="G99" s="172"/>
      <c r="H99" s="172"/>
      <c r="I99" s="172"/>
      <c r="J99" s="172"/>
      <c r="K99" s="172"/>
      <c r="L99" s="172"/>
      <c r="M99" s="172"/>
      <c r="N99" s="172"/>
      <c r="O99" s="172"/>
      <c r="P99" s="172"/>
      <c r="Q99" s="172"/>
      <c r="R99" s="172"/>
      <c r="S99" s="172"/>
      <c r="T99" s="172"/>
      <c r="U99" s="172"/>
      <c r="V99" s="172"/>
      <c r="W99" s="172"/>
      <c r="X99" s="172"/>
      <c r="Y99" s="172"/>
      <c r="Z99" s="172"/>
      <c r="AA99" s="172"/>
      <c r="AB99" s="172"/>
      <c r="AC99" s="172"/>
      <c r="AD99" s="172"/>
      <c r="AE99" s="172"/>
      <c r="AF99" s="172"/>
      <c r="AG99" s="172"/>
      <c r="AH99" s="172"/>
      <c r="AI99" s="172"/>
      <c r="AJ99" s="172"/>
      <c r="AK99" s="173"/>
    </row>
    <row r="100" spans="1:37" ht="15.75" customHeight="1" x14ac:dyDescent="0.25">
      <c r="A100" s="95"/>
      <c r="B100" s="271"/>
      <c r="C100" s="95"/>
      <c r="D100" s="95"/>
      <c r="E100" s="172"/>
      <c r="F100" s="172"/>
      <c r="G100" s="172"/>
      <c r="H100" s="172"/>
      <c r="I100" s="172"/>
      <c r="J100" s="172"/>
      <c r="K100" s="172"/>
      <c r="L100" s="172"/>
      <c r="M100" s="172"/>
      <c r="N100" s="172"/>
      <c r="O100" s="172"/>
      <c r="P100" s="172"/>
      <c r="Q100" s="172"/>
      <c r="R100" s="172"/>
      <c r="S100" s="172"/>
      <c r="T100" s="172"/>
      <c r="U100" s="172"/>
      <c r="V100" s="172"/>
      <c r="W100" s="172"/>
      <c r="X100" s="172"/>
      <c r="Y100" s="172"/>
      <c r="Z100" s="172"/>
      <c r="AA100" s="172"/>
      <c r="AB100" s="172"/>
      <c r="AC100" s="172"/>
      <c r="AD100" s="172"/>
      <c r="AE100" s="172"/>
      <c r="AF100" s="172"/>
      <c r="AG100" s="172"/>
      <c r="AH100" s="172"/>
      <c r="AI100" s="172"/>
      <c r="AJ100" s="172"/>
      <c r="AK100" s="173"/>
    </row>
    <row r="101" spans="1:37" ht="15.75" customHeight="1" x14ac:dyDescent="0.25">
      <c r="A101" s="95"/>
      <c r="B101" s="271"/>
      <c r="C101" s="95"/>
      <c r="D101" s="95"/>
      <c r="E101" s="172"/>
      <c r="F101" s="172"/>
      <c r="G101" s="172"/>
      <c r="H101" s="172"/>
      <c r="I101" s="172"/>
      <c r="J101" s="172"/>
      <c r="K101" s="172"/>
      <c r="L101" s="172"/>
      <c r="M101" s="172"/>
      <c r="N101" s="172"/>
      <c r="O101" s="172"/>
      <c r="P101" s="172"/>
      <c r="Q101" s="172"/>
      <c r="R101" s="172"/>
      <c r="S101" s="172"/>
      <c r="T101" s="172"/>
      <c r="U101" s="172"/>
      <c r="V101" s="172"/>
      <c r="W101" s="172"/>
      <c r="X101" s="172"/>
      <c r="Y101" s="172"/>
      <c r="Z101" s="172"/>
      <c r="AA101" s="172"/>
      <c r="AB101" s="172"/>
      <c r="AC101" s="172"/>
      <c r="AD101" s="172"/>
      <c r="AE101" s="172"/>
      <c r="AF101" s="172"/>
      <c r="AG101" s="172"/>
      <c r="AH101" s="172"/>
      <c r="AI101" s="172"/>
      <c r="AJ101" s="172"/>
      <c r="AK101" s="173"/>
    </row>
    <row r="102" spans="1:37" ht="15.75" customHeight="1" x14ac:dyDescent="0.25">
      <c r="A102" s="95"/>
      <c r="B102" s="271"/>
      <c r="C102" s="95"/>
      <c r="D102" s="95"/>
      <c r="E102" s="172"/>
      <c r="F102" s="172"/>
      <c r="G102" s="172"/>
      <c r="H102" s="172"/>
      <c r="I102" s="172"/>
      <c r="J102" s="172"/>
      <c r="K102" s="172"/>
      <c r="L102" s="172"/>
      <c r="M102" s="172"/>
      <c r="N102" s="172"/>
      <c r="O102" s="172"/>
      <c r="P102" s="172"/>
      <c r="Q102" s="172"/>
      <c r="R102" s="172"/>
      <c r="S102" s="172"/>
      <c r="T102" s="172"/>
      <c r="U102" s="172"/>
      <c r="V102" s="172"/>
      <c r="W102" s="172"/>
      <c r="X102" s="172"/>
      <c r="Y102" s="172"/>
      <c r="Z102" s="172"/>
      <c r="AA102" s="172"/>
      <c r="AB102" s="172"/>
      <c r="AC102" s="172"/>
      <c r="AD102" s="172"/>
      <c r="AE102" s="172"/>
      <c r="AF102" s="172"/>
      <c r="AG102" s="172"/>
      <c r="AH102" s="172"/>
      <c r="AI102" s="172"/>
      <c r="AJ102" s="172"/>
      <c r="AK102" s="173"/>
    </row>
    <row r="103" spans="1:37" ht="15.75" customHeight="1" x14ac:dyDescent="0.25">
      <c r="A103" s="95"/>
      <c r="B103" s="271"/>
      <c r="C103" s="97"/>
      <c r="D103" s="95"/>
      <c r="E103" s="172"/>
      <c r="F103" s="172"/>
      <c r="G103" s="172"/>
      <c r="H103" s="172"/>
      <c r="I103" s="172"/>
      <c r="J103" s="172"/>
      <c r="K103" s="172"/>
      <c r="L103" s="172"/>
      <c r="M103" s="172"/>
      <c r="N103" s="172"/>
      <c r="O103" s="172"/>
      <c r="P103" s="172"/>
      <c r="Q103" s="172"/>
      <c r="R103" s="172"/>
      <c r="S103" s="172"/>
      <c r="T103" s="172"/>
      <c r="U103" s="172"/>
      <c r="V103" s="172"/>
      <c r="W103" s="172"/>
      <c r="X103" s="172"/>
      <c r="Y103" s="172"/>
      <c r="Z103" s="172"/>
      <c r="AA103" s="172"/>
      <c r="AB103" s="172"/>
      <c r="AC103" s="172"/>
      <c r="AD103" s="172"/>
      <c r="AE103" s="172"/>
      <c r="AF103" s="172"/>
      <c r="AG103" s="172"/>
      <c r="AH103" s="172"/>
      <c r="AI103" s="172"/>
      <c r="AJ103" s="172"/>
      <c r="AK103" s="173"/>
    </row>
    <row r="104" spans="1:37" ht="15.75" customHeight="1" x14ac:dyDescent="0.25">
      <c r="A104" s="95"/>
      <c r="B104" s="288"/>
      <c r="C104" s="95"/>
      <c r="D104" s="95"/>
      <c r="E104" s="172"/>
      <c r="F104" s="172"/>
      <c r="G104" s="172"/>
      <c r="H104" s="172"/>
      <c r="I104" s="172"/>
      <c r="J104" s="172"/>
      <c r="K104" s="172"/>
      <c r="L104" s="172"/>
      <c r="M104" s="172"/>
      <c r="N104" s="172"/>
      <c r="O104" s="172"/>
      <c r="P104" s="172"/>
      <c r="Q104" s="172"/>
      <c r="R104" s="172"/>
      <c r="S104" s="172"/>
      <c r="T104" s="172"/>
      <c r="U104" s="172"/>
      <c r="V104" s="172"/>
      <c r="W104" s="172"/>
      <c r="X104" s="172"/>
      <c r="Y104" s="172"/>
      <c r="Z104" s="172"/>
      <c r="AA104" s="172"/>
      <c r="AB104" s="172"/>
      <c r="AC104" s="172"/>
      <c r="AD104" s="172"/>
      <c r="AE104" s="172"/>
      <c r="AF104" s="172"/>
      <c r="AG104" s="172"/>
      <c r="AH104" s="172"/>
      <c r="AI104" s="172"/>
      <c r="AJ104" s="172"/>
      <c r="AK104" s="173"/>
    </row>
    <row r="105" spans="1:37" ht="15.75" customHeight="1" x14ac:dyDescent="0.25">
      <c r="A105" s="95"/>
      <c r="B105" s="271"/>
      <c r="C105" s="95"/>
      <c r="D105" s="95"/>
      <c r="E105" s="172"/>
      <c r="F105" s="172"/>
      <c r="G105" s="172"/>
      <c r="H105" s="172"/>
      <c r="I105" s="172"/>
      <c r="J105" s="172"/>
      <c r="K105" s="172"/>
      <c r="L105" s="172"/>
      <c r="M105" s="172"/>
      <c r="N105" s="172"/>
      <c r="O105" s="172"/>
      <c r="P105" s="172"/>
      <c r="Q105" s="172"/>
      <c r="R105" s="172"/>
      <c r="S105" s="172"/>
      <c r="T105" s="172"/>
      <c r="U105" s="172"/>
      <c r="V105" s="172"/>
      <c r="W105" s="172"/>
      <c r="X105" s="172"/>
      <c r="Y105" s="172"/>
      <c r="Z105" s="172"/>
      <c r="AA105" s="172"/>
      <c r="AB105" s="172"/>
      <c r="AC105" s="172"/>
      <c r="AD105" s="172"/>
      <c r="AE105" s="172"/>
      <c r="AF105" s="172"/>
      <c r="AG105" s="172"/>
      <c r="AH105" s="172"/>
      <c r="AI105" s="172"/>
      <c r="AJ105" s="172"/>
      <c r="AK105" s="173"/>
    </row>
    <row r="106" spans="1:37" ht="15.75" customHeight="1" x14ac:dyDescent="0.25">
      <c r="A106" s="95"/>
      <c r="B106" s="271"/>
      <c r="C106" s="95"/>
      <c r="D106" s="95"/>
      <c r="E106" s="172"/>
      <c r="F106" s="172"/>
      <c r="G106" s="172"/>
      <c r="H106" s="172"/>
      <c r="I106" s="172"/>
      <c r="J106" s="172"/>
      <c r="K106" s="172"/>
      <c r="L106" s="172"/>
      <c r="M106" s="172"/>
      <c r="N106" s="172"/>
      <c r="O106" s="172"/>
      <c r="P106" s="172"/>
      <c r="Q106" s="172"/>
      <c r="R106" s="172"/>
      <c r="S106" s="172"/>
      <c r="T106" s="172"/>
      <c r="U106" s="172"/>
      <c r="V106" s="172"/>
      <c r="W106" s="172"/>
      <c r="X106" s="172"/>
      <c r="Y106" s="172"/>
      <c r="Z106" s="172"/>
      <c r="AA106" s="172"/>
      <c r="AB106" s="172"/>
      <c r="AC106" s="172"/>
      <c r="AD106" s="172"/>
      <c r="AE106" s="172"/>
      <c r="AF106" s="172"/>
      <c r="AG106" s="172"/>
      <c r="AH106" s="172"/>
      <c r="AI106" s="172"/>
      <c r="AJ106" s="172"/>
      <c r="AK106" s="173"/>
    </row>
    <row r="107" spans="1:37" ht="15.75" customHeight="1" x14ac:dyDescent="0.25">
      <c r="A107" s="95"/>
      <c r="B107" s="271"/>
      <c r="C107" s="95"/>
      <c r="D107" s="95"/>
      <c r="E107" s="172"/>
      <c r="F107" s="172"/>
      <c r="G107" s="172"/>
      <c r="H107" s="172"/>
      <c r="I107" s="172"/>
      <c r="J107" s="172"/>
      <c r="K107" s="172"/>
      <c r="L107" s="172"/>
      <c r="M107" s="172"/>
      <c r="N107" s="172"/>
      <c r="O107" s="172"/>
      <c r="P107" s="172"/>
      <c r="Q107" s="172"/>
      <c r="R107" s="172"/>
      <c r="S107" s="172"/>
      <c r="T107" s="172"/>
      <c r="U107" s="172"/>
      <c r="V107" s="172"/>
      <c r="W107" s="172"/>
      <c r="X107" s="172"/>
      <c r="Y107" s="172"/>
      <c r="Z107" s="172"/>
      <c r="AA107" s="172"/>
      <c r="AB107" s="172"/>
      <c r="AC107" s="172"/>
      <c r="AD107" s="172"/>
      <c r="AE107" s="172"/>
      <c r="AF107" s="172"/>
      <c r="AG107" s="172"/>
      <c r="AH107" s="172"/>
      <c r="AI107" s="172"/>
      <c r="AJ107" s="172"/>
      <c r="AK107" s="173"/>
    </row>
    <row r="108" spans="1:37" ht="15.75" customHeight="1" x14ac:dyDescent="0.25">
      <c r="A108" s="95"/>
      <c r="B108" s="271"/>
      <c r="C108" s="97"/>
      <c r="D108" s="95"/>
      <c r="E108" s="172"/>
      <c r="F108" s="172"/>
      <c r="G108" s="172"/>
      <c r="H108" s="172"/>
      <c r="I108" s="172"/>
      <c r="J108" s="172"/>
      <c r="K108" s="172"/>
      <c r="L108" s="172"/>
      <c r="M108" s="172"/>
      <c r="N108" s="172"/>
      <c r="O108" s="172"/>
      <c r="P108" s="172"/>
      <c r="Q108" s="172"/>
      <c r="R108" s="172"/>
      <c r="S108" s="172"/>
      <c r="T108" s="172"/>
      <c r="U108" s="172"/>
      <c r="V108" s="172"/>
      <c r="W108" s="172"/>
      <c r="X108" s="172"/>
      <c r="Y108" s="172"/>
      <c r="Z108" s="172"/>
      <c r="AA108" s="172"/>
      <c r="AB108" s="172"/>
      <c r="AC108" s="172"/>
      <c r="AD108" s="172"/>
      <c r="AE108" s="172"/>
      <c r="AF108" s="172"/>
      <c r="AG108" s="172"/>
      <c r="AH108" s="172"/>
      <c r="AI108" s="172"/>
      <c r="AJ108" s="172"/>
      <c r="AK108" s="173"/>
    </row>
    <row r="109" spans="1:37" ht="15.75" customHeight="1" x14ac:dyDescent="0.25">
      <c r="A109" s="95"/>
      <c r="B109" s="288"/>
      <c r="C109" s="95"/>
      <c r="D109" s="95"/>
      <c r="E109" s="172"/>
      <c r="F109" s="172"/>
      <c r="G109" s="172"/>
      <c r="H109" s="172"/>
      <c r="I109" s="172"/>
      <c r="J109" s="172"/>
      <c r="K109" s="172"/>
      <c r="L109" s="172"/>
      <c r="M109" s="172"/>
      <c r="N109" s="172"/>
      <c r="O109" s="172"/>
      <c r="P109" s="172"/>
      <c r="Q109" s="172"/>
      <c r="R109" s="172"/>
      <c r="S109" s="172"/>
      <c r="T109" s="172"/>
      <c r="U109" s="172"/>
      <c r="V109" s="172"/>
      <c r="W109" s="172"/>
      <c r="X109" s="172"/>
      <c r="Y109" s="172"/>
      <c r="Z109" s="172"/>
      <c r="AA109" s="172"/>
      <c r="AB109" s="172"/>
      <c r="AC109" s="172"/>
      <c r="AD109" s="172"/>
      <c r="AE109" s="172"/>
      <c r="AF109" s="172"/>
      <c r="AG109" s="172"/>
      <c r="AH109" s="172"/>
      <c r="AI109" s="172"/>
      <c r="AJ109" s="172"/>
      <c r="AK109" s="173"/>
    </row>
    <row r="110" spans="1:37" ht="15.75" customHeight="1" x14ac:dyDescent="0.25">
      <c r="A110" s="95"/>
      <c r="B110" s="271"/>
      <c r="C110" s="95"/>
      <c r="D110" s="95"/>
      <c r="E110" s="172"/>
      <c r="F110" s="172"/>
      <c r="G110" s="172"/>
      <c r="H110" s="172"/>
      <c r="I110" s="172"/>
      <c r="J110" s="172"/>
      <c r="K110" s="172"/>
      <c r="L110" s="172"/>
      <c r="M110" s="172"/>
      <c r="N110" s="172"/>
      <c r="O110" s="172"/>
      <c r="P110" s="172"/>
      <c r="Q110" s="172"/>
      <c r="R110" s="172"/>
      <c r="S110" s="172"/>
      <c r="T110" s="172"/>
      <c r="U110" s="172"/>
      <c r="V110" s="172"/>
      <c r="W110" s="172"/>
      <c r="X110" s="172"/>
      <c r="Y110" s="172"/>
      <c r="Z110" s="172"/>
      <c r="AA110" s="172"/>
      <c r="AB110" s="172"/>
      <c r="AC110" s="172"/>
      <c r="AD110" s="172"/>
      <c r="AE110" s="172"/>
      <c r="AF110" s="172"/>
      <c r="AG110" s="172"/>
      <c r="AH110" s="172"/>
      <c r="AI110" s="172"/>
      <c r="AJ110" s="172"/>
      <c r="AK110" s="173"/>
    </row>
    <row r="111" spans="1:37" ht="15.75" customHeight="1" x14ac:dyDescent="0.25">
      <c r="A111" s="95"/>
      <c r="B111" s="271"/>
      <c r="C111" s="95"/>
      <c r="D111" s="95"/>
      <c r="E111" s="172"/>
      <c r="F111" s="172"/>
      <c r="G111" s="172"/>
      <c r="H111" s="172"/>
      <c r="I111" s="172"/>
      <c r="J111" s="172"/>
      <c r="K111" s="172"/>
      <c r="L111" s="172"/>
      <c r="M111" s="172"/>
      <c r="N111" s="172"/>
      <c r="O111" s="172"/>
      <c r="P111" s="172"/>
      <c r="Q111" s="172"/>
      <c r="R111" s="172"/>
      <c r="S111" s="172"/>
      <c r="T111" s="172"/>
      <c r="U111" s="172"/>
      <c r="V111" s="172"/>
      <c r="W111" s="172"/>
      <c r="X111" s="172"/>
      <c r="Y111" s="172"/>
      <c r="Z111" s="172"/>
      <c r="AA111" s="172"/>
      <c r="AB111" s="172"/>
      <c r="AC111" s="172"/>
      <c r="AD111" s="172"/>
      <c r="AE111" s="172"/>
      <c r="AF111" s="172"/>
      <c r="AG111" s="172"/>
      <c r="AH111" s="172"/>
      <c r="AI111" s="172"/>
      <c r="AJ111" s="172"/>
      <c r="AK111" s="173"/>
    </row>
    <row r="112" spans="1:37" ht="15.75" customHeight="1" x14ac:dyDescent="0.25">
      <c r="A112" s="95"/>
      <c r="B112" s="271"/>
      <c r="C112" s="95"/>
      <c r="D112" s="95"/>
      <c r="E112" s="172"/>
      <c r="F112" s="172"/>
      <c r="G112" s="172"/>
      <c r="H112" s="172"/>
      <c r="I112" s="172"/>
      <c r="J112" s="172"/>
      <c r="K112" s="172"/>
      <c r="L112" s="172"/>
      <c r="M112" s="172"/>
      <c r="N112" s="172"/>
      <c r="O112" s="172"/>
      <c r="P112" s="172"/>
      <c r="Q112" s="172"/>
      <c r="R112" s="172"/>
      <c r="S112" s="172"/>
      <c r="T112" s="172"/>
      <c r="U112" s="172"/>
      <c r="V112" s="172"/>
      <c r="W112" s="172"/>
      <c r="X112" s="172"/>
      <c r="Y112" s="172"/>
      <c r="Z112" s="172"/>
      <c r="AA112" s="172"/>
      <c r="AB112" s="172"/>
      <c r="AC112" s="172"/>
      <c r="AD112" s="172"/>
      <c r="AE112" s="172"/>
      <c r="AF112" s="172"/>
      <c r="AG112" s="172"/>
      <c r="AH112" s="172"/>
      <c r="AI112" s="172"/>
      <c r="AJ112" s="172"/>
      <c r="AK112" s="173"/>
    </row>
    <row r="113" spans="1:37" ht="15.75" customHeight="1" x14ac:dyDescent="0.25">
      <c r="A113" s="95"/>
      <c r="B113" s="271"/>
      <c r="C113" s="97"/>
      <c r="D113" s="95"/>
      <c r="E113" s="172"/>
      <c r="F113" s="172"/>
      <c r="G113" s="172"/>
      <c r="H113" s="172"/>
      <c r="I113" s="172"/>
      <c r="J113" s="172"/>
      <c r="K113" s="172"/>
      <c r="L113" s="172"/>
      <c r="M113" s="172"/>
      <c r="N113" s="172"/>
      <c r="O113" s="172"/>
      <c r="P113" s="172"/>
      <c r="Q113" s="172"/>
      <c r="R113" s="172"/>
      <c r="S113" s="172"/>
      <c r="T113" s="172"/>
      <c r="U113" s="172"/>
      <c r="V113" s="172"/>
      <c r="W113" s="172"/>
      <c r="X113" s="172"/>
      <c r="Y113" s="172"/>
      <c r="Z113" s="172"/>
      <c r="AA113" s="172"/>
      <c r="AB113" s="172"/>
      <c r="AC113" s="172"/>
      <c r="AD113" s="172"/>
      <c r="AE113" s="172"/>
      <c r="AF113" s="172"/>
      <c r="AG113" s="172"/>
      <c r="AH113" s="172"/>
      <c r="AI113" s="172"/>
      <c r="AJ113" s="172"/>
      <c r="AK113" s="173"/>
    </row>
    <row r="114" spans="1:37" ht="15.75" customHeight="1" x14ac:dyDescent="0.25">
      <c r="A114" s="95"/>
      <c r="B114" s="288"/>
      <c r="C114" s="95"/>
      <c r="D114" s="95"/>
      <c r="E114" s="172"/>
      <c r="F114" s="172"/>
      <c r="G114" s="172"/>
      <c r="H114" s="172"/>
      <c r="I114" s="172"/>
      <c r="J114" s="172"/>
      <c r="K114" s="172"/>
      <c r="L114" s="172"/>
      <c r="M114" s="172"/>
      <c r="N114" s="172"/>
      <c r="O114" s="172"/>
      <c r="P114" s="172"/>
      <c r="Q114" s="172"/>
      <c r="R114" s="172"/>
      <c r="S114" s="172"/>
      <c r="T114" s="172"/>
      <c r="U114" s="172"/>
      <c r="V114" s="172"/>
      <c r="W114" s="172"/>
      <c r="X114" s="172"/>
      <c r="Y114" s="172"/>
      <c r="Z114" s="172"/>
      <c r="AA114" s="172"/>
      <c r="AB114" s="172"/>
      <c r="AC114" s="172"/>
      <c r="AD114" s="172"/>
      <c r="AE114" s="172"/>
      <c r="AF114" s="172"/>
      <c r="AG114" s="172"/>
      <c r="AH114" s="172"/>
      <c r="AI114" s="172"/>
      <c r="AJ114" s="172"/>
      <c r="AK114" s="173"/>
    </row>
    <row r="115" spans="1:37" ht="15.75" customHeight="1" x14ac:dyDescent="0.25">
      <c r="A115" s="95"/>
      <c r="B115" s="271"/>
      <c r="C115" s="95"/>
      <c r="D115" s="95"/>
      <c r="E115" s="172"/>
      <c r="F115" s="172"/>
      <c r="G115" s="172"/>
      <c r="H115" s="172"/>
      <c r="I115" s="172"/>
      <c r="J115" s="172"/>
      <c r="K115" s="172"/>
      <c r="L115" s="172"/>
      <c r="M115" s="172"/>
      <c r="N115" s="172"/>
      <c r="O115" s="172"/>
      <c r="P115" s="172"/>
      <c r="Q115" s="172"/>
      <c r="R115" s="172"/>
      <c r="S115" s="172"/>
      <c r="T115" s="172"/>
      <c r="U115" s="172"/>
      <c r="V115" s="172"/>
      <c r="W115" s="172"/>
      <c r="X115" s="172"/>
      <c r="Y115" s="172"/>
      <c r="Z115" s="172"/>
      <c r="AA115" s="172"/>
      <c r="AB115" s="172"/>
      <c r="AC115" s="172"/>
      <c r="AD115" s="172"/>
      <c r="AE115" s="172"/>
      <c r="AF115" s="172"/>
      <c r="AG115" s="172"/>
      <c r="AH115" s="172"/>
      <c r="AI115" s="172"/>
      <c r="AJ115" s="172"/>
      <c r="AK115" s="173"/>
    </row>
    <row r="116" spans="1:37" ht="15.75" customHeight="1" x14ac:dyDescent="0.25">
      <c r="A116" s="95"/>
      <c r="B116" s="271"/>
      <c r="C116" s="95"/>
      <c r="D116" s="95"/>
      <c r="E116" s="172"/>
      <c r="F116" s="172"/>
      <c r="G116" s="172"/>
      <c r="H116" s="172"/>
      <c r="I116" s="172"/>
      <c r="J116" s="172"/>
      <c r="K116" s="172"/>
      <c r="L116" s="172"/>
      <c r="M116" s="172"/>
      <c r="N116" s="172"/>
      <c r="O116" s="172"/>
      <c r="P116" s="172"/>
      <c r="Q116" s="172"/>
      <c r="R116" s="172"/>
      <c r="S116" s="172"/>
      <c r="T116" s="172"/>
      <c r="U116" s="172"/>
      <c r="V116" s="172"/>
      <c r="W116" s="172"/>
      <c r="X116" s="172"/>
      <c r="Y116" s="172"/>
      <c r="Z116" s="172"/>
      <c r="AA116" s="172"/>
      <c r="AB116" s="172"/>
      <c r="AC116" s="172"/>
      <c r="AD116" s="172"/>
      <c r="AE116" s="172"/>
      <c r="AF116" s="172"/>
      <c r="AG116" s="172"/>
      <c r="AH116" s="172"/>
      <c r="AI116" s="172"/>
      <c r="AJ116" s="172"/>
      <c r="AK116" s="173"/>
    </row>
    <row r="117" spans="1:37" ht="15.75" customHeight="1" x14ac:dyDescent="0.25">
      <c r="A117" s="95"/>
      <c r="B117" s="271"/>
      <c r="C117" s="95"/>
      <c r="D117" s="95"/>
      <c r="E117" s="172"/>
      <c r="F117" s="172"/>
      <c r="G117" s="172"/>
      <c r="H117" s="172"/>
      <c r="I117" s="172"/>
      <c r="J117" s="172"/>
      <c r="K117" s="172"/>
      <c r="L117" s="172"/>
      <c r="M117" s="172"/>
      <c r="N117" s="172"/>
      <c r="O117" s="172"/>
      <c r="P117" s="172"/>
      <c r="Q117" s="172"/>
      <c r="R117" s="172"/>
      <c r="S117" s="172"/>
      <c r="T117" s="172"/>
      <c r="U117" s="172"/>
      <c r="V117" s="172"/>
      <c r="W117" s="172"/>
      <c r="X117" s="172"/>
      <c r="Y117" s="172"/>
      <c r="Z117" s="172"/>
      <c r="AA117" s="172"/>
      <c r="AB117" s="172"/>
      <c r="AC117" s="172"/>
      <c r="AD117" s="172"/>
      <c r="AE117" s="172"/>
      <c r="AF117" s="172"/>
      <c r="AG117" s="172"/>
      <c r="AH117" s="172"/>
      <c r="AI117" s="172"/>
      <c r="AJ117" s="172"/>
      <c r="AK117" s="173"/>
    </row>
    <row r="118" spans="1:37" ht="15.75" customHeight="1" x14ac:dyDescent="0.25">
      <c r="A118" s="95"/>
      <c r="B118" s="271"/>
      <c r="C118" s="97"/>
      <c r="D118" s="95"/>
      <c r="E118" s="172"/>
      <c r="F118" s="172"/>
      <c r="G118" s="172"/>
      <c r="H118" s="172"/>
      <c r="I118" s="172"/>
      <c r="J118" s="172"/>
      <c r="K118" s="172"/>
      <c r="L118" s="172"/>
      <c r="M118" s="172"/>
      <c r="N118" s="172"/>
      <c r="O118" s="172"/>
      <c r="P118" s="172"/>
      <c r="Q118" s="172"/>
      <c r="R118" s="172"/>
      <c r="S118" s="172"/>
      <c r="T118" s="172"/>
      <c r="U118" s="172"/>
      <c r="V118" s="172"/>
      <c r="W118" s="172"/>
      <c r="X118" s="172"/>
      <c r="Y118" s="172"/>
      <c r="Z118" s="172"/>
      <c r="AA118" s="172"/>
      <c r="AB118" s="172"/>
      <c r="AC118" s="172"/>
      <c r="AD118" s="172"/>
      <c r="AE118" s="172"/>
      <c r="AF118" s="172"/>
      <c r="AG118" s="172"/>
      <c r="AH118" s="172"/>
      <c r="AI118" s="172"/>
      <c r="AJ118" s="172"/>
      <c r="AK118" s="173"/>
    </row>
    <row r="119" spans="1:37" ht="15.75" customHeight="1" x14ac:dyDescent="0.25">
      <c r="A119" s="95"/>
      <c r="B119" s="288"/>
      <c r="C119" s="95"/>
      <c r="D119" s="95"/>
      <c r="E119" s="172"/>
      <c r="F119" s="172"/>
      <c r="G119" s="172"/>
      <c r="H119" s="172"/>
      <c r="I119" s="172"/>
      <c r="J119" s="172"/>
      <c r="K119" s="172"/>
      <c r="L119" s="172"/>
      <c r="M119" s="172"/>
      <c r="N119" s="172"/>
      <c r="O119" s="172"/>
      <c r="P119" s="172"/>
      <c r="Q119" s="172"/>
      <c r="R119" s="172"/>
      <c r="S119" s="172"/>
      <c r="T119" s="172"/>
      <c r="U119" s="172"/>
      <c r="V119" s="172"/>
      <c r="W119" s="172"/>
      <c r="X119" s="172"/>
      <c r="Y119" s="172"/>
      <c r="Z119" s="172"/>
      <c r="AA119" s="172"/>
      <c r="AB119" s="172"/>
      <c r="AC119" s="172"/>
      <c r="AD119" s="172"/>
      <c r="AE119" s="172"/>
      <c r="AF119" s="172"/>
      <c r="AG119" s="172"/>
      <c r="AH119" s="172"/>
      <c r="AI119" s="172"/>
      <c r="AJ119" s="172"/>
      <c r="AK119" s="173"/>
    </row>
    <row r="120" spans="1:37" ht="15.75" customHeight="1" x14ac:dyDescent="0.25">
      <c r="A120" s="95"/>
      <c r="B120" s="271"/>
      <c r="C120" s="95"/>
      <c r="D120" s="95"/>
      <c r="E120" s="172"/>
      <c r="F120" s="172"/>
      <c r="G120" s="172"/>
      <c r="H120" s="172"/>
      <c r="I120" s="172"/>
      <c r="J120" s="172"/>
      <c r="K120" s="172"/>
      <c r="L120" s="172"/>
      <c r="M120" s="172"/>
      <c r="N120" s="172"/>
      <c r="O120" s="172"/>
      <c r="P120" s="172"/>
      <c r="Q120" s="172"/>
      <c r="R120" s="172"/>
      <c r="S120" s="172"/>
      <c r="T120" s="172"/>
      <c r="U120" s="172"/>
      <c r="V120" s="172"/>
      <c r="W120" s="172"/>
      <c r="X120" s="172"/>
      <c r="Y120" s="172"/>
      <c r="Z120" s="172"/>
      <c r="AA120" s="172"/>
      <c r="AB120" s="172"/>
      <c r="AC120" s="172"/>
      <c r="AD120" s="172"/>
      <c r="AE120" s="172"/>
      <c r="AF120" s="172"/>
      <c r="AG120" s="172"/>
      <c r="AH120" s="172"/>
      <c r="AI120" s="172"/>
      <c r="AJ120" s="172"/>
      <c r="AK120" s="173"/>
    </row>
    <row r="121" spans="1:37" ht="15.75" customHeight="1" x14ac:dyDescent="0.25">
      <c r="A121" s="95"/>
      <c r="B121" s="271"/>
      <c r="C121" s="95"/>
      <c r="D121" s="95"/>
      <c r="E121" s="172"/>
      <c r="F121" s="172"/>
      <c r="G121" s="172"/>
      <c r="H121" s="172"/>
      <c r="I121" s="172"/>
      <c r="J121" s="172"/>
      <c r="K121" s="172"/>
      <c r="L121" s="172"/>
      <c r="M121" s="172"/>
      <c r="N121" s="172"/>
      <c r="O121" s="172"/>
      <c r="P121" s="172"/>
      <c r="Q121" s="172"/>
      <c r="R121" s="172"/>
      <c r="S121" s="172"/>
      <c r="T121" s="172"/>
      <c r="U121" s="172"/>
      <c r="V121" s="172"/>
      <c r="W121" s="172"/>
      <c r="X121" s="172"/>
      <c r="Y121" s="172"/>
      <c r="Z121" s="172"/>
      <c r="AA121" s="172"/>
      <c r="AB121" s="172"/>
      <c r="AC121" s="172"/>
      <c r="AD121" s="172"/>
      <c r="AE121" s="172"/>
      <c r="AF121" s="172"/>
      <c r="AG121" s="172"/>
      <c r="AH121" s="172"/>
      <c r="AI121" s="172"/>
      <c r="AJ121" s="172"/>
      <c r="AK121" s="173"/>
    </row>
    <row r="122" spans="1:37" ht="15.75" customHeight="1" x14ac:dyDescent="0.25">
      <c r="A122" s="95"/>
      <c r="B122" s="271"/>
      <c r="C122" s="95"/>
      <c r="D122" s="95"/>
      <c r="E122" s="172"/>
      <c r="F122" s="172"/>
      <c r="G122" s="172"/>
      <c r="H122" s="172"/>
      <c r="I122" s="172"/>
      <c r="J122" s="172"/>
      <c r="K122" s="172"/>
      <c r="L122" s="172"/>
      <c r="M122" s="172"/>
      <c r="N122" s="172"/>
      <c r="O122" s="172"/>
      <c r="P122" s="172"/>
      <c r="Q122" s="172"/>
      <c r="R122" s="172"/>
      <c r="S122" s="172"/>
      <c r="T122" s="172"/>
      <c r="U122" s="172"/>
      <c r="V122" s="172"/>
      <c r="W122" s="172"/>
      <c r="X122" s="172"/>
      <c r="Y122" s="172"/>
      <c r="Z122" s="172"/>
      <c r="AA122" s="172"/>
      <c r="AB122" s="172"/>
      <c r="AC122" s="172"/>
      <c r="AD122" s="172"/>
      <c r="AE122" s="172"/>
      <c r="AF122" s="172"/>
      <c r="AG122" s="172"/>
      <c r="AH122" s="172"/>
      <c r="AI122" s="172"/>
      <c r="AJ122" s="172"/>
      <c r="AK122" s="173"/>
    </row>
    <row r="123" spans="1:37" ht="15.75" customHeight="1" x14ac:dyDescent="0.25">
      <c r="A123" s="95"/>
      <c r="B123" s="271"/>
      <c r="C123" s="97"/>
      <c r="D123" s="95"/>
      <c r="E123" s="172"/>
      <c r="F123" s="172"/>
      <c r="G123" s="172"/>
      <c r="H123" s="172"/>
      <c r="I123" s="172"/>
      <c r="J123" s="172"/>
      <c r="K123" s="172"/>
      <c r="L123" s="172"/>
      <c r="M123" s="172"/>
      <c r="N123" s="172"/>
      <c r="O123" s="172"/>
      <c r="P123" s="172"/>
      <c r="Q123" s="172"/>
      <c r="R123" s="172"/>
      <c r="S123" s="172"/>
      <c r="T123" s="172"/>
      <c r="U123" s="172"/>
      <c r="V123" s="172"/>
      <c r="W123" s="172"/>
      <c r="X123" s="172"/>
      <c r="Y123" s="172"/>
      <c r="Z123" s="172"/>
      <c r="AA123" s="172"/>
      <c r="AB123" s="172"/>
      <c r="AC123" s="172"/>
      <c r="AD123" s="172"/>
      <c r="AE123" s="172"/>
      <c r="AF123" s="172"/>
      <c r="AG123" s="172"/>
      <c r="AH123" s="172"/>
      <c r="AI123" s="172"/>
      <c r="AJ123" s="172"/>
      <c r="AK123" s="173"/>
    </row>
    <row r="124" spans="1:37" ht="15.75" customHeight="1" x14ac:dyDescent="0.25">
      <c r="A124" s="95"/>
      <c r="B124" s="288"/>
      <c r="C124" s="95"/>
      <c r="D124" s="95"/>
      <c r="E124" s="172"/>
      <c r="F124" s="172"/>
      <c r="G124" s="172"/>
      <c r="H124" s="172"/>
      <c r="I124" s="172"/>
      <c r="J124" s="172"/>
      <c r="K124" s="172"/>
      <c r="L124" s="172"/>
      <c r="M124" s="172"/>
      <c r="N124" s="172"/>
      <c r="O124" s="172"/>
      <c r="P124" s="172"/>
      <c r="Q124" s="172"/>
      <c r="R124" s="172"/>
      <c r="S124" s="172"/>
      <c r="T124" s="172"/>
      <c r="U124" s="172"/>
      <c r="V124" s="172"/>
      <c r="W124" s="172"/>
      <c r="X124" s="172"/>
      <c r="Y124" s="172"/>
      <c r="Z124" s="172"/>
      <c r="AA124" s="172"/>
      <c r="AB124" s="172"/>
      <c r="AC124" s="172"/>
      <c r="AD124" s="172"/>
      <c r="AE124" s="172"/>
      <c r="AF124" s="172"/>
      <c r="AG124" s="172"/>
      <c r="AH124" s="172"/>
      <c r="AI124" s="172"/>
      <c r="AJ124" s="172"/>
      <c r="AK124" s="173"/>
    </row>
    <row r="125" spans="1:37" ht="15.75" customHeight="1" x14ac:dyDescent="0.25">
      <c r="A125" s="95"/>
      <c r="B125" s="271"/>
      <c r="C125" s="95"/>
      <c r="D125" s="95"/>
      <c r="E125" s="172"/>
      <c r="F125" s="172"/>
      <c r="G125" s="172"/>
      <c r="H125" s="172"/>
      <c r="I125" s="172"/>
      <c r="J125" s="172"/>
      <c r="K125" s="172"/>
      <c r="L125" s="172"/>
      <c r="M125" s="172"/>
      <c r="N125" s="172"/>
      <c r="O125" s="172"/>
      <c r="P125" s="172"/>
      <c r="Q125" s="172"/>
      <c r="R125" s="172"/>
      <c r="S125" s="172"/>
      <c r="T125" s="172"/>
      <c r="U125" s="172"/>
      <c r="V125" s="172"/>
      <c r="W125" s="172"/>
      <c r="X125" s="172"/>
      <c r="Y125" s="172"/>
      <c r="Z125" s="172"/>
      <c r="AA125" s="172"/>
      <c r="AB125" s="172"/>
      <c r="AC125" s="172"/>
      <c r="AD125" s="172"/>
      <c r="AE125" s="172"/>
      <c r="AF125" s="172"/>
      <c r="AG125" s="172"/>
      <c r="AH125" s="172"/>
      <c r="AI125" s="172"/>
      <c r="AJ125" s="172"/>
      <c r="AK125" s="173"/>
    </row>
    <row r="126" spans="1:37" ht="15.75" customHeight="1" x14ac:dyDescent="0.25">
      <c r="A126" s="95"/>
      <c r="B126" s="271"/>
      <c r="C126" s="95"/>
      <c r="D126" s="95"/>
      <c r="E126" s="172"/>
      <c r="F126" s="172"/>
      <c r="G126" s="172"/>
      <c r="H126" s="172"/>
      <c r="I126" s="172"/>
      <c r="J126" s="172"/>
      <c r="K126" s="172"/>
      <c r="L126" s="172"/>
      <c r="M126" s="172"/>
      <c r="N126" s="172"/>
      <c r="O126" s="172"/>
      <c r="P126" s="172"/>
      <c r="Q126" s="172"/>
      <c r="R126" s="172"/>
      <c r="S126" s="172"/>
      <c r="T126" s="172"/>
      <c r="U126" s="172"/>
      <c r="V126" s="172"/>
      <c r="W126" s="172"/>
      <c r="X126" s="172"/>
      <c r="Y126" s="172"/>
      <c r="Z126" s="172"/>
      <c r="AA126" s="172"/>
      <c r="AB126" s="172"/>
      <c r="AC126" s="172"/>
      <c r="AD126" s="172"/>
      <c r="AE126" s="172"/>
      <c r="AF126" s="172"/>
      <c r="AG126" s="172"/>
      <c r="AH126" s="172"/>
      <c r="AI126" s="172"/>
      <c r="AJ126" s="172"/>
      <c r="AK126" s="173"/>
    </row>
    <row r="127" spans="1:37" ht="15.75" customHeight="1" x14ac:dyDescent="0.25">
      <c r="A127" s="95"/>
      <c r="B127" s="271"/>
      <c r="C127" s="95"/>
      <c r="D127" s="95"/>
      <c r="E127" s="172"/>
      <c r="F127" s="172"/>
      <c r="G127" s="172"/>
      <c r="H127" s="172"/>
      <c r="I127" s="172"/>
      <c r="J127" s="172"/>
      <c r="K127" s="172"/>
      <c r="L127" s="172"/>
      <c r="M127" s="172"/>
      <c r="N127" s="172"/>
      <c r="O127" s="172"/>
      <c r="P127" s="172"/>
      <c r="Q127" s="172"/>
      <c r="R127" s="172"/>
      <c r="S127" s="172"/>
      <c r="T127" s="172"/>
      <c r="U127" s="172"/>
      <c r="V127" s="172"/>
      <c r="W127" s="172"/>
      <c r="X127" s="172"/>
      <c r="Y127" s="172"/>
      <c r="Z127" s="172"/>
      <c r="AA127" s="172"/>
      <c r="AB127" s="172"/>
      <c r="AC127" s="172"/>
      <c r="AD127" s="172"/>
      <c r="AE127" s="172"/>
      <c r="AF127" s="172"/>
      <c r="AG127" s="172"/>
      <c r="AH127" s="172"/>
      <c r="AI127" s="172"/>
      <c r="AJ127" s="172"/>
      <c r="AK127" s="173"/>
    </row>
    <row r="128" spans="1:37" ht="15.75" customHeight="1" x14ac:dyDescent="0.25">
      <c r="A128" s="95"/>
      <c r="B128" s="271"/>
      <c r="C128" s="97"/>
      <c r="D128" s="95"/>
      <c r="E128" s="172"/>
      <c r="F128" s="172"/>
      <c r="G128" s="172"/>
      <c r="H128" s="172"/>
      <c r="I128" s="172"/>
      <c r="J128" s="172"/>
      <c r="K128" s="172"/>
      <c r="L128" s="172"/>
      <c r="M128" s="172"/>
      <c r="N128" s="172"/>
      <c r="O128" s="172"/>
      <c r="P128" s="172"/>
      <c r="Q128" s="172"/>
      <c r="R128" s="172"/>
      <c r="S128" s="172"/>
      <c r="T128" s="172"/>
      <c r="U128" s="172"/>
      <c r="V128" s="172"/>
      <c r="W128" s="172"/>
      <c r="X128" s="172"/>
      <c r="Y128" s="172"/>
      <c r="Z128" s="172"/>
      <c r="AA128" s="172"/>
      <c r="AB128" s="172"/>
      <c r="AC128" s="172"/>
      <c r="AD128" s="172"/>
      <c r="AE128" s="172"/>
      <c r="AF128" s="172"/>
      <c r="AG128" s="172"/>
      <c r="AH128" s="172"/>
      <c r="AI128" s="172"/>
      <c r="AJ128" s="172"/>
      <c r="AK128" s="173"/>
    </row>
    <row r="129" spans="1:37" ht="15.75" customHeight="1" x14ac:dyDescent="0.25">
      <c r="A129" s="95"/>
      <c r="B129" s="288"/>
      <c r="C129" s="95"/>
      <c r="D129" s="95"/>
      <c r="E129" s="172"/>
      <c r="F129" s="172"/>
      <c r="G129" s="172"/>
      <c r="H129" s="172"/>
      <c r="I129" s="172"/>
      <c r="J129" s="172"/>
      <c r="K129" s="172"/>
      <c r="L129" s="172"/>
      <c r="M129" s="172"/>
      <c r="N129" s="172"/>
      <c r="O129" s="172"/>
      <c r="P129" s="172"/>
      <c r="Q129" s="172"/>
      <c r="R129" s="172"/>
      <c r="S129" s="172"/>
      <c r="T129" s="172"/>
      <c r="U129" s="172"/>
      <c r="V129" s="172"/>
      <c r="W129" s="172"/>
      <c r="X129" s="172"/>
      <c r="Y129" s="172"/>
      <c r="Z129" s="172"/>
      <c r="AA129" s="172"/>
      <c r="AB129" s="172"/>
      <c r="AC129" s="172"/>
      <c r="AD129" s="172"/>
      <c r="AE129" s="172"/>
      <c r="AF129" s="172"/>
      <c r="AG129" s="172"/>
      <c r="AH129" s="172"/>
      <c r="AI129" s="172"/>
      <c r="AJ129" s="172"/>
      <c r="AK129" s="173"/>
    </row>
    <row r="130" spans="1:37" ht="15.75" customHeight="1" x14ac:dyDescent="0.25">
      <c r="A130" s="95"/>
      <c r="B130" s="271"/>
      <c r="C130" s="95"/>
      <c r="D130" s="95"/>
      <c r="E130" s="172"/>
      <c r="F130" s="172"/>
      <c r="G130" s="172"/>
      <c r="H130" s="172"/>
      <c r="I130" s="172"/>
      <c r="J130" s="172"/>
      <c r="K130" s="172"/>
      <c r="L130" s="172"/>
      <c r="M130" s="172"/>
      <c r="N130" s="172"/>
      <c r="O130" s="172"/>
      <c r="P130" s="172"/>
      <c r="Q130" s="172"/>
      <c r="R130" s="172"/>
      <c r="S130" s="172"/>
      <c r="T130" s="172"/>
      <c r="U130" s="172"/>
      <c r="V130" s="172"/>
      <c r="W130" s="172"/>
      <c r="X130" s="172"/>
      <c r="Y130" s="172"/>
      <c r="Z130" s="172"/>
      <c r="AA130" s="172"/>
      <c r="AB130" s="172"/>
      <c r="AC130" s="172"/>
      <c r="AD130" s="172"/>
      <c r="AE130" s="172"/>
      <c r="AF130" s="172"/>
      <c r="AG130" s="172"/>
      <c r="AH130" s="172"/>
      <c r="AI130" s="172"/>
      <c r="AJ130" s="172"/>
      <c r="AK130" s="173"/>
    </row>
    <row r="131" spans="1:37" ht="15.75" customHeight="1" x14ac:dyDescent="0.25">
      <c r="A131" s="95"/>
      <c r="B131" s="271"/>
      <c r="C131" s="95"/>
      <c r="D131" s="95"/>
      <c r="E131" s="172"/>
      <c r="F131" s="172"/>
      <c r="G131" s="172"/>
      <c r="H131" s="172"/>
      <c r="I131" s="172"/>
      <c r="J131" s="172"/>
      <c r="K131" s="172"/>
      <c r="L131" s="172"/>
      <c r="M131" s="172"/>
      <c r="N131" s="172"/>
      <c r="O131" s="172"/>
      <c r="P131" s="172"/>
      <c r="Q131" s="172"/>
      <c r="R131" s="172"/>
      <c r="S131" s="172"/>
      <c r="T131" s="172"/>
      <c r="U131" s="172"/>
      <c r="V131" s="172"/>
      <c r="W131" s="172"/>
      <c r="X131" s="172"/>
      <c r="Y131" s="172"/>
      <c r="Z131" s="172"/>
      <c r="AA131" s="172"/>
      <c r="AB131" s="172"/>
      <c r="AC131" s="172"/>
      <c r="AD131" s="172"/>
      <c r="AE131" s="172"/>
      <c r="AF131" s="172"/>
      <c r="AG131" s="172"/>
      <c r="AH131" s="172"/>
      <c r="AI131" s="172"/>
      <c r="AJ131" s="172"/>
      <c r="AK131" s="173"/>
    </row>
    <row r="132" spans="1:37" ht="15.75" customHeight="1" x14ac:dyDescent="0.25">
      <c r="A132" s="95"/>
      <c r="B132" s="271"/>
      <c r="C132" s="95"/>
      <c r="D132" s="95"/>
      <c r="E132" s="172"/>
      <c r="F132" s="172"/>
      <c r="G132" s="172"/>
      <c r="H132" s="172"/>
      <c r="I132" s="172"/>
      <c r="J132" s="172"/>
      <c r="K132" s="172"/>
      <c r="L132" s="172"/>
      <c r="M132" s="172"/>
      <c r="N132" s="172"/>
      <c r="O132" s="172"/>
      <c r="P132" s="172"/>
      <c r="Q132" s="172"/>
      <c r="R132" s="172"/>
      <c r="S132" s="172"/>
      <c r="T132" s="172"/>
      <c r="U132" s="172"/>
      <c r="V132" s="172"/>
      <c r="W132" s="172"/>
      <c r="X132" s="172"/>
      <c r="Y132" s="172"/>
      <c r="Z132" s="172"/>
      <c r="AA132" s="172"/>
      <c r="AB132" s="172"/>
      <c r="AC132" s="172"/>
      <c r="AD132" s="172"/>
      <c r="AE132" s="172"/>
      <c r="AF132" s="172"/>
      <c r="AG132" s="172"/>
      <c r="AH132" s="172"/>
      <c r="AI132" s="172"/>
      <c r="AJ132" s="172"/>
      <c r="AK132" s="173"/>
    </row>
    <row r="133" spans="1:37" ht="15.75" customHeight="1" x14ac:dyDescent="0.25">
      <c r="A133" s="95"/>
      <c r="B133" s="271"/>
      <c r="C133" s="97"/>
      <c r="D133" s="95"/>
      <c r="E133" s="172"/>
      <c r="F133" s="172"/>
      <c r="G133" s="172"/>
      <c r="H133" s="172"/>
      <c r="I133" s="172"/>
      <c r="J133" s="172"/>
      <c r="K133" s="172"/>
      <c r="L133" s="172"/>
      <c r="M133" s="172"/>
      <c r="N133" s="172"/>
      <c r="O133" s="172"/>
      <c r="P133" s="172"/>
      <c r="Q133" s="172"/>
      <c r="R133" s="172"/>
      <c r="S133" s="172"/>
      <c r="T133" s="172"/>
      <c r="U133" s="172"/>
      <c r="V133" s="172"/>
      <c r="W133" s="172"/>
      <c r="X133" s="172"/>
      <c r="Y133" s="172"/>
      <c r="Z133" s="172"/>
      <c r="AA133" s="172"/>
      <c r="AB133" s="172"/>
      <c r="AC133" s="172"/>
      <c r="AD133" s="172"/>
      <c r="AE133" s="172"/>
      <c r="AF133" s="172"/>
      <c r="AG133" s="172"/>
      <c r="AH133" s="172"/>
      <c r="AI133" s="172"/>
      <c r="AJ133" s="172"/>
      <c r="AK133" s="173"/>
    </row>
    <row r="134" spans="1:37" ht="15.75" customHeight="1" x14ac:dyDescent="0.25">
      <c r="A134" s="95"/>
      <c r="B134" s="288"/>
      <c r="C134" s="95"/>
      <c r="D134" s="95"/>
      <c r="E134" s="172"/>
      <c r="F134" s="172"/>
      <c r="G134" s="172"/>
      <c r="H134" s="172"/>
      <c r="I134" s="172"/>
      <c r="J134" s="172"/>
      <c r="K134" s="172"/>
      <c r="L134" s="172"/>
      <c r="M134" s="172"/>
      <c r="N134" s="172"/>
      <c r="O134" s="172"/>
      <c r="P134" s="172"/>
      <c r="Q134" s="172"/>
      <c r="R134" s="172"/>
      <c r="S134" s="172"/>
      <c r="T134" s="172"/>
      <c r="U134" s="172"/>
      <c r="V134" s="172"/>
      <c r="W134" s="172"/>
      <c r="X134" s="172"/>
      <c r="Y134" s="172"/>
      <c r="Z134" s="172"/>
      <c r="AA134" s="172"/>
      <c r="AB134" s="172"/>
      <c r="AC134" s="172"/>
      <c r="AD134" s="172"/>
      <c r="AE134" s="172"/>
      <c r="AF134" s="172"/>
      <c r="AG134" s="172"/>
      <c r="AH134" s="172"/>
      <c r="AI134" s="172"/>
      <c r="AJ134" s="172"/>
      <c r="AK134" s="173"/>
    </row>
    <row r="135" spans="1:37" ht="15.75" customHeight="1" x14ac:dyDescent="0.25">
      <c r="A135" s="95"/>
      <c r="B135" s="271"/>
      <c r="C135" s="95"/>
      <c r="D135" s="95"/>
      <c r="E135" s="172"/>
      <c r="F135" s="172"/>
      <c r="G135" s="172"/>
      <c r="H135" s="172"/>
      <c r="I135" s="172"/>
      <c r="J135" s="172"/>
      <c r="K135" s="172"/>
      <c r="L135" s="172"/>
      <c r="M135" s="172"/>
      <c r="N135" s="172"/>
      <c r="O135" s="172"/>
      <c r="P135" s="172"/>
      <c r="Q135" s="172"/>
      <c r="R135" s="172"/>
      <c r="S135" s="172"/>
      <c r="T135" s="172"/>
      <c r="U135" s="172"/>
      <c r="V135" s="172"/>
      <c r="W135" s="172"/>
      <c r="X135" s="172"/>
      <c r="Y135" s="172"/>
      <c r="Z135" s="172"/>
      <c r="AA135" s="172"/>
      <c r="AB135" s="172"/>
      <c r="AC135" s="172"/>
      <c r="AD135" s="172"/>
      <c r="AE135" s="172"/>
      <c r="AF135" s="172"/>
      <c r="AG135" s="172"/>
      <c r="AH135" s="172"/>
      <c r="AI135" s="172"/>
      <c r="AJ135" s="172"/>
      <c r="AK135" s="173"/>
    </row>
    <row r="136" spans="1:37" ht="15.75" customHeight="1" x14ac:dyDescent="0.25">
      <c r="A136" s="95"/>
      <c r="B136" s="271"/>
      <c r="C136" s="95"/>
      <c r="D136" s="95"/>
      <c r="E136" s="172"/>
      <c r="F136" s="172"/>
      <c r="G136" s="172"/>
      <c r="H136" s="172"/>
      <c r="I136" s="172"/>
      <c r="J136" s="172"/>
      <c r="K136" s="172"/>
      <c r="L136" s="172"/>
      <c r="M136" s="172"/>
      <c r="N136" s="172"/>
      <c r="O136" s="172"/>
      <c r="P136" s="172"/>
      <c r="Q136" s="172"/>
      <c r="R136" s="172"/>
      <c r="S136" s="172"/>
      <c r="T136" s="172"/>
      <c r="U136" s="172"/>
      <c r="V136" s="172"/>
      <c r="W136" s="172"/>
      <c r="X136" s="172"/>
      <c r="Y136" s="172"/>
      <c r="Z136" s="172"/>
      <c r="AA136" s="172"/>
      <c r="AB136" s="172"/>
      <c r="AC136" s="172"/>
      <c r="AD136" s="172"/>
      <c r="AE136" s="172"/>
      <c r="AF136" s="172"/>
      <c r="AG136" s="172"/>
      <c r="AH136" s="172"/>
      <c r="AI136" s="172"/>
      <c r="AJ136" s="172"/>
      <c r="AK136" s="173"/>
    </row>
    <row r="137" spans="1:37" ht="15.75" customHeight="1" x14ac:dyDescent="0.25">
      <c r="A137" s="95"/>
      <c r="B137" s="271"/>
      <c r="C137" s="95"/>
      <c r="D137" s="95"/>
      <c r="E137" s="172"/>
      <c r="F137" s="172"/>
      <c r="G137" s="172"/>
      <c r="H137" s="172"/>
      <c r="I137" s="172"/>
      <c r="J137" s="172"/>
      <c r="K137" s="172"/>
      <c r="L137" s="172"/>
      <c r="M137" s="172"/>
      <c r="N137" s="172"/>
      <c r="O137" s="172"/>
      <c r="P137" s="172"/>
      <c r="Q137" s="172"/>
      <c r="R137" s="172"/>
      <c r="S137" s="172"/>
      <c r="T137" s="172"/>
      <c r="U137" s="172"/>
      <c r="V137" s="172"/>
      <c r="W137" s="172"/>
      <c r="X137" s="172"/>
      <c r="Y137" s="172"/>
      <c r="Z137" s="172"/>
      <c r="AA137" s="172"/>
      <c r="AB137" s="172"/>
      <c r="AC137" s="172"/>
      <c r="AD137" s="172"/>
      <c r="AE137" s="172"/>
      <c r="AF137" s="172"/>
      <c r="AG137" s="172"/>
      <c r="AH137" s="172"/>
      <c r="AI137" s="172"/>
      <c r="AJ137" s="172"/>
      <c r="AK137" s="173"/>
    </row>
    <row r="138" spans="1:37" ht="15.75" customHeight="1" x14ac:dyDescent="0.25">
      <c r="A138" s="95"/>
      <c r="B138" s="271"/>
      <c r="C138" s="97"/>
      <c r="D138" s="95"/>
      <c r="E138" s="172"/>
      <c r="F138" s="172"/>
      <c r="G138" s="172"/>
      <c r="H138" s="172"/>
      <c r="I138" s="172"/>
      <c r="J138" s="172"/>
      <c r="K138" s="172"/>
      <c r="L138" s="172"/>
      <c r="M138" s="172"/>
      <c r="N138" s="172"/>
      <c r="O138" s="172"/>
      <c r="P138" s="172"/>
      <c r="Q138" s="172"/>
      <c r="R138" s="172"/>
      <c r="S138" s="172"/>
      <c r="T138" s="172"/>
      <c r="U138" s="172"/>
      <c r="V138" s="172"/>
      <c r="W138" s="172"/>
      <c r="X138" s="172"/>
      <c r="Y138" s="172"/>
      <c r="Z138" s="172"/>
      <c r="AA138" s="172"/>
      <c r="AB138" s="172"/>
      <c r="AC138" s="172"/>
      <c r="AD138" s="172"/>
      <c r="AE138" s="172"/>
      <c r="AF138" s="172"/>
      <c r="AG138" s="172"/>
      <c r="AH138" s="172"/>
      <c r="AI138" s="172"/>
      <c r="AJ138" s="172"/>
      <c r="AK138" s="173"/>
    </row>
    <row r="139" spans="1:37" ht="15.75" customHeight="1" x14ac:dyDescent="0.25">
      <c r="A139" s="95"/>
      <c r="B139" s="288"/>
      <c r="C139" s="95"/>
      <c r="D139" s="95"/>
      <c r="E139" s="172"/>
      <c r="F139" s="172"/>
      <c r="G139" s="172"/>
      <c r="H139" s="172"/>
      <c r="I139" s="172"/>
      <c r="J139" s="172"/>
      <c r="K139" s="172"/>
      <c r="L139" s="172"/>
      <c r="M139" s="172"/>
      <c r="N139" s="172"/>
      <c r="O139" s="172"/>
      <c r="P139" s="172"/>
      <c r="Q139" s="172"/>
      <c r="R139" s="172"/>
      <c r="S139" s="172"/>
      <c r="T139" s="172"/>
      <c r="U139" s="172"/>
      <c r="V139" s="172"/>
      <c r="W139" s="172"/>
      <c r="X139" s="172"/>
      <c r="Y139" s="172"/>
      <c r="Z139" s="172"/>
      <c r="AA139" s="172"/>
      <c r="AB139" s="172"/>
      <c r="AC139" s="172"/>
      <c r="AD139" s="172"/>
      <c r="AE139" s="172"/>
      <c r="AF139" s="172"/>
      <c r="AG139" s="172"/>
      <c r="AH139" s="172"/>
      <c r="AI139" s="172"/>
      <c r="AJ139" s="172"/>
      <c r="AK139" s="173"/>
    </row>
    <row r="140" spans="1:37" ht="15.75" customHeight="1" x14ac:dyDescent="0.25">
      <c r="A140" s="95"/>
      <c r="B140" s="271"/>
      <c r="C140" s="95"/>
      <c r="D140" s="95"/>
      <c r="E140" s="172"/>
      <c r="F140" s="172"/>
      <c r="G140" s="172"/>
      <c r="H140" s="172"/>
      <c r="I140" s="172"/>
      <c r="J140" s="172"/>
      <c r="K140" s="172"/>
      <c r="L140" s="172"/>
      <c r="M140" s="172"/>
      <c r="N140" s="172"/>
      <c r="O140" s="172"/>
      <c r="P140" s="172"/>
      <c r="Q140" s="172"/>
      <c r="R140" s="172"/>
      <c r="S140" s="172"/>
      <c r="T140" s="172"/>
      <c r="U140" s="172"/>
      <c r="V140" s="172"/>
      <c r="W140" s="172"/>
      <c r="X140" s="172"/>
      <c r="Y140" s="172"/>
      <c r="Z140" s="172"/>
      <c r="AA140" s="172"/>
      <c r="AB140" s="172"/>
      <c r="AC140" s="172"/>
      <c r="AD140" s="172"/>
      <c r="AE140" s="172"/>
      <c r="AF140" s="172"/>
      <c r="AG140" s="172"/>
      <c r="AH140" s="172"/>
      <c r="AI140" s="172"/>
      <c r="AJ140" s="172"/>
      <c r="AK140" s="173"/>
    </row>
    <row r="141" spans="1:37" ht="15.75" customHeight="1" x14ac:dyDescent="0.25">
      <c r="A141" s="95"/>
      <c r="B141" s="271"/>
      <c r="C141" s="95"/>
      <c r="D141" s="95"/>
      <c r="E141" s="172"/>
      <c r="F141" s="172"/>
      <c r="G141" s="172"/>
      <c r="H141" s="172"/>
      <c r="I141" s="172"/>
      <c r="J141" s="172"/>
      <c r="K141" s="172"/>
      <c r="L141" s="172"/>
      <c r="M141" s="172"/>
      <c r="N141" s="172"/>
      <c r="O141" s="172"/>
      <c r="P141" s="172"/>
      <c r="Q141" s="172"/>
      <c r="R141" s="172"/>
      <c r="S141" s="172"/>
      <c r="T141" s="172"/>
      <c r="U141" s="172"/>
      <c r="V141" s="172"/>
      <c r="W141" s="172"/>
      <c r="X141" s="172"/>
      <c r="Y141" s="172"/>
      <c r="Z141" s="172"/>
      <c r="AA141" s="172"/>
      <c r="AB141" s="172"/>
      <c r="AC141" s="172"/>
      <c r="AD141" s="172"/>
      <c r="AE141" s="172"/>
      <c r="AF141" s="172"/>
      <c r="AG141" s="172"/>
      <c r="AH141" s="172"/>
      <c r="AI141" s="172"/>
      <c r="AJ141" s="172"/>
      <c r="AK141" s="173"/>
    </row>
    <row r="142" spans="1:37" ht="15.75" customHeight="1" x14ac:dyDescent="0.25">
      <c r="A142" s="95"/>
      <c r="B142" s="271"/>
      <c r="C142" s="95"/>
      <c r="D142" s="95"/>
      <c r="E142" s="172"/>
      <c r="F142" s="172"/>
      <c r="G142" s="172"/>
      <c r="H142" s="172"/>
      <c r="I142" s="172"/>
      <c r="J142" s="172"/>
      <c r="K142" s="172"/>
      <c r="L142" s="172"/>
      <c r="M142" s="172"/>
      <c r="N142" s="172"/>
      <c r="O142" s="172"/>
      <c r="P142" s="172"/>
      <c r="Q142" s="172"/>
      <c r="R142" s="172"/>
      <c r="S142" s="172"/>
      <c r="T142" s="172"/>
      <c r="U142" s="172"/>
      <c r="V142" s="172"/>
      <c r="W142" s="172"/>
      <c r="X142" s="172"/>
      <c r="Y142" s="172"/>
      <c r="Z142" s="172"/>
      <c r="AA142" s="172"/>
      <c r="AB142" s="172"/>
      <c r="AC142" s="172"/>
      <c r="AD142" s="172"/>
      <c r="AE142" s="172"/>
      <c r="AF142" s="172"/>
      <c r="AG142" s="172"/>
      <c r="AH142" s="172"/>
      <c r="AI142" s="172"/>
      <c r="AJ142" s="172"/>
      <c r="AK142" s="173"/>
    </row>
    <row r="143" spans="1:37" ht="15.75" customHeight="1" x14ac:dyDescent="0.25">
      <c r="A143" s="95"/>
      <c r="B143" s="271"/>
      <c r="C143" s="97"/>
      <c r="D143" s="95"/>
      <c r="E143" s="172"/>
      <c r="F143" s="172"/>
      <c r="G143" s="172"/>
      <c r="H143" s="172"/>
      <c r="I143" s="172"/>
      <c r="J143" s="172"/>
      <c r="K143" s="172"/>
      <c r="L143" s="172"/>
      <c r="M143" s="172"/>
      <c r="N143" s="172"/>
      <c r="O143" s="172"/>
      <c r="P143" s="172"/>
      <c r="Q143" s="172"/>
      <c r="R143" s="172"/>
      <c r="S143" s="172"/>
      <c r="T143" s="172"/>
      <c r="U143" s="172"/>
      <c r="V143" s="172"/>
      <c r="W143" s="172"/>
      <c r="X143" s="172"/>
      <c r="Y143" s="172"/>
      <c r="Z143" s="172"/>
      <c r="AA143" s="172"/>
      <c r="AB143" s="172"/>
      <c r="AC143" s="172"/>
      <c r="AD143" s="172"/>
      <c r="AE143" s="172"/>
      <c r="AF143" s="172"/>
      <c r="AG143" s="172"/>
      <c r="AH143" s="172"/>
      <c r="AI143" s="172"/>
      <c r="AJ143" s="172"/>
      <c r="AK143" s="173"/>
    </row>
    <row r="144" spans="1:37" ht="15.75" customHeight="1" x14ac:dyDescent="0.25">
      <c r="A144" s="95"/>
      <c r="B144" s="288"/>
      <c r="C144" s="95"/>
      <c r="D144" s="95"/>
      <c r="E144" s="172"/>
      <c r="F144" s="172"/>
      <c r="G144" s="172"/>
      <c r="H144" s="172"/>
      <c r="I144" s="172"/>
      <c r="J144" s="172"/>
      <c r="K144" s="172"/>
      <c r="L144" s="172"/>
      <c r="M144" s="172"/>
      <c r="N144" s="172"/>
      <c r="O144" s="172"/>
      <c r="P144" s="172"/>
      <c r="Q144" s="172"/>
      <c r="R144" s="172"/>
      <c r="S144" s="172"/>
      <c r="T144" s="172"/>
      <c r="U144" s="172"/>
      <c r="V144" s="172"/>
      <c r="W144" s="172"/>
      <c r="X144" s="172"/>
      <c r="Y144" s="172"/>
      <c r="Z144" s="172"/>
      <c r="AA144" s="172"/>
      <c r="AB144" s="172"/>
      <c r="AC144" s="172"/>
      <c r="AD144" s="172"/>
      <c r="AE144" s="172"/>
      <c r="AF144" s="172"/>
      <c r="AG144" s="172"/>
      <c r="AH144" s="172"/>
      <c r="AI144" s="172"/>
      <c r="AJ144" s="172"/>
      <c r="AK144" s="173"/>
    </row>
    <row r="145" spans="1:37" ht="15.75" customHeight="1" x14ac:dyDescent="0.25">
      <c r="A145" s="95"/>
      <c r="B145" s="271"/>
      <c r="C145" s="95"/>
      <c r="D145" s="95"/>
      <c r="E145" s="172"/>
      <c r="F145" s="172"/>
      <c r="G145" s="172"/>
      <c r="H145" s="172"/>
      <c r="I145" s="172"/>
      <c r="J145" s="172"/>
      <c r="K145" s="172"/>
      <c r="L145" s="172"/>
      <c r="M145" s="172"/>
      <c r="N145" s="172"/>
      <c r="O145" s="172"/>
      <c r="P145" s="172"/>
      <c r="Q145" s="172"/>
      <c r="R145" s="172"/>
      <c r="S145" s="172"/>
      <c r="T145" s="172"/>
      <c r="U145" s="172"/>
      <c r="V145" s="172"/>
      <c r="W145" s="172"/>
      <c r="X145" s="172"/>
      <c r="Y145" s="172"/>
      <c r="Z145" s="172"/>
      <c r="AA145" s="172"/>
      <c r="AB145" s="172"/>
      <c r="AC145" s="172"/>
      <c r="AD145" s="172"/>
      <c r="AE145" s="172"/>
      <c r="AF145" s="172"/>
      <c r="AG145" s="172"/>
      <c r="AH145" s="172"/>
      <c r="AI145" s="172"/>
      <c r="AJ145" s="172"/>
      <c r="AK145" s="173"/>
    </row>
    <row r="146" spans="1:37" ht="15.75" customHeight="1" x14ac:dyDescent="0.25">
      <c r="A146" s="95"/>
      <c r="B146" s="271"/>
      <c r="C146" s="95"/>
      <c r="D146" s="95"/>
      <c r="E146" s="172"/>
      <c r="F146" s="172"/>
      <c r="G146" s="172"/>
      <c r="H146" s="172"/>
      <c r="I146" s="172"/>
      <c r="J146" s="172"/>
      <c r="K146" s="172"/>
      <c r="L146" s="172"/>
      <c r="M146" s="172"/>
      <c r="N146" s="172"/>
      <c r="O146" s="172"/>
      <c r="P146" s="172"/>
      <c r="Q146" s="172"/>
      <c r="R146" s="172"/>
      <c r="S146" s="172"/>
      <c r="T146" s="172"/>
      <c r="U146" s="172"/>
      <c r="V146" s="172"/>
      <c r="W146" s="172"/>
      <c r="X146" s="172"/>
      <c r="Y146" s="172"/>
      <c r="Z146" s="172"/>
      <c r="AA146" s="172"/>
      <c r="AB146" s="172"/>
      <c r="AC146" s="172"/>
      <c r="AD146" s="172"/>
      <c r="AE146" s="172"/>
      <c r="AF146" s="172"/>
      <c r="AG146" s="172"/>
      <c r="AH146" s="172"/>
      <c r="AI146" s="172"/>
      <c r="AJ146" s="172"/>
      <c r="AK146" s="173"/>
    </row>
    <row r="147" spans="1:37" ht="15.75" customHeight="1" x14ac:dyDescent="0.25">
      <c r="A147" s="95"/>
      <c r="B147" s="271"/>
      <c r="C147" s="95"/>
      <c r="D147" s="95"/>
      <c r="E147" s="172"/>
      <c r="F147" s="172"/>
      <c r="G147" s="172"/>
      <c r="H147" s="172"/>
      <c r="I147" s="172"/>
      <c r="J147" s="172"/>
      <c r="K147" s="172"/>
      <c r="L147" s="172"/>
      <c r="M147" s="172"/>
      <c r="N147" s="172"/>
      <c r="O147" s="172"/>
      <c r="P147" s="172"/>
      <c r="Q147" s="172"/>
      <c r="R147" s="172"/>
      <c r="S147" s="172"/>
      <c r="T147" s="172"/>
      <c r="U147" s="172"/>
      <c r="V147" s="172"/>
      <c r="W147" s="172"/>
      <c r="X147" s="172"/>
      <c r="Y147" s="172"/>
      <c r="Z147" s="172"/>
      <c r="AA147" s="172"/>
      <c r="AB147" s="172"/>
      <c r="AC147" s="172"/>
      <c r="AD147" s="172"/>
      <c r="AE147" s="172"/>
      <c r="AF147" s="172"/>
      <c r="AG147" s="172"/>
      <c r="AH147" s="172"/>
      <c r="AI147" s="172"/>
      <c r="AJ147" s="172"/>
      <c r="AK147" s="173"/>
    </row>
    <row r="148" spans="1:37" ht="15.75" customHeight="1" x14ac:dyDescent="0.25">
      <c r="A148" s="95"/>
      <c r="B148" s="271"/>
      <c r="C148" s="97"/>
      <c r="D148" s="95"/>
      <c r="E148" s="172"/>
      <c r="F148" s="172"/>
      <c r="G148" s="172"/>
      <c r="H148" s="172"/>
      <c r="I148" s="172"/>
      <c r="J148" s="172"/>
      <c r="K148" s="172"/>
      <c r="L148" s="172"/>
      <c r="M148" s="172"/>
      <c r="N148" s="172"/>
      <c r="O148" s="172"/>
      <c r="P148" s="172"/>
      <c r="Q148" s="172"/>
      <c r="R148" s="172"/>
      <c r="S148" s="172"/>
      <c r="T148" s="172"/>
      <c r="U148" s="172"/>
      <c r="V148" s="172"/>
      <c r="W148" s="172"/>
      <c r="X148" s="172"/>
      <c r="Y148" s="172"/>
      <c r="Z148" s="172"/>
      <c r="AA148" s="172"/>
      <c r="AB148" s="172"/>
      <c r="AC148" s="172"/>
      <c r="AD148" s="172"/>
      <c r="AE148" s="172"/>
      <c r="AF148" s="172"/>
      <c r="AG148" s="172"/>
      <c r="AH148" s="172"/>
      <c r="AI148" s="172"/>
      <c r="AJ148" s="172"/>
      <c r="AK148" s="173"/>
    </row>
    <row r="149" spans="1:37" ht="15.75" customHeight="1" x14ac:dyDescent="0.25">
      <c r="A149" s="95"/>
      <c r="B149" s="288"/>
      <c r="C149" s="95"/>
      <c r="D149" s="95"/>
      <c r="E149" s="172"/>
      <c r="F149" s="172"/>
      <c r="G149" s="172"/>
      <c r="H149" s="172"/>
      <c r="I149" s="172"/>
      <c r="J149" s="172"/>
      <c r="K149" s="172"/>
      <c r="L149" s="172"/>
      <c r="M149" s="172"/>
      <c r="N149" s="172"/>
      <c r="O149" s="172"/>
      <c r="P149" s="172"/>
      <c r="Q149" s="172"/>
      <c r="R149" s="172"/>
      <c r="S149" s="172"/>
      <c r="T149" s="172"/>
      <c r="U149" s="172"/>
      <c r="V149" s="172"/>
      <c r="W149" s="172"/>
      <c r="X149" s="172"/>
      <c r="Y149" s="172"/>
      <c r="Z149" s="172"/>
      <c r="AA149" s="172"/>
      <c r="AB149" s="172"/>
      <c r="AC149" s="172"/>
      <c r="AD149" s="172"/>
      <c r="AE149" s="172"/>
      <c r="AF149" s="172"/>
      <c r="AG149" s="172"/>
      <c r="AH149" s="172"/>
      <c r="AI149" s="172"/>
      <c r="AJ149" s="172"/>
      <c r="AK149" s="173"/>
    </row>
    <row r="150" spans="1:37" ht="15.75" customHeight="1" x14ac:dyDescent="0.25">
      <c r="A150" s="95"/>
      <c r="B150" s="271"/>
      <c r="C150" s="95"/>
      <c r="D150" s="95"/>
      <c r="E150" s="172"/>
      <c r="F150" s="172"/>
      <c r="G150" s="172"/>
      <c r="H150" s="172"/>
      <c r="I150" s="172"/>
      <c r="J150" s="172"/>
      <c r="K150" s="172"/>
      <c r="L150" s="172"/>
      <c r="M150" s="172"/>
      <c r="N150" s="172"/>
      <c r="O150" s="172"/>
      <c r="P150" s="172"/>
      <c r="Q150" s="172"/>
      <c r="R150" s="172"/>
      <c r="S150" s="172"/>
      <c r="T150" s="172"/>
      <c r="U150" s="172"/>
      <c r="V150" s="172"/>
      <c r="W150" s="172"/>
      <c r="X150" s="172"/>
      <c r="Y150" s="172"/>
      <c r="Z150" s="172"/>
      <c r="AA150" s="172"/>
      <c r="AB150" s="172"/>
      <c r="AC150" s="172"/>
      <c r="AD150" s="172"/>
      <c r="AE150" s="172"/>
      <c r="AF150" s="172"/>
      <c r="AG150" s="172"/>
      <c r="AH150" s="172"/>
      <c r="AI150" s="172"/>
      <c r="AJ150" s="172"/>
      <c r="AK150" s="173"/>
    </row>
    <row r="151" spans="1:37" ht="15.75" customHeight="1" x14ac:dyDescent="0.25">
      <c r="A151" s="95"/>
      <c r="B151" s="271"/>
      <c r="C151" s="95"/>
      <c r="D151" s="95"/>
      <c r="E151" s="172"/>
      <c r="F151" s="172"/>
      <c r="G151" s="172"/>
      <c r="H151" s="172"/>
      <c r="I151" s="172"/>
      <c r="J151" s="172"/>
      <c r="K151" s="172"/>
      <c r="L151" s="172"/>
      <c r="M151" s="172"/>
      <c r="N151" s="172"/>
      <c r="O151" s="172"/>
      <c r="P151" s="172"/>
      <c r="Q151" s="172"/>
      <c r="R151" s="172"/>
      <c r="S151" s="172"/>
      <c r="T151" s="172"/>
      <c r="U151" s="172"/>
      <c r="V151" s="172"/>
      <c r="W151" s="172"/>
      <c r="X151" s="172"/>
      <c r="Y151" s="172"/>
      <c r="Z151" s="172"/>
      <c r="AA151" s="172"/>
      <c r="AB151" s="172"/>
      <c r="AC151" s="172"/>
      <c r="AD151" s="172"/>
      <c r="AE151" s="172"/>
      <c r="AF151" s="172"/>
      <c r="AG151" s="172"/>
      <c r="AH151" s="172"/>
      <c r="AI151" s="172"/>
      <c r="AJ151" s="172"/>
      <c r="AK151" s="173"/>
    </row>
    <row r="152" spans="1:37" ht="15.75" customHeight="1" x14ac:dyDescent="0.25">
      <c r="A152" s="95"/>
      <c r="B152" s="271"/>
      <c r="C152" s="95"/>
      <c r="D152" s="95"/>
      <c r="E152" s="172"/>
      <c r="F152" s="172"/>
      <c r="G152" s="172"/>
      <c r="H152" s="172"/>
      <c r="I152" s="172"/>
      <c r="J152" s="172"/>
      <c r="K152" s="172"/>
      <c r="L152" s="172"/>
      <c r="M152" s="172"/>
      <c r="N152" s="172"/>
      <c r="O152" s="172"/>
      <c r="P152" s="172"/>
      <c r="Q152" s="172"/>
      <c r="R152" s="172"/>
      <c r="S152" s="172"/>
      <c r="T152" s="172"/>
      <c r="U152" s="172"/>
      <c r="V152" s="172"/>
      <c r="W152" s="172"/>
      <c r="X152" s="172"/>
      <c r="Y152" s="172"/>
      <c r="Z152" s="172"/>
      <c r="AA152" s="172"/>
      <c r="AB152" s="172"/>
      <c r="AC152" s="172"/>
      <c r="AD152" s="172"/>
      <c r="AE152" s="172"/>
      <c r="AF152" s="172"/>
      <c r="AG152" s="172"/>
      <c r="AH152" s="172"/>
      <c r="AI152" s="172"/>
      <c r="AJ152" s="172"/>
      <c r="AK152" s="173"/>
    </row>
    <row r="153" spans="1:37" ht="15.75" customHeight="1" x14ac:dyDescent="0.25">
      <c r="A153" s="95"/>
      <c r="B153" s="271"/>
      <c r="C153" s="97"/>
      <c r="D153" s="95"/>
      <c r="E153" s="172"/>
      <c r="F153" s="172"/>
      <c r="G153" s="172"/>
      <c r="H153" s="172"/>
      <c r="I153" s="172"/>
      <c r="J153" s="172"/>
      <c r="K153" s="172"/>
      <c r="L153" s="172"/>
      <c r="M153" s="172"/>
      <c r="N153" s="172"/>
      <c r="O153" s="172"/>
      <c r="P153" s="172"/>
      <c r="Q153" s="172"/>
      <c r="R153" s="172"/>
      <c r="S153" s="172"/>
      <c r="T153" s="172"/>
      <c r="U153" s="172"/>
      <c r="V153" s="172"/>
      <c r="W153" s="172"/>
      <c r="X153" s="172"/>
      <c r="Y153" s="172"/>
      <c r="Z153" s="172"/>
      <c r="AA153" s="172"/>
      <c r="AB153" s="172"/>
      <c r="AC153" s="172"/>
      <c r="AD153" s="172"/>
      <c r="AE153" s="172"/>
      <c r="AF153" s="172"/>
      <c r="AG153" s="172"/>
      <c r="AH153" s="172"/>
      <c r="AI153" s="172"/>
      <c r="AJ153" s="172"/>
      <c r="AK153" s="173"/>
    </row>
    <row r="154" spans="1:37" ht="15.75" customHeight="1" x14ac:dyDescent="0.25">
      <c r="A154" s="95"/>
      <c r="B154" s="288"/>
      <c r="C154" s="95"/>
      <c r="D154" s="95"/>
      <c r="E154" s="172"/>
      <c r="F154" s="172"/>
      <c r="G154" s="172"/>
      <c r="H154" s="172"/>
      <c r="I154" s="172"/>
      <c r="J154" s="172"/>
      <c r="K154" s="172"/>
      <c r="L154" s="172"/>
      <c r="M154" s="172"/>
      <c r="N154" s="172"/>
      <c r="O154" s="172"/>
      <c r="P154" s="172"/>
      <c r="Q154" s="172"/>
      <c r="R154" s="172"/>
      <c r="S154" s="172"/>
      <c r="T154" s="172"/>
      <c r="U154" s="172"/>
      <c r="V154" s="172"/>
      <c r="W154" s="172"/>
      <c r="X154" s="172"/>
      <c r="Y154" s="172"/>
      <c r="Z154" s="172"/>
      <c r="AA154" s="172"/>
      <c r="AB154" s="172"/>
      <c r="AC154" s="172"/>
      <c r="AD154" s="172"/>
      <c r="AE154" s="172"/>
      <c r="AF154" s="172"/>
      <c r="AG154" s="172"/>
      <c r="AH154" s="172"/>
      <c r="AI154" s="172"/>
      <c r="AJ154" s="172"/>
      <c r="AK154" s="173"/>
    </row>
    <row r="155" spans="1:37" ht="15.75" customHeight="1" x14ac:dyDescent="0.25">
      <c r="A155" s="95"/>
      <c r="B155" s="271"/>
      <c r="C155" s="95"/>
      <c r="D155" s="95"/>
      <c r="E155" s="172"/>
      <c r="F155" s="172"/>
      <c r="G155" s="172"/>
      <c r="H155" s="172"/>
      <c r="I155" s="172"/>
      <c r="J155" s="172"/>
      <c r="K155" s="172"/>
      <c r="L155" s="172"/>
      <c r="M155" s="172"/>
      <c r="N155" s="172"/>
      <c r="O155" s="172"/>
      <c r="P155" s="172"/>
      <c r="Q155" s="172"/>
      <c r="R155" s="172"/>
      <c r="S155" s="172"/>
      <c r="T155" s="172"/>
      <c r="U155" s="172"/>
      <c r="V155" s="172"/>
      <c r="W155" s="172"/>
      <c r="X155" s="172"/>
      <c r="Y155" s="172"/>
      <c r="Z155" s="172"/>
      <c r="AA155" s="172"/>
      <c r="AB155" s="172"/>
      <c r="AC155" s="172"/>
      <c r="AD155" s="172"/>
      <c r="AE155" s="172"/>
      <c r="AF155" s="172"/>
      <c r="AG155" s="172"/>
      <c r="AH155" s="172"/>
      <c r="AI155" s="172"/>
      <c r="AJ155" s="172"/>
      <c r="AK155" s="173"/>
    </row>
    <row r="156" spans="1:37" ht="15.75" customHeight="1" x14ac:dyDescent="0.25">
      <c r="A156" s="95"/>
      <c r="B156" s="271"/>
      <c r="C156" s="95"/>
      <c r="D156" s="95"/>
      <c r="E156" s="172"/>
      <c r="F156" s="172"/>
      <c r="G156" s="172"/>
      <c r="H156" s="172"/>
      <c r="I156" s="172"/>
      <c r="J156" s="172"/>
      <c r="K156" s="172"/>
      <c r="L156" s="172"/>
      <c r="M156" s="172"/>
      <c r="N156" s="172"/>
      <c r="O156" s="172"/>
      <c r="P156" s="172"/>
      <c r="Q156" s="172"/>
      <c r="R156" s="172"/>
      <c r="S156" s="172"/>
      <c r="T156" s="172"/>
      <c r="U156" s="172"/>
      <c r="V156" s="172"/>
      <c r="W156" s="172"/>
      <c r="X156" s="172"/>
      <c r="Y156" s="172"/>
      <c r="Z156" s="172"/>
      <c r="AA156" s="172"/>
      <c r="AB156" s="172"/>
      <c r="AC156" s="172"/>
      <c r="AD156" s="172"/>
      <c r="AE156" s="172"/>
      <c r="AF156" s="172"/>
      <c r="AG156" s="172"/>
      <c r="AH156" s="172"/>
      <c r="AI156" s="172"/>
      <c r="AJ156" s="172"/>
      <c r="AK156" s="173"/>
    </row>
    <row r="157" spans="1:37" ht="15.75" customHeight="1" x14ac:dyDescent="0.25">
      <c r="A157" s="95"/>
      <c r="B157" s="271"/>
      <c r="C157" s="95"/>
      <c r="D157" s="95"/>
      <c r="E157" s="172"/>
      <c r="F157" s="172"/>
      <c r="G157" s="172"/>
      <c r="H157" s="172"/>
      <c r="I157" s="172"/>
      <c r="J157" s="172"/>
      <c r="K157" s="172"/>
      <c r="L157" s="172"/>
      <c r="M157" s="172"/>
      <c r="N157" s="172"/>
      <c r="O157" s="172"/>
      <c r="P157" s="172"/>
      <c r="Q157" s="172"/>
      <c r="R157" s="172"/>
      <c r="S157" s="172"/>
      <c r="T157" s="172"/>
      <c r="U157" s="172"/>
      <c r="V157" s="172"/>
      <c r="W157" s="172"/>
      <c r="X157" s="172"/>
      <c r="Y157" s="172"/>
      <c r="Z157" s="172"/>
      <c r="AA157" s="172"/>
      <c r="AB157" s="172"/>
      <c r="AC157" s="172"/>
      <c r="AD157" s="172"/>
      <c r="AE157" s="172"/>
      <c r="AF157" s="172"/>
      <c r="AG157" s="172"/>
      <c r="AH157" s="172"/>
      <c r="AI157" s="172"/>
      <c r="AJ157" s="172"/>
      <c r="AK157" s="173"/>
    </row>
    <row r="158" spans="1:37" ht="15.75" customHeight="1" x14ac:dyDescent="0.25">
      <c r="A158" s="95"/>
      <c r="B158" s="271"/>
      <c r="C158" s="97"/>
      <c r="D158" s="95"/>
      <c r="E158" s="172"/>
      <c r="F158" s="172"/>
      <c r="G158" s="172"/>
      <c r="H158" s="172"/>
      <c r="I158" s="172"/>
      <c r="J158" s="172"/>
      <c r="K158" s="172"/>
      <c r="L158" s="172"/>
      <c r="M158" s="172"/>
      <c r="N158" s="172"/>
      <c r="O158" s="172"/>
      <c r="P158" s="172"/>
      <c r="Q158" s="172"/>
      <c r="R158" s="172"/>
      <c r="S158" s="172"/>
      <c r="T158" s="172"/>
      <c r="U158" s="172"/>
      <c r="V158" s="172"/>
      <c r="W158" s="172"/>
      <c r="X158" s="172"/>
      <c r="Y158" s="172"/>
      <c r="Z158" s="172"/>
      <c r="AA158" s="172"/>
      <c r="AB158" s="172"/>
      <c r="AC158" s="172"/>
      <c r="AD158" s="172"/>
      <c r="AE158" s="172"/>
      <c r="AF158" s="172"/>
      <c r="AG158" s="172"/>
      <c r="AH158" s="172"/>
      <c r="AI158" s="172"/>
      <c r="AJ158" s="172"/>
      <c r="AK158" s="173"/>
    </row>
    <row r="159" spans="1:37" ht="15.75" customHeight="1" x14ac:dyDescent="0.25">
      <c r="A159" s="95"/>
      <c r="B159" s="288"/>
      <c r="C159" s="95"/>
      <c r="D159" s="95"/>
      <c r="E159" s="172"/>
      <c r="F159" s="172"/>
      <c r="G159" s="172"/>
      <c r="H159" s="172"/>
      <c r="I159" s="172"/>
      <c r="J159" s="172"/>
      <c r="K159" s="172"/>
      <c r="L159" s="172"/>
      <c r="M159" s="172"/>
      <c r="N159" s="172"/>
      <c r="O159" s="172"/>
      <c r="P159" s="172"/>
      <c r="Q159" s="172"/>
      <c r="R159" s="172"/>
      <c r="S159" s="172"/>
      <c r="T159" s="172"/>
      <c r="U159" s="172"/>
      <c r="V159" s="172"/>
      <c r="W159" s="172"/>
      <c r="X159" s="172"/>
      <c r="Y159" s="172"/>
      <c r="Z159" s="172"/>
      <c r="AA159" s="172"/>
      <c r="AB159" s="172"/>
      <c r="AC159" s="172"/>
      <c r="AD159" s="172"/>
      <c r="AE159" s="172"/>
      <c r="AF159" s="172"/>
      <c r="AG159" s="172"/>
      <c r="AH159" s="172"/>
      <c r="AI159" s="172"/>
      <c r="AJ159" s="172"/>
      <c r="AK159" s="173"/>
    </row>
    <row r="160" spans="1:37" ht="15.75" customHeight="1" x14ac:dyDescent="0.25">
      <c r="A160" s="95"/>
      <c r="B160" s="271"/>
      <c r="C160" s="95"/>
      <c r="D160" s="95"/>
      <c r="E160" s="172"/>
      <c r="F160" s="172"/>
      <c r="G160" s="172"/>
      <c r="H160" s="172"/>
      <c r="I160" s="172"/>
      <c r="J160" s="172"/>
      <c r="K160" s="172"/>
      <c r="L160" s="172"/>
      <c r="M160" s="172"/>
      <c r="N160" s="172"/>
      <c r="O160" s="172"/>
      <c r="P160" s="172"/>
      <c r="Q160" s="172"/>
      <c r="R160" s="172"/>
      <c r="S160" s="172"/>
      <c r="T160" s="172"/>
      <c r="U160" s="172"/>
      <c r="V160" s="172"/>
      <c r="W160" s="172"/>
      <c r="X160" s="172"/>
      <c r="Y160" s="172"/>
      <c r="Z160" s="172"/>
      <c r="AA160" s="172"/>
      <c r="AB160" s="172"/>
      <c r="AC160" s="172"/>
      <c r="AD160" s="172"/>
      <c r="AE160" s="172"/>
      <c r="AF160" s="172"/>
      <c r="AG160" s="172"/>
      <c r="AH160" s="172"/>
      <c r="AI160" s="172"/>
      <c r="AJ160" s="172"/>
      <c r="AK160" s="173"/>
    </row>
    <row r="161" spans="1:37" ht="15.75" customHeight="1" x14ac:dyDescent="0.25">
      <c r="A161" s="95"/>
      <c r="B161" s="271"/>
      <c r="C161" s="95"/>
      <c r="D161" s="95"/>
      <c r="E161" s="172"/>
      <c r="F161" s="172"/>
      <c r="G161" s="172"/>
      <c r="H161" s="172"/>
      <c r="I161" s="172"/>
      <c r="J161" s="172"/>
      <c r="K161" s="172"/>
      <c r="L161" s="172"/>
      <c r="M161" s="172"/>
      <c r="N161" s="172"/>
      <c r="O161" s="172"/>
      <c r="P161" s="172"/>
      <c r="Q161" s="172"/>
      <c r="R161" s="172"/>
      <c r="S161" s="172"/>
      <c r="T161" s="172"/>
      <c r="U161" s="172"/>
      <c r="V161" s="172"/>
      <c r="W161" s="172"/>
      <c r="X161" s="172"/>
      <c r="Y161" s="172"/>
      <c r="Z161" s="172"/>
      <c r="AA161" s="172"/>
      <c r="AB161" s="172"/>
      <c r="AC161" s="172"/>
      <c r="AD161" s="172"/>
      <c r="AE161" s="172"/>
      <c r="AF161" s="172"/>
      <c r="AG161" s="172"/>
      <c r="AH161" s="172"/>
      <c r="AI161" s="172"/>
      <c r="AJ161" s="172"/>
      <c r="AK161" s="173"/>
    </row>
    <row r="162" spans="1:37" ht="15.75" customHeight="1" x14ac:dyDescent="0.25">
      <c r="A162" s="95"/>
      <c r="B162" s="271"/>
      <c r="C162" s="95"/>
      <c r="D162" s="95"/>
      <c r="E162" s="172"/>
      <c r="F162" s="172"/>
      <c r="G162" s="172"/>
      <c r="H162" s="172"/>
      <c r="I162" s="172"/>
      <c r="J162" s="172"/>
      <c r="K162" s="172"/>
      <c r="L162" s="172"/>
      <c r="M162" s="172"/>
      <c r="N162" s="172"/>
      <c r="O162" s="172"/>
      <c r="P162" s="172"/>
      <c r="Q162" s="172"/>
      <c r="R162" s="172"/>
      <c r="S162" s="172"/>
      <c r="T162" s="172"/>
      <c r="U162" s="172"/>
      <c r="V162" s="172"/>
      <c r="W162" s="172"/>
      <c r="X162" s="172"/>
      <c r="Y162" s="172"/>
      <c r="Z162" s="172"/>
      <c r="AA162" s="172"/>
      <c r="AB162" s="172"/>
      <c r="AC162" s="172"/>
      <c r="AD162" s="172"/>
      <c r="AE162" s="172"/>
      <c r="AF162" s="172"/>
      <c r="AG162" s="172"/>
      <c r="AH162" s="172"/>
      <c r="AI162" s="172"/>
      <c r="AJ162" s="172"/>
      <c r="AK162" s="173"/>
    </row>
    <row r="163" spans="1:37" ht="15.75" customHeight="1" x14ac:dyDescent="0.25">
      <c r="A163" s="95"/>
      <c r="B163" s="271"/>
      <c r="C163" s="97"/>
      <c r="D163" s="95"/>
      <c r="E163" s="172"/>
      <c r="F163" s="172"/>
      <c r="G163" s="172"/>
      <c r="H163" s="172"/>
      <c r="I163" s="172"/>
      <c r="J163" s="172"/>
      <c r="K163" s="172"/>
      <c r="L163" s="172"/>
      <c r="M163" s="172"/>
      <c r="N163" s="172"/>
      <c r="O163" s="172"/>
      <c r="P163" s="172"/>
      <c r="Q163" s="172"/>
      <c r="R163" s="172"/>
      <c r="S163" s="172"/>
      <c r="T163" s="172"/>
      <c r="U163" s="172"/>
      <c r="V163" s="172"/>
      <c r="W163" s="172"/>
      <c r="X163" s="172"/>
      <c r="Y163" s="172"/>
      <c r="Z163" s="172"/>
      <c r="AA163" s="172"/>
      <c r="AB163" s="172"/>
      <c r="AC163" s="172"/>
      <c r="AD163" s="172"/>
      <c r="AE163" s="172"/>
      <c r="AF163" s="172"/>
      <c r="AG163" s="172"/>
      <c r="AH163" s="172"/>
      <c r="AI163" s="172"/>
      <c r="AJ163" s="172"/>
      <c r="AK163" s="173"/>
    </row>
    <row r="164" spans="1:37" ht="15.75" customHeight="1" x14ac:dyDescent="0.25">
      <c r="A164" s="95"/>
      <c r="B164" s="288"/>
      <c r="C164" s="95"/>
      <c r="D164" s="95"/>
      <c r="E164" s="172"/>
      <c r="F164" s="172"/>
      <c r="G164" s="172"/>
      <c r="H164" s="172"/>
      <c r="I164" s="172"/>
      <c r="J164" s="172"/>
      <c r="K164" s="172"/>
      <c r="L164" s="172"/>
      <c r="M164" s="172"/>
      <c r="N164" s="172"/>
      <c r="O164" s="172"/>
      <c r="P164" s="172"/>
      <c r="Q164" s="172"/>
      <c r="R164" s="172"/>
      <c r="S164" s="172"/>
      <c r="T164" s="172"/>
      <c r="U164" s="172"/>
      <c r="V164" s="172"/>
      <c r="W164" s="172"/>
      <c r="X164" s="172"/>
      <c r="Y164" s="172"/>
      <c r="Z164" s="172"/>
      <c r="AA164" s="172"/>
      <c r="AB164" s="172"/>
      <c r="AC164" s="172"/>
      <c r="AD164" s="172"/>
      <c r="AE164" s="172"/>
      <c r="AF164" s="172"/>
      <c r="AG164" s="172"/>
      <c r="AH164" s="172"/>
      <c r="AI164" s="172"/>
      <c r="AJ164" s="172"/>
      <c r="AK164" s="173"/>
    </row>
    <row r="165" spans="1:37" ht="15.75" customHeight="1" x14ac:dyDescent="0.25">
      <c r="A165" s="95"/>
      <c r="B165" s="271"/>
      <c r="C165" s="95"/>
      <c r="D165" s="95"/>
      <c r="E165" s="172"/>
      <c r="F165" s="172"/>
      <c r="G165" s="172"/>
      <c r="H165" s="172"/>
      <c r="I165" s="172"/>
      <c r="J165" s="172"/>
      <c r="K165" s="172"/>
      <c r="L165" s="172"/>
      <c r="M165" s="172"/>
      <c r="N165" s="172"/>
      <c r="O165" s="172"/>
      <c r="P165" s="172"/>
      <c r="Q165" s="172"/>
      <c r="R165" s="172"/>
      <c r="S165" s="172"/>
      <c r="T165" s="172"/>
      <c r="U165" s="172"/>
      <c r="V165" s="172"/>
      <c r="W165" s="172"/>
      <c r="X165" s="172"/>
      <c r="Y165" s="172"/>
      <c r="Z165" s="172"/>
      <c r="AA165" s="172"/>
      <c r="AB165" s="172"/>
      <c r="AC165" s="172"/>
      <c r="AD165" s="172"/>
      <c r="AE165" s="172"/>
      <c r="AF165" s="172"/>
      <c r="AG165" s="172"/>
      <c r="AH165" s="172"/>
      <c r="AI165" s="172"/>
      <c r="AJ165" s="172"/>
      <c r="AK165" s="173"/>
    </row>
    <row r="166" spans="1:37" ht="15.75" customHeight="1" x14ac:dyDescent="0.25">
      <c r="A166" s="95"/>
      <c r="B166" s="271"/>
      <c r="C166" s="95"/>
      <c r="D166" s="95"/>
      <c r="E166" s="172"/>
      <c r="F166" s="172"/>
      <c r="G166" s="172"/>
      <c r="H166" s="172"/>
      <c r="I166" s="172"/>
      <c r="J166" s="172"/>
      <c r="K166" s="172"/>
      <c r="L166" s="172"/>
      <c r="M166" s="172"/>
      <c r="N166" s="172"/>
      <c r="O166" s="172"/>
      <c r="P166" s="172"/>
      <c r="Q166" s="172"/>
      <c r="R166" s="172"/>
      <c r="S166" s="172"/>
      <c r="T166" s="172"/>
      <c r="U166" s="172"/>
      <c r="V166" s="172"/>
      <c r="W166" s="172"/>
      <c r="X166" s="172"/>
      <c r="Y166" s="172"/>
      <c r="Z166" s="172"/>
      <c r="AA166" s="172"/>
      <c r="AB166" s="172"/>
      <c r="AC166" s="172"/>
      <c r="AD166" s="172"/>
      <c r="AE166" s="172"/>
      <c r="AF166" s="172"/>
      <c r="AG166" s="172"/>
      <c r="AH166" s="172"/>
      <c r="AI166" s="172"/>
      <c r="AJ166" s="172"/>
      <c r="AK166" s="173"/>
    </row>
    <row r="167" spans="1:37" ht="15.75" customHeight="1" x14ac:dyDescent="0.25">
      <c r="A167" s="95"/>
      <c r="B167" s="271"/>
      <c r="C167" s="95"/>
      <c r="D167" s="95"/>
      <c r="E167" s="172"/>
      <c r="F167" s="172"/>
      <c r="G167" s="172"/>
      <c r="H167" s="172"/>
      <c r="I167" s="172"/>
      <c r="J167" s="172"/>
      <c r="K167" s="172"/>
      <c r="L167" s="172"/>
      <c r="M167" s="172"/>
      <c r="N167" s="172"/>
      <c r="O167" s="172"/>
      <c r="P167" s="172"/>
      <c r="Q167" s="172"/>
      <c r="R167" s="172"/>
      <c r="S167" s="172"/>
      <c r="T167" s="172"/>
      <c r="U167" s="172"/>
      <c r="V167" s="172"/>
      <c r="W167" s="172"/>
      <c r="X167" s="172"/>
      <c r="Y167" s="172"/>
      <c r="Z167" s="172"/>
      <c r="AA167" s="172"/>
      <c r="AB167" s="172"/>
      <c r="AC167" s="172"/>
      <c r="AD167" s="172"/>
      <c r="AE167" s="172"/>
      <c r="AF167" s="172"/>
      <c r="AG167" s="172"/>
      <c r="AH167" s="172"/>
      <c r="AI167" s="172"/>
      <c r="AJ167" s="172"/>
      <c r="AK167" s="173"/>
    </row>
    <row r="168" spans="1:37" ht="15.75" customHeight="1" x14ac:dyDescent="0.25">
      <c r="A168" s="95"/>
      <c r="B168" s="271"/>
      <c r="C168" s="97"/>
      <c r="D168" s="95"/>
      <c r="E168" s="172"/>
      <c r="F168" s="172"/>
      <c r="G168" s="172"/>
      <c r="H168" s="172"/>
      <c r="I168" s="172"/>
      <c r="J168" s="172"/>
      <c r="K168" s="172"/>
      <c r="L168" s="172"/>
      <c r="M168" s="172"/>
      <c r="N168" s="172"/>
      <c r="O168" s="172"/>
      <c r="P168" s="172"/>
      <c r="Q168" s="172"/>
      <c r="R168" s="172"/>
      <c r="S168" s="172"/>
      <c r="T168" s="172"/>
      <c r="U168" s="172"/>
      <c r="V168" s="172"/>
      <c r="W168" s="172"/>
      <c r="X168" s="172"/>
      <c r="Y168" s="172"/>
      <c r="Z168" s="172"/>
      <c r="AA168" s="172"/>
      <c r="AB168" s="172"/>
      <c r="AC168" s="172"/>
      <c r="AD168" s="172"/>
      <c r="AE168" s="172"/>
      <c r="AF168" s="172"/>
      <c r="AG168" s="172"/>
      <c r="AH168" s="172"/>
      <c r="AI168" s="172"/>
      <c r="AJ168" s="172"/>
      <c r="AK168" s="173"/>
    </row>
    <row r="169" spans="1:37" ht="15.75" customHeight="1" x14ac:dyDescent="0.25">
      <c r="A169" s="95"/>
      <c r="B169" s="288"/>
      <c r="C169" s="95"/>
      <c r="D169" s="95"/>
      <c r="E169" s="172"/>
      <c r="F169" s="172"/>
      <c r="G169" s="172"/>
      <c r="H169" s="172"/>
      <c r="I169" s="172"/>
      <c r="J169" s="172"/>
      <c r="K169" s="172"/>
      <c r="L169" s="172"/>
      <c r="M169" s="172"/>
      <c r="N169" s="172"/>
      <c r="O169" s="172"/>
      <c r="P169" s="172"/>
      <c r="Q169" s="172"/>
      <c r="R169" s="172"/>
      <c r="S169" s="172"/>
      <c r="T169" s="172"/>
      <c r="U169" s="172"/>
      <c r="V169" s="172"/>
      <c r="W169" s="172"/>
      <c r="X169" s="172"/>
      <c r="Y169" s="172"/>
      <c r="Z169" s="172"/>
      <c r="AA169" s="172"/>
      <c r="AB169" s="172"/>
      <c r="AC169" s="172"/>
      <c r="AD169" s="172"/>
      <c r="AE169" s="172"/>
      <c r="AF169" s="172"/>
      <c r="AG169" s="172"/>
      <c r="AH169" s="172"/>
      <c r="AI169" s="172"/>
      <c r="AJ169" s="172"/>
      <c r="AK169" s="173"/>
    </row>
    <row r="170" spans="1:37" ht="15.75" customHeight="1" x14ac:dyDescent="0.25">
      <c r="A170" s="95"/>
      <c r="B170" s="271"/>
      <c r="C170" s="95"/>
      <c r="D170" s="95"/>
      <c r="E170" s="172"/>
      <c r="F170" s="172"/>
      <c r="G170" s="172"/>
      <c r="H170" s="172"/>
      <c r="I170" s="172"/>
      <c r="J170" s="172"/>
      <c r="K170" s="172"/>
      <c r="L170" s="172"/>
      <c r="M170" s="172"/>
      <c r="N170" s="172"/>
      <c r="O170" s="172"/>
      <c r="P170" s="172"/>
      <c r="Q170" s="172"/>
      <c r="R170" s="172"/>
      <c r="S170" s="172"/>
      <c r="T170" s="172"/>
      <c r="U170" s="172"/>
      <c r="V170" s="172"/>
      <c r="W170" s="172"/>
      <c r="X170" s="172"/>
      <c r="Y170" s="172"/>
      <c r="Z170" s="172"/>
      <c r="AA170" s="172"/>
      <c r="AB170" s="172"/>
      <c r="AC170" s="172"/>
      <c r="AD170" s="172"/>
      <c r="AE170" s="172"/>
      <c r="AF170" s="172"/>
      <c r="AG170" s="172"/>
      <c r="AH170" s="172"/>
      <c r="AI170" s="172"/>
      <c r="AJ170" s="172"/>
      <c r="AK170" s="173"/>
    </row>
    <row r="171" spans="1:37" ht="15.75" customHeight="1" x14ac:dyDescent="0.25">
      <c r="A171" s="95"/>
      <c r="B171" s="271"/>
      <c r="C171" s="95"/>
      <c r="D171" s="95"/>
      <c r="E171" s="172"/>
      <c r="F171" s="172"/>
      <c r="G171" s="172"/>
      <c r="H171" s="172"/>
      <c r="I171" s="172"/>
      <c r="J171" s="172"/>
      <c r="K171" s="172"/>
      <c r="L171" s="172"/>
      <c r="M171" s="172"/>
      <c r="N171" s="172"/>
      <c r="O171" s="172"/>
      <c r="P171" s="172"/>
      <c r="Q171" s="172"/>
      <c r="R171" s="172"/>
      <c r="S171" s="172"/>
      <c r="T171" s="172"/>
      <c r="U171" s="172"/>
      <c r="V171" s="172"/>
      <c r="W171" s="172"/>
      <c r="X171" s="172"/>
      <c r="Y171" s="172"/>
      <c r="Z171" s="172"/>
      <c r="AA171" s="172"/>
      <c r="AB171" s="172"/>
      <c r="AC171" s="172"/>
      <c r="AD171" s="172"/>
      <c r="AE171" s="172"/>
      <c r="AF171" s="172"/>
      <c r="AG171" s="172"/>
      <c r="AH171" s="172"/>
      <c r="AI171" s="172"/>
      <c r="AJ171" s="172"/>
      <c r="AK171" s="173"/>
    </row>
    <row r="172" spans="1:37" ht="15.75" customHeight="1" x14ac:dyDescent="0.25">
      <c r="A172" s="95"/>
      <c r="B172" s="271"/>
      <c r="C172" s="95"/>
      <c r="D172" s="95"/>
      <c r="E172" s="172"/>
      <c r="F172" s="172"/>
      <c r="G172" s="172"/>
      <c r="H172" s="172"/>
      <c r="I172" s="172"/>
      <c r="J172" s="172"/>
      <c r="K172" s="172"/>
      <c r="L172" s="172"/>
      <c r="M172" s="172"/>
      <c r="N172" s="172"/>
      <c r="O172" s="172"/>
      <c r="P172" s="172"/>
      <c r="Q172" s="172"/>
      <c r="R172" s="172"/>
      <c r="S172" s="172"/>
      <c r="T172" s="172"/>
      <c r="U172" s="172"/>
      <c r="V172" s="172"/>
      <c r="W172" s="172"/>
      <c r="X172" s="172"/>
      <c r="Y172" s="172"/>
      <c r="Z172" s="172"/>
      <c r="AA172" s="172"/>
      <c r="AB172" s="172"/>
      <c r="AC172" s="172"/>
      <c r="AD172" s="172"/>
      <c r="AE172" s="172"/>
      <c r="AF172" s="172"/>
      <c r="AG172" s="172"/>
      <c r="AH172" s="172"/>
      <c r="AI172" s="172"/>
      <c r="AJ172" s="172"/>
      <c r="AK172" s="173"/>
    </row>
    <row r="173" spans="1:37" ht="15.75" customHeight="1" x14ac:dyDescent="0.25">
      <c r="A173" s="95"/>
      <c r="B173" s="271"/>
      <c r="C173" s="97"/>
      <c r="D173" s="95"/>
      <c r="E173" s="172"/>
      <c r="F173" s="172"/>
      <c r="G173" s="172"/>
      <c r="H173" s="172"/>
      <c r="I173" s="172"/>
      <c r="J173" s="172"/>
      <c r="K173" s="172"/>
      <c r="L173" s="172"/>
      <c r="M173" s="172"/>
      <c r="N173" s="172"/>
      <c r="O173" s="172"/>
      <c r="P173" s="172"/>
      <c r="Q173" s="172"/>
      <c r="R173" s="172"/>
      <c r="S173" s="172"/>
      <c r="T173" s="172"/>
      <c r="U173" s="172"/>
      <c r="V173" s="172"/>
      <c r="W173" s="172"/>
      <c r="X173" s="172"/>
      <c r="Y173" s="172"/>
      <c r="Z173" s="172"/>
      <c r="AA173" s="172"/>
      <c r="AB173" s="172"/>
      <c r="AC173" s="172"/>
      <c r="AD173" s="172"/>
      <c r="AE173" s="172"/>
      <c r="AF173" s="172"/>
      <c r="AG173" s="172"/>
      <c r="AH173" s="172"/>
      <c r="AI173" s="172"/>
      <c r="AJ173" s="172"/>
      <c r="AK173" s="173"/>
    </row>
    <row r="174" spans="1:37" ht="15.75" customHeight="1" x14ac:dyDescent="0.25">
      <c r="A174" s="95"/>
      <c r="B174" s="288"/>
      <c r="C174" s="95"/>
      <c r="D174" s="95"/>
      <c r="E174" s="172"/>
      <c r="F174" s="172"/>
      <c r="G174" s="172"/>
      <c r="H174" s="172"/>
      <c r="I174" s="172"/>
      <c r="J174" s="172"/>
      <c r="K174" s="172"/>
      <c r="L174" s="172"/>
      <c r="M174" s="172"/>
      <c r="N174" s="172"/>
      <c r="O174" s="172"/>
      <c r="P174" s="172"/>
      <c r="Q174" s="172"/>
      <c r="R174" s="172"/>
      <c r="S174" s="172"/>
      <c r="T174" s="172"/>
      <c r="U174" s="172"/>
      <c r="V174" s="172"/>
      <c r="W174" s="172"/>
      <c r="X174" s="172"/>
      <c r="Y174" s="172"/>
      <c r="Z174" s="172"/>
      <c r="AA174" s="172"/>
      <c r="AB174" s="172"/>
      <c r="AC174" s="172"/>
      <c r="AD174" s="172"/>
      <c r="AE174" s="172"/>
      <c r="AF174" s="172"/>
      <c r="AG174" s="172"/>
      <c r="AH174" s="172"/>
      <c r="AI174" s="172"/>
      <c r="AJ174" s="172"/>
      <c r="AK174" s="173"/>
    </row>
    <row r="175" spans="1:37" ht="15.75" customHeight="1" x14ac:dyDescent="0.25">
      <c r="A175" s="95"/>
      <c r="B175" s="271"/>
      <c r="C175" s="95"/>
      <c r="D175" s="95"/>
      <c r="E175" s="172"/>
      <c r="F175" s="172"/>
      <c r="G175" s="172"/>
      <c r="H175" s="172"/>
      <c r="I175" s="172"/>
      <c r="J175" s="172"/>
      <c r="K175" s="172"/>
      <c r="L175" s="172"/>
      <c r="M175" s="172"/>
      <c r="N175" s="172"/>
      <c r="O175" s="172"/>
      <c r="P175" s="172"/>
      <c r="Q175" s="172"/>
      <c r="R175" s="172"/>
      <c r="S175" s="172"/>
      <c r="T175" s="172"/>
      <c r="U175" s="172"/>
      <c r="V175" s="172"/>
      <c r="W175" s="172"/>
      <c r="X175" s="172"/>
      <c r="Y175" s="172"/>
      <c r="Z175" s="172"/>
      <c r="AA175" s="172"/>
      <c r="AB175" s="172"/>
      <c r="AC175" s="172"/>
      <c r="AD175" s="172"/>
      <c r="AE175" s="172"/>
      <c r="AF175" s="172"/>
      <c r="AG175" s="172"/>
      <c r="AH175" s="172"/>
      <c r="AI175" s="172"/>
      <c r="AJ175" s="172"/>
      <c r="AK175" s="173"/>
    </row>
    <row r="176" spans="1:37" ht="15.75" customHeight="1" x14ac:dyDescent="0.25">
      <c r="A176" s="95"/>
      <c r="B176" s="271"/>
      <c r="C176" s="95"/>
      <c r="D176" s="95"/>
      <c r="E176" s="172"/>
      <c r="F176" s="172"/>
      <c r="G176" s="172"/>
      <c r="H176" s="172"/>
      <c r="I176" s="172"/>
      <c r="J176" s="172"/>
      <c r="K176" s="172"/>
      <c r="L176" s="172"/>
      <c r="M176" s="172"/>
      <c r="N176" s="172"/>
      <c r="O176" s="172"/>
      <c r="P176" s="172"/>
      <c r="Q176" s="172"/>
      <c r="R176" s="172"/>
      <c r="S176" s="172"/>
      <c r="T176" s="172"/>
      <c r="U176" s="172"/>
      <c r="V176" s="172"/>
      <c r="W176" s="172"/>
      <c r="X176" s="172"/>
      <c r="Y176" s="172"/>
      <c r="Z176" s="172"/>
      <c r="AA176" s="172"/>
      <c r="AB176" s="172"/>
      <c r="AC176" s="172"/>
      <c r="AD176" s="172"/>
      <c r="AE176" s="172"/>
      <c r="AF176" s="172"/>
      <c r="AG176" s="172"/>
      <c r="AH176" s="172"/>
      <c r="AI176" s="172"/>
      <c r="AJ176" s="172"/>
      <c r="AK176" s="173"/>
    </row>
    <row r="177" spans="1:37" ht="15.75" customHeight="1" x14ac:dyDescent="0.25">
      <c r="A177" s="95"/>
      <c r="B177" s="271"/>
      <c r="C177" s="95"/>
      <c r="D177" s="95"/>
      <c r="E177" s="172"/>
      <c r="F177" s="172"/>
      <c r="G177" s="172"/>
      <c r="H177" s="172"/>
      <c r="I177" s="172"/>
      <c r="J177" s="172"/>
      <c r="K177" s="172"/>
      <c r="L177" s="172"/>
      <c r="M177" s="172"/>
      <c r="N177" s="172"/>
      <c r="O177" s="172"/>
      <c r="P177" s="172"/>
      <c r="Q177" s="172"/>
      <c r="R177" s="172"/>
      <c r="S177" s="172"/>
      <c r="T177" s="172"/>
      <c r="U177" s="172"/>
      <c r="V177" s="172"/>
      <c r="W177" s="172"/>
      <c r="X177" s="172"/>
      <c r="Y177" s="172"/>
      <c r="Z177" s="172"/>
      <c r="AA177" s="172"/>
      <c r="AB177" s="172"/>
      <c r="AC177" s="172"/>
      <c r="AD177" s="172"/>
      <c r="AE177" s="172"/>
      <c r="AF177" s="172"/>
      <c r="AG177" s="172"/>
      <c r="AH177" s="172"/>
      <c r="AI177" s="172"/>
      <c r="AJ177" s="172"/>
      <c r="AK177" s="173"/>
    </row>
    <row r="178" spans="1:37" ht="15.75" customHeight="1" x14ac:dyDescent="0.25">
      <c r="A178" s="95"/>
      <c r="B178" s="271"/>
      <c r="C178" s="97"/>
      <c r="D178" s="95"/>
      <c r="E178" s="172"/>
      <c r="F178" s="172"/>
      <c r="G178" s="172"/>
      <c r="H178" s="172"/>
      <c r="I178" s="172"/>
      <c r="J178" s="172"/>
      <c r="K178" s="172"/>
      <c r="L178" s="172"/>
      <c r="M178" s="172"/>
      <c r="N178" s="172"/>
      <c r="O178" s="172"/>
      <c r="P178" s="172"/>
      <c r="Q178" s="172"/>
      <c r="R178" s="172"/>
      <c r="S178" s="172"/>
      <c r="T178" s="172"/>
      <c r="U178" s="172"/>
      <c r="V178" s="172"/>
      <c r="W178" s="172"/>
      <c r="X178" s="172"/>
      <c r="Y178" s="172"/>
      <c r="Z178" s="172"/>
      <c r="AA178" s="172"/>
      <c r="AB178" s="172"/>
      <c r="AC178" s="172"/>
      <c r="AD178" s="172"/>
      <c r="AE178" s="172"/>
      <c r="AF178" s="172"/>
      <c r="AG178" s="172"/>
      <c r="AH178" s="172"/>
      <c r="AI178" s="172"/>
      <c r="AJ178" s="172"/>
      <c r="AK178" s="173"/>
    </row>
    <row r="179" spans="1:37" ht="15.75" customHeight="1" x14ac:dyDescent="0.25">
      <c r="A179" s="95"/>
      <c r="B179" s="288"/>
      <c r="C179" s="95"/>
      <c r="D179" s="95"/>
      <c r="E179" s="172"/>
      <c r="F179" s="172"/>
      <c r="G179" s="172"/>
      <c r="H179" s="172"/>
      <c r="I179" s="172"/>
      <c r="J179" s="172"/>
      <c r="K179" s="172"/>
      <c r="L179" s="172"/>
      <c r="M179" s="172"/>
      <c r="N179" s="172"/>
      <c r="O179" s="172"/>
      <c r="P179" s="172"/>
      <c r="Q179" s="172"/>
      <c r="R179" s="172"/>
      <c r="S179" s="172"/>
      <c r="T179" s="172"/>
      <c r="U179" s="172"/>
      <c r="V179" s="172"/>
      <c r="W179" s="172"/>
      <c r="X179" s="172"/>
      <c r="Y179" s="172"/>
      <c r="Z179" s="172"/>
      <c r="AA179" s="172"/>
      <c r="AB179" s="172"/>
      <c r="AC179" s="172"/>
      <c r="AD179" s="172"/>
      <c r="AE179" s="172"/>
      <c r="AF179" s="172"/>
      <c r="AG179" s="172"/>
      <c r="AH179" s="172"/>
      <c r="AI179" s="172"/>
      <c r="AJ179" s="172"/>
      <c r="AK179" s="173"/>
    </row>
    <row r="180" spans="1:37" ht="15.75" customHeight="1" x14ac:dyDescent="0.25">
      <c r="A180" s="95"/>
      <c r="B180" s="271"/>
      <c r="C180" s="95"/>
      <c r="D180" s="95"/>
      <c r="E180" s="172"/>
      <c r="F180" s="172"/>
      <c r="G180" s="172"/>
      <c r="H180" s="172"/>
      <c r="I180" s="172"/>
      <c r="J180" s="172"/>
      <c r="K180" s="172"/>
      <c r="L180" s="172"/>
      <c r="M180" s="172"/>
      <c r="N180" s="172"/>
      <c r="O180" s="172"/>
      <c r="P180" s="172"/>
      <c r="Q180" s="172"/>
      <c r="R180" s="172"/>
      <c r="S180" s="172"/>
      <c r="T180" s="172"/>
      <c r="U180" s="172"/>
      <c r="V180" s="172"/>
      <c r="W180" s="172"/>
      <c r="X180" s="172"/>
      <c r="Y180" s="172"/>
      <c r="Z180" s="172"/>
      <c r="AA180" s="172"/>
      <c r="AB180" s="172"/>
      <c r="AC180" s="172"/>
      <c r="AD180" s="172"/>
      <c r="AE180" s="172"/>
      <c r="AF180" s="172"/>
      <c r="AG180" s="172"/>
      <c r="AH180" s="172"/>
      <c r="AI180" s="172"/>
      <c r="AJ180" s="172"/>
      <c r="AK180" s="173"/>
    </row>
    <row r="181" spans="1:37" ht="15.75" customHeight="1" x14ac:dyDescent="0.25">
      <c r="A181" s="95"/>
      <c r="B181" s="271"/>
      <c r="C181" s="95"/>
      <c r="D181" s="95"/>
      <c r="E181" s="172"/>
      <c r="F181" s="172"/>
      <c r="G181" s="172"/>
      <c r="H181" s="172"/>
      <c r="I181" s="172"/>
      <c r="J181" s="172"/>
      <c r="K181" s="172"/>
      <c r="L181" s="172"/>
      <c r="M181" s="172"/>
      <c r="N181" s="172"/>
      <c r="O181" s="172"/>
      <c r="P181" s="172"/>
      <c r="Q181" s="172"/>
      <c r="R181" s="172"/>
      <c r="S181" s="172"/>
      <c r="T181" s="172"/>
      <c r="U181" s="172"/>
      <c r="V181" s="172"/>
      <c r="W181" s="172"/>
      <c r="X181" s="172"/>
      <c r="Y181" s="172"/>
      <c r="Z181" s="172"/>
      <c r="AA181" s="172"/>
      <c r="AB181" s="172"/>
      <c r="AC181" s="172"/>
      <c r="AD181" s="172"/>
      <c r="AE181" s="172"/>
      <c r="AF181" s="172"/>
      <c r="AG181" s="172"/>
      <c r="AH181" s="172"/>
      <c r="AI181" s="172"/>
      <c r="AJ181" s="172"/>
      <c r="AK181" s="173"/>
    </row>
    <row r="182" spans="1:37" ht="15.75" customHeight="1" x14ac:dyDescent="0.25">
      <c r="A182" s="95"/>
      <c r="B182" s="271"/>
      <c r="C182" s="95"/>
      <c r="D182" s="95"/>
      <c r="E182" s="172"/>
      <c r="F182" s="172"/>
      <c r="G182" s="172"/>
      <c r="H182" s="172"/>
      <c r="I182" s="172"/>
      <c r="J182" s="172"/>
      <c r="K182" s="172"/>
      <c r="L182" s="172"/>
      <c r="M182" s="172"/>
      <c r="N182" s="172"/>
      <c r="O182" s="172"/>
      <c r="P182" s="172"/>
      <c r="Q182" s="172"/>
      <c r="R182" s="172"/>
      <c r="S182" s="172"/>
      <c r="T182" s="172"/>
      <c r="U182" s="172"/>
      <c r="V182" s="172"/>
      <c r="W182" s="172"/>
      <c r="X182" s="172"/>
      <c r="Y182" s="172"/>
      <c r="Z182" s="172"/>
      <c r="AA182" s="172"/>
      <c r="AB182" s="172"/>
      <c r="AC182" s="172"/>
      <c r="AD182" s="172"/>
      <c r="AE182" s="172"/>
      <c r="AF182" s="172"/>
      <c r="AG182" s="172"/>
      <c r="AH182" s="172"/>
      <c r="AI182" s="172"/>
      <c r="AJ182" s="172"/>
      <c r="AK182" s="173"/>
    </row>
    <row r="183" spans="1:37" ht="15.75" customHeight="1" x14ac:dyDescent="0.25">
      <c r="A183" s="95"/>
      <c r="B183" s="271"/>
      <c r="C183" s="97"/>
      <c r="D183" s="95"/>
      <c r="E183" s="172"/>
      <c r="F183" s="172"/>
      <c r="G183" s="172"/>
      <c r="H183" s="172"/>
      <c r="I183" s="172"/>
      <c r="J183" s="172"/>
      <c r="K183" s="172"/>
      <c r="L183" s="172"/>
      <c r="M183" s="172"/>
      <c r="N183" s="172"/>
      <c r="O183" s="172"/>
      <c r="P183" s="172"/>
      <c r="Q183" s="172"/>
      <c r="R183" s="172"/>
      <c r="S183" s="172"/>
      <c r="T183" s="172"/>
      <c r="U183" s="172"/>
      <c r="V183" s="172"/>
      <c r="W183" s="172"/>
      <c r="X183" s="172"/>
      <c r="Y183" s="172"/>
      <c r="Z183" s="172"/>
      <c r="AA183" s="172"/>
      <c r="AB183" s="172"/>
      <c r="AC183" s="172"/>
      <c r="AD183" s="172"/>
      <c r="AE183" s="172"/>
      <c r="AF183" s="172"/>
      <c r="AG183" s="172"/>
      <c r="AH183" s="172"/>
      <c r="AI183" s="172"/>
      <c r="AJ183" s="172"/>
      <c r="AK183" s="173"/>
    </row>
    <row r="184" spans="1:37" ht="15.75" customHeight="1" x14ac:dyDescent="0.25">
      <c r="A184" s="95"/>
      <c r="B184" s="288"/>
      <c r="C184" s="95"/>
      <c r="D184" s="95"/>
      <c r="E184" s="172"/>
      <c r="F184" s="172"/>
      <c r="G184" s="172"/>
      <c r="H184" s="172"/>
      <c r="I184" s="172"/>
      <c r="J184" s="172"/>
      <c r="K184" s="172"/>
      <c r="L184" s="172"/>
      <c r="M184" s="172"/>
      <c r="N184" s="172"/>
      <c r="O184" s="172"/>
      <c r="P184" s="172"/>
      <c r="Q184" s="172"/>
      <c r="R184" s="172"/>
      <c r="S184" s="172"/>
      <c r="T184" s="172"/>
      <c r="U184" s="172"/>
      <c r="V184" s="172"/>
      <c r="W184" s="172"/>
      <c r="X184" s="172"/>
      <c r="Y184" s="172"/>
      <c r="Z184" s="172"/>
      <c r="AA184" s="172"/>
      <c r="AB184" s="172"/>
      <c r="AC184" s="172"/>
      <c r="AD184" s="172"/>
      <c r="AE184" s="172"/>
      <c r="AF184" s="172"/>
      <c r="AG184" s="172"/>
      <c r="AH184" s="172"/>
      <c r="AI184" s="172"/>
      <c r="AJ184" s="172"/>
      <c r="AK184" s="173"/>
    </row>
    <row r="185" spans="1:37" ht="15.75" customHeight="1" x14ac:dyDescent="0.25">
      <c r="A185" s="95"/>
      <c r="B185" s="271"/>
      <c r="C185" s="95"/>
      <c r="D185" s="95"/>
      <c r="E185" s="172"/>
      <c r="F185" s="172"/>
      <c r="G185" s="172"/>
      <c r="H185" s="172"/>
      <c r="I185" s="172"/>
      <c r="J185" s="172"/>
      <c r="K185" s="172"/>
      <c r="L185" s="172"/>
      <c r="M185" s="172"/>
      <c r="N185" s="172"/>
      <c r="O185" s="172"/>
      <c r="P185" s="172"/>
      <c r="Q185" s="172"/>
      <c r="R185" s="172"/>
      <c r="S185" s="172"/>
      <c r="T185" s="172"/>
      <c r="U185" s="172"/>
      <c r="V185" s="172"/>
      <c r="W185" s="172"/>
      <c r="X185" s="172"/>
      <c r="Y185" s="172"/>
      <c r="Z185" s="172"/>
      <c r="AA185" s="172"/>
      <c r="AB185" s="172"/>
      <c r="AC185" s="172"/>
      <c r="AD185" s="172"/>
      <c r="AE185" s="172"/>
      <c r="AF185" s="172"/>
      <c r="AG185" s="172"/>
      <c r="AH185" s="172"/>
      <c r="AI185" s="172"/>
      <c r="AJ185" s="172"/>
      <c r="AK185" s="173"/>
    </row>
    <row r="186" spans="1:37" ht="15.75" customHeight="1" x14ac:dyDescent="0.25">
      <c r="A186" s="95"/>
      <c r="B186" s="271"/>
      <c r="C186" s="95"/>
      <c r="D186" s="95"/>
      <c r="E186" s="172"/>
      <c r="F186" s="172"/>
      <c r="G186" s="172"/>
      <c r="H186" s="172"/>
      <c r="I186" s="172"/>
      <c r="J186" s="172"/>
      <c r="K186" s="172"/>
      <c r="L186" s="172"/>
      <c r="M186" s="172"/>
      <c r="N186" s="172"/>
      <c r="O186" s="172"/>
      <c r="P186" s="172"/>
      <c r="Q186" s="172"/>
      <c r="R186" s="172"/>
      <c r="S186" s="172"/>
      <c r="T186" s="172"/>
      <c r="U186" s="172"/>
      <c r="V186" s="172"/>
      <c r="W186" s="172"/>
      <c r="X186" s="172"/>
      <c r="Y186" s="172"/>
      <c r="Z186" s="172"/>
      <c r="AA186" s="172"/>
      <c r="AB186" s="172"/>
      <c r="AC186" s="172"/>
      <c r="AD186" s="172"/>
      <c r="AE186" s="172"/>
      <c r="AF186" s="172"/>
      <c r="AG186" s="172"/>
      <c r="AH186" s="172"/>
      <c r="AI186" s="172"/>
      <c r="AJ186" s="172"/>
      <c r="AK186" s="173"/>
    </row>
    <row r="187" spans="1:37" ht="15.75" customHeight="1" x14ac:dyDescent="0.25">
      <c r="A187" s="95"/>
      <c r="B187" s="271"/>
      <c r="C187" s="95"/>
      <c r="D187" s="95"/>
      <c r="E187" s="172"/>
      <c r="F187" s="172"/>
      <c r="G187" s="172"/>
      <c r="H187" s="172"/>
      <c r="I187" s="172"/>
      <c r="J187" s="172"/>
      <c r="K187" s="172"/>
      <c r="L187" s="172"/>
      <c r="M187" s="172"/>
      <c r="N187" s="172"/>
      <c r="O187" s="172"/>
      <c r="P187" s="172"/>
      <c r="Q187" s="172"/>
      <c r="R187" s="172"/>
      <c r="S187" s="172"/>
      <c r="T187" s="172"/>
      <c r="U187" s="172"/>
      <c r="V187" s="172"/>
      <c r="W187" s="172"/>
      <c r="X187" s="172"/>
      <c r="Y187" s="172"/>
      <c r="Z187" s="172"/>
      <c r="AA187" s="172"/>
      <c r="AB187" s="172"/>
      <c r="AC187" s="172"/>
      <c r="AD187" s="172"/>
      <c r="AE187" s="172"/>
      <c r="AF187" s="172"/>
      <c r="AG187" s="172"/>
      <c r="AH187" s="172"/>
      <c r="AI187" s="172"/>
      <c r="AJ187" s="172"/>
      <c r="AK187" s="173"/>
    </row>
    <row r="188" spans="1:37" ht="15.75" customHeight="1" x14ac:dyDescent="0.25">
      <c r="A188" s="95"/>
      <c r="B188" s="271"/>
      <c r="C188" s="97"/>
      <c r="D188" s="95"/>
      <c r="E188" s="172"/>
      <c r="F188" s="172"/>
      <c r="G188" s="172"/>
      <c r="H188" s="172"/>
      <c r="I188" s="172"/>
      <c r="J188" s="172"/>
      <c r="K188" s="172"/>
      <c r="L188" s="172"/>
      <c r="M188" s="172"/>
      <c r="N188" s="172"/>
      <c r="O188" s="172"/>
      <c r="P188" s="172"/>
      <c r="Q188" s="172"/>
      <c r="R188" s="172"/>
      <c r="S188" s="172"/>
      <c r="T188" s="172"/>
      <c r="U188" s="172"/>
      <c r="V188" s="172"/>
      <c r="W188" s="172"/>
      <c r="X188" s="172"/>
      <c r="Y188" s="172"/>
      <c r="Z188" s="172"/>
      <c r="AA188" s="172"/>
      <c r="AB188" s="172"/>
      <c r="AC188" s="172"/>
      <c r="AD188" s="172"/>
      <c r="AE188" s="172"/>
      <c r="AF188" s="172"/>
      <c r="AG188" s="172"/>
      <c r="AH188" s="172"/>
      <c r="AI188" s="172"/>
      <c r="AJ188" s="172"/>
      <c r="AK188" s="173"/>
    </row>
    <row r="189" spans="1:37" ht="15.75" customHeight="1" x14ac:dyDescent="0.25">
      <c r="A189" s="95"/>
      <c r="B189" s="288"/>
      <c r="C189" s="95"/>
      <c r="D189" s="95"/>
      <c r="E189" s="172"/>
      <c r="F189" s="172"/>
      <c r="G189" s="172"/>
      <c r="H189" s="172"/>
      <c r="I189" s="172"/>
      <c r="J189" s="172"/>
      <c r="K189" s="172"/>
      <c r="L189" s="172"/>
      <c r="M189" s="172"/>
      <c r="N189" s="172"/>
      <c r="O189" s="172"/>
      <c r="P189" s="172"/>
      <c r="Q189" s="172"/>
      <c r="R189" s="172"/>
      <c r="S189" s="172"/>
      <c r="T189" s="172"/>
      <c r="U189" s="172"/>
      <c r="V189" s="172"/>
      <c r="W189" s="172"/>
      <c r="X189" s="172"/>
      <c r="Y189" s="172"/>
      <c r="Z189" s="172"/>
      <c r="AA189" s="172"/>
      <c r="AB189" s="172"/>
      <c r="AC189" s="172"/>
      <c r="AD189" s="172"/>
      <c r="AE189" s="172"/>
      <c r="AF189" s="172"/>
      <c r="AG189" s="172"/>
      <c r="AH189" s="172"/>
      <c r="AI189" s="172"/>
      <c r="AJ189" s="172"/>
      <c r="AK189" s="173"/>
    </row>
    <row r="190" spans="1:37" ht="15.75" customHeight="1" x14ac:dyDescent="0.25">
      <c r="A190" s="95"/>
      <c r="B190" s="271"/>
      <c r="C190" s="95"/>
      <c r="D190" s="95"/>
      <c r="E190" s="172"/>
      <c r="F190" s="172"/>
      <c r="G190" s="172"/>
      <c r="H190" s="172"/>
      <c r="I190" s="172"/>
      <c r="J190" s="172"/>
      <c r="K190" s="172"/>
      <c r="L190" s="172"/>
      <c r="M190" s="172"/>
      <c r="N190" s="172"/>
      <c r="O190" s="172"/>
      <c r="P190" s="172"/>
      <c r="Q190" s="172"/>
      <c r="R190" s="172"/>
      <c r="S190" s="172"/>
      <c r="T190" s="172"/>
      <c r="U190" s="172"/>
      <c r="V190" s="172"/>
      <c r="W190" s="172"/>
      <c r="X190" s="172"/>
      <c r="Y190" s="172"/>
      <c r="Z190" s="172"/>
      <c r="AA190" s="172"/>
      <c r="AB190" s="172"/>
      <c r="AC190" s="172"/>
      <c r="AD190" s="172"/>
      <c r="AE190" s="172"/>
      <c r="AF190" s="172"/>
      <c r="AG190" s="172"/>
      <c r="AH190" s="172"/>
      <c r="AI190" s="172"/>
      <c r="AJ190" s="172"/>
      <c r="AK190" s="173"/>
    </row>
    <row r="191" spans="1:37" ht="15.75" customHeight="1" x14ac:dyDescent="0.25">
      <c r="A191" s="95"/>
      <c r="B191" s="271"/>
      <c r="C191" s="95"/>
      <c r="D191" s="95"/>
      <c r="E191" s="172"/>
      <c r="F191" s="172"/>
      <c r="G191" s="172"/>
      <c r="H191" s="172"/>
      <c r="I191" s="172"/>
      <c r="J191" s="172"/>
      <c r="K191" s="172"/>
      <c r="L191" s="172"/>
      <c r="M191" s="172"/>
      <c r="N191" s="172"/>
      <c r="O191" s="172"/>
      <c r="P191" s="172"/>
      <c r="Q191" s="172"/>
      <c r="R191" s="172"/>
      <c r="S191" s="172"/>
      <c r="T191" s="172"/>
      <c r="U191" s="172"/>
      <c r="V191" s="172"/>
      <c r="W191" s="172"/>
      <c r="X191" s="172"/>
      <c r="Y191" s="172"/>
      <c r="Z191" s="172"/>
      <c r="AA191" s="172"/>
      <c r="AB191" s="172"/>
      <c r="AC191" s="172"/>
      <c r="AD191" s="172"/>
      <c r="AE191" s="172"/>
      <c r="AF191" s="172"/>
      <c r="AG191" s="172"/>
      <c r="AH191" s="172"/>
      <c r="AI191" s="172"/>
      <c r="AJ191" s="172"/>
      <c r="AK191" s="173"/>
    </row>
    <row r="192" spans="1:37" ht="15.75" customHeight="1" x14ac:dyDescent="0.25">
      <c r="A192" s="95"/>
      <c r="B192" s="271"/>
      <c r="C192" s="95"/>
      <c r="D192" s="95"/>
      <c r="E192" s="172"/>
      <c r="F192" s="172"/>
      <c r="G192" s="172"/>
      <c r="H192" s="172"/>
      <c r="I192" s="172"/>
      <c r="J192" s="172"/>
      <c r="K192" s="172"/>
      <c r="L192" s="172"/>
      <c r="M192" s="172"/>
      <c r="N192" s="172"/>
      <c r="O192" s="172"/>
      <c r="P192" s="172"/>
      <c r="Q192" s="172"/>
      <c r="R192" s="172"/>
      <c r="S192" s="172"/>
      <c r="T192" s="172"/>
      <c r="U192" s="172"/>
      <c r="V192" s="172"/>
      <c r="W192" s="172"/>
      <c r="X192" s="172"/>
      <c r="Y192" s="172"/>
      <c r="Z192" s="172"/>
      <c r="AA192" s="172"/>
      <c r="AB192" s="172"/>
      <c r="AC192" s="172"/>
      <c r="AD192" s="172"/>
      <c r="AE192" s="172"/>
      <c r="AF192" s="172"/>
      <c r="AG192" s="172"/>
      <c r="AH192" s="172"/>
      <c r="AI192" s="172"/>
      <c r="AJ192" s="172"/>
      <c r="AK192" s="173"/>
    </row>
    <row r="193" spans="1:37" ht="15.75" customHeight="1" x14ac:dyDescent="0.25">
      <c r="A193" s="95"/>
      <c r="B193" s="271"/>
      <c r="C193" s="97"/>
      <c r="D193" s="95"/>
      <c r="E193" s="172"/>
      <c r="F193" s="172"/>
      <c r="G193" s="172"/>
      <c r="H193" s="172"/>
      <c r="I193" s="172"/>
      <c r="J193" s="172"/>
      <c r="K193" s="172"/>
      <c r="L193" s="172"/>
      <c r="M193" s="172"/>
      <c r="N193" s="172"/>
      <c r="O193" s="172"/>
      <c r="P193" s="172"/>
      <c r="Q193" s="172"/>
      <c r="R193" s="172"/>
      <c r="S193" s="172"/>
      <c r="T193" s="172"/>
      <c r="U193" s="172"/>
      <c r="V193" s="172"/>
      <c r="W193" s="172"/>
      <c r="X193" s="172"/>
      <c r="Y193" s="172"/>
      <c r="Z193" s="172"/>
      <c r="AA193" s="172"/>
      <c r="AB193" s="172"/>
      <c r="AC193" s="172"/>
      <c r="AD193" s="172"/>
      <c r="AE193" s="172"/>
      <c r="AF193" s="172"/>
      <c r="AG193" s="172"/>
      <c r="AH193" s="172"/>
      <c r="AI193" s="172"/>
      <c r="AJ193" s="172"/>
      <c r="AK193" s="173"/>
    </row>
    <row r="194" spans="1:37" ht="15.75" customHeight="1" x14ac:dyDescent="0.25">
      <c r="A194" s="95"/>
      <c r="B194" s="288"/>
      <c r="C194" s="95"/>
      <c r="D194" s="95"/>
      <c r="E194" s="172"/>
      <c r="F194" s="172"/>
      <c r="G194" s="172"/>
      <c r="H194" s="172"/>
      <c r="I194" s="172"/>
      <c r="J194" s="172"/>
      <c r="K194" s="172"/>
      <c r="L194" s="172"/>
      <c r="M194" s="172"/>
      <c r="N194" s="172"/>
      <c r="O194" s="172"/>
      <c r="P194" s="172"/>
      <c r="Q194" s="172"/>
      <c r="R194" s="172"/>
      <c r="S194" s="172"/>
      <c r="T194" s="172"/>
      <c r="U194" s="172"/>
      <c r="V194" s="172"/>
      <c r="W194" s="172"/>
      <c r="X194" s="172"/>
      <c r="Y194" s="172"/>
      <c r="Z194" s="172"/>
      <c r="AA194" s="172"/>
      <c r="AB194" s="172"/>
      <c r="AC194" s="172"/>
      <c r="AD194" s="172"/>
      <c r="AE194" s="172"/>
      <c r="AF194" s="172"/>
      <c r="AG194" s="172"/>
      <c r="AH194" s="172"/>
      <c r="AI194" s="172"/>
      <c r="AJ194" s="172"/>
      <c r="AK194" s="173"/>
    </row>
    <row r="195" spans="1:37" ht="15.75" customHeight="1" x14ac:dyDescent="0.25">
      <c r="A195" s="95"/>
      <c r="B195" s="271"/>
      <c r="C195" s="95"/>
      <c r="D195" s="95"/>
      <c r="E195" s="172"/>
      <c r="F195" s="172"/>
      <c r="G195" s="172"/>
      <c r="H195" s="172"/>
      <c r="I195" s="172"/>
      <c r="J195" s="172"/>
      <c r="K195" s="172"/>
      <c r="L195" s="172"/>
      <c r="M195" s="172"/>
      <c r="N195" s="172"/>
      <c r="O195" s="172"/>
      <c r="P195" s="172"/>
      <c r="Q195" s="172"/>
      <c r="R195" s="172"/>
      <c r="S195" s="172"/>
      <c r="T195" s="172"/>
      <c r="U195" s="172"/>
      <c r="V195" s="172"/>
      <c r="W195" s="172"/>
      <c r="X195" s="172"/>
      <c r="Y195" s="172"/>
      <c r="Z195" s="172"/>
      <c r="AA195" s="172"/>
      <c r="AB195" s="172"/>
      <c r="AC195" s="172"/>
      <c r="AD195" s="172"/>
      <c r="AE195" s="172"/>
      <c r="AF195" s="172"/>
      <c r="AG195" s="172"/>
      <c r="AH195" s="172"/>
      <c r="AI195" s="172"/>
      <c r="AJ195" s="172"/>
      <c r="AK195" s="173"/>
    </row>
    <row r="196" spans="1:37" ht="15.75" customHeight="1" x14ac:dyDescent="0.25">
      <c r="A196" s="95"/>
      <c r="B196" s="271"/>
      <c r="C196" s="95"/>
      <c r="D196" s="95"/>
      <c r="E196" s="172"/>
      <c r="F196" s="172"/>
      <c r="G196" s="172"/>
      <c r="H196" s="172"/>
      <c r="I196" s="172"/>
      <c r="J196" s="172"/>
      <c r="K196" s="172"/>
      <c r="L196" s="172"/>
      <c r="M196" s="172"/>
      <c r="N196" s="172"/>
      <c r="O196" s="172"/>
      <c r="P196" s="172"/>
      <c r="Q196" s="172"/>
      <c r="R196" s="172"/>
      <c r="S196" s="172"/>
      <c r="T196" s="172"/>
      <c r="U196" s="172"/>
      <c r="V196" s="172"/>
      <c r="W196" s="172"/>
      <c r="X196" s="172"/>
      <c r="Y196" s="172"/>
      <c r="Z196" s="172"/>
      <c r="AA196" s="172"/>
      <c r="AB196" s="172"/>
      <c r="AC196" s="172"/>
      <c r="AD196" s="172"/>
      <c r="AE196" s="172"/>
      <c r="AF196" s="172"/>
      <c r="AG196" s="172"/>
      <c r="AH196" s="172"/>
      <c r="AI196" s="172"/>
      <c r="AJ196" s="172"/>
      <c r="AK196" s="173"/>
    </row>
    <row r="197" spans="1:37" ht="15.75" customHeight="1" x14ac:dyDescent="0.25">
      <c r="A197" s="95"/>
      <c r="B197" s="271"/>
      <c r="C197" s="95"/>
      <c r="D197" s="95"/>
      <c r="E197" s="172"/>
      <c r="F197" s="172"/>
      <c r="G197" s="172"/>
      <c r="H197" s="172"/>
      <c r="I197" s="172"/>
      <c r="J197" s="172"/>
      <c r="K197" s="172"/>
      <c r="L197" s="172"/>
      <c r="M197" s="172"/>
      <c r="N197" s="172"/>
      <c r="O197" s="172"/>
      <c r="P197" s="172"/>
      <c r="Q197" s="172"/>
      <c r="R197" s="172"/>
      <c r="S197" s="172"/>
      <c r="T197" s="172"/>
      <c r="U197" s="172"/>
      <c r="V197" s="172"/>
      <c r="W197" s="172"/>
      <c r="X197" s="172"/>
      <c r="Y197" s="172"/>
      <c r="Z197" s="172"/>
      <c r="AA197" s="172"/>
      <c r="AB197" s="172"/>
      <c r="AC197" s="172"/>
      <c r="AD197" s="172"/>
      <c r="AE197" s="172"/>
      <c r="AF197" s="172"/>
      <c r="AG197" s="172"/>
      <c r="AH197" s="172"/>
      <c r="AI197" s="172"/>
      <c r="AJ197" s="172"/>
      <c r="AK197" s="173"/>
    </row>
    <row r="198" spans="1:37" ht="15.75" customHeight="1" x14ac:dyDescent="0.25">
      <c r="A198" s="95"/>
      <c r="B198" s="271"/>
      <c r="C198" s="97"/>
      <c r="D198" s="95"/>
      <c r="E198" s="172"/>
      <c r="F198" s="172"/>
      <c r="G198" s="172"/>
      <c r="H198" s="172"/>
      <c r="I198" s="172"/>
      <c r="J198" s="172"/>
      <c r="K198" s="172"/>
      <c r="L198" s="172"/>
      <c r="M198" s="172"/>
      <c r="N198" s="172"/>
      <c r="O198" s="172"/>
      <c r="P198" s="172"/>
      <c r="Q198" s="172"/>
      <c r="R198" s="172"/>
      <c r="S198" s="172"/>
      <c r="T198" s="172"/>
      <c r="U198" s="172"/>
      <c r="V198" s="172"/>
      <c r="W198" s="172"/>
      <c r="X198" s="172"/>
      <c r="Y198" s="172"/>
      <c r="Z198" s="172"/>
      <c r="AA198" s="172"/>
      <c r="AB198" s="172"/>
      <c r="AC198" s="172"/>
      <c r="AD198" s="172"/>
      <c r="AE198" s="172"/>
      <c r="AF198" s="172"/>
      <c r="AG198" s="172"/>
      <c r="AH198" s="172"/>
      <c r="AI198" s="172"/>
      <c r="AJ198" s="172"/>
      <c r="AK198" s="173"/>
    </row>
    <row r="199" spans="1:37" ht="15.75" customHeight="1" x14ac:dyDescent="0.25">
      <c r="A199" s="95"/>
      <c r="B199" s="288"/>
      <c r="C199" s="95"/>
      <c r="D199" s="95"/>
      <c r="E199" s="172"/>
      <c r="F199" s="172"/>
      <c r="G199" s="172"/>
      <c r="H199" s="172"/>
      <c r="I199" s="172"/>
      <c r="J199" s="172"/>
      <c r="K199" s="172"/>
      <c r="L199" s="172"/>
      <c r="M199" s="172"/>
      <c r="N199" s="172"/>
      <c r="O199" s="172"/>
      <c r="P199" s="172"/>
      <c r="Q199" s="172"/>
      <c r="R199" s="172"/>
      <c r="S199" s="172"/>
      <c r="T199" s="172"/>
      <c r="U199" s="172"/>
      <c r="V199" s="172"/>
      <c r="W199" s="172"/>
      <c r="X199" s="172"/>
      <c r="Y199" s="172"/>
      <c r="Z199" s="172"/>
      <c r="AA199" s="172"/>
      <c r="AB199" s="172"/>
      <c r="AC199" s="172"/>
      <c r="AD199" s="172"/>
      <c r="AE199" s="172"/>
      <c r="AF199" s="172"/>
      <c r="AG199" s="172"/>
      <c r="AH199" s="172"/>
      <c r="AI199" s="172"/>
      <c r="AJ199" s="172"/>
      <c r="AK199" s="173"/>
    </row>
    <row r="200" spans="1:37" ht="15.75" customHeight="1" x14ac:dyDescent="0.25">
      <c r="A200" s="95"/>
      <c r="B200" s="271"/>
      <c r="C200" s="95"/>
      <c r="D200" s="95"/>
      <c r="E200" s="172"/>
      <c r="F200" s="172"/>
      <c r="G200" s="172"/>
      <c r="H200" s="172"/>
      <c r="I200" s="172"/>
      <c r="J200" s="172"/>
      <c r="K200" s="172"/>
      <c r="L200" s="172"/>
      <c r="M200" s="172"/>
      <c r="N200" s="172"/>
      <c r="O200" s="172"/>
      <c r="P200" s="172"/>
      <c r="Q200" s="172"/>
      <c r="R200" s="172"/>
      <c r="S200" s="172"/>
      <c r="T200" s="172"/>
      <c r="U200" s="172"/>
      <c r="V200" s="172"/>
      <c r="W200" s="172"/>
      <c r="X200" s="172"/>
      <c r="Y200" s="172"/>
      <c r="Z200" s="172"/>
      <c r="AA200" s="172"/>
      <c r="AB200" s="172"/>
      <c r="AC200" s="172"/>
      <c r="AD200" s="172"/>
      <c r="AE200" s="172"/>
      <c r="AF200" s="172"/>
      <c r="AG200" s="172"/>
      <c r="AH200" s="172"/>
      <c r="AI200" s="172"/>
      <c r="AJ200" s="172"/>
      <c r="AK200" s="173"/>
    </row>
    <row r="201" spans="1:37" ht="15.75" customHeight="1" x14ac:dyDescent="0.25">
      <c r="A201" s="95"/>
      <c r="B201" s="271"/>
      <c r="C201" s="95"/>
      <c r="D201" s="95"/>
      <c r="E201" s="172"/>
      <c r="F201" s="172"/>
      <c r="G201" s="172"/>
      <c r="H201" s="172"/>
      <c r="I201" s="172"/>
      <c r="J201" s="172"/>
      <c r="K201" s="172"/>
      <c r="L201" s="172"/>
      <c r="M201" s="172"/>
      <c r="N201" s="172"/>
      <c r="O201" s="172"/>
      <c r="P201" s="172"/>
      <c r="Q201" s="172"/>
      <c r="R201" s="172"/>
      <c r="S201" s="172"/>
      <c r="T201" s="172"/>
      <c r="U201" s="172"/>
      <c r="V201" s="172"/>
      <c r="W201" s="172"/>
      <c r="X201" s="172"/>
      <c r="Y201" s="172"/>
      <c r="Z201" s="172"/>
      <c r="AA201" s="172"/>
      <c r="AB201" s="172"/>
      <c r="AC201" s="172"/>
      <c r="AD201" s="172"/>
      <c r="AE201" s="172"/>
      <c r="AF201" s="172"/>
      <c r="AG201" s="172"/>
      <c r="AH201" s="172"/>
      <c r="AI201" s="172"/>
      <c r="AJ201" s="172"/>
      <c r="AK201" s="173"/>
    </row>
    <row r="202" spans="1:37" ht="15.75" customHeight="1" x14ac:dyDescent="0.25">
      <c r="A202" s="95"/>
      <c r="B202" s="271"/>
      <c r="C202" s="95"/>
      <c r="D202" s="95"/>
      <c r="E202" s="172"/>
      <c r="F202" s="172"/>
      <c r="G202" s="172"/>
      <c r="H202" s="172"/>
      <c r="I202" s="172"/>
      <c r="J202" s="172"/>
      <c r="K202" s="172"/>
      <c r="L202" s="172"/>
      <c r="M202" s="172"/>
      <c r="N202" s="172"/>
      <c r="O202" s="172"/>
      <c r="P202" s="172"/>
      <c r="Q202" s="172"/>
      <c r="R202" s="172"/>
      <c r="S202" s="172"/>
      <c r="T202" s="172"/>
      <c r="U202" s="172"/>
      <c r="V202" s="172"/>
      <c r="W202" s="172"/>
      <c r="X202" s="172"/>
      <c r="Y202" s="172"/>
      <c r="Z202" s="172"/>
      <c r="AA202" s="172"/>
      <c r="AB202" s="172"/>
      <c r="AC202" s="172"/>
      <c r="AD202" s="172"/>
      <c r="AE202" s="172"/>
      <c r="AF202" s="172"/>
      <c r="AG202" s="172"/>
      <c r="AH202" s="172"/>
      <c r="AI202" s="172"/>
      <c r="AJ202" s="172"/>
      <c r="AK202" s="173"/>
    </row>
    <row r="203" spans="1:37" ht="15.75" customHeight="1" x14ac:dyDescent="0.25">
      <c r="A203" s="95"/>
      <c r="B203" s="271"/>
      <c r="C203" s="97"/>
      <c r="D203" s="95"/>
      <c r="E203" s="172"/>
      <c r="F203" s="172"/>
      <c r="G203" s="172"/>
      <c r="H203" s="172"/>
      <c r="I203" s="172"/>
      <c r="J203" s="172"/>
      <c r="K203" s="172"/>
      <c r="L203" s="172"/>
      <c r="M203" s="172"/>
      <c r="N203" s="172"/>
      <c r="O203" s="172"/>
      <c r="P203" s="172"/>
      <c r="Q203" s="172"/>
      <c r="R203" s="172"/>
      <c r="S203" s="172"/>
      <c r="T203" s="172"/>
      <c r="U203" s="172"/>
      <c r="V203" s="172"/>
      <c r="W203" s="172"/>
      <c r="X203" s="172"/>
      <c r="Y203" s="172"/>
      <c r="Z203" s="172"/>
      <c r="AA203" s="172"/>
      <c r="AB203" s="172"/>
      <c r="AC203" s="172"/>
      <c r="AD203" s="172"/>
      <c r="AE203" s="172"/>
      <c r="AF203" s="172"/>
      <c r="AG203" s="172"/>
      <c r="AH203" s="172"/>
      <c r="AI203" s="172"/>
      <c r="AJ203" s="172"/>
      <c r="AK203" s="173"/>
    </row>
    <row r="204" spans="1:37" ht="15.75" customHeight="1" x14ac:dyDescent="0.25">
      <c r="A204" s="95"/>
      <c r="B204" s="288"/>
      <c r="C204" s="95"/>
      <c r="D204" s="95"/>
      <c r="E204" s="172"/>
      <c r="F204" s="172"/>
      <c r="G204" s="172"/>
      <c r="H204" s="172"/>
      <c r="I204" s="172"/>
      <c r="J204" s="172"/>
      <c r="K204" s="172"/>
      <c r="L204" s="172"/>
      <c r="M204" s="172"/>
      <c r="N204" s="172"/>
      <c r="O204" s="172"/>
      <c r="P204" s="172"/>
      <c r="Q204" s="172"/>
      <c r="R204" s="172"/>
      <c r="S204" s="172"/>
      <c r="T204" s="172"/>
      <c r="U204" s="172"/>
      <c r="V204" s="172"/>
      <c r="W204" s="172"/>
      <c r="X204" s="172"/>
      <c r="Y204" s="172"/>
      <c r="Z204" s="172"/>
      <c r="AA204" s="172"/>
      <c r="AB204" s="172"/>
      <c r="AC204" s="172"/>
      <c r="AD204" s="172"/>
      <c r="AE204" s="172"/>
      <c r="AF204" s="172"/>
      <c r="AG204" s="172"/>
      <c r="AH204" s="172"/>
      <c r="AI204" s="172"/>
      <c r="AJ204" s="172"/>
      <c r="AK204" s="173"/>
    </row>
    <row r="205" spans="1:37" ht="15.75" customHeight="1" x14ac:dyDescent="0.25">
      <c r="A205" s="95"/>
      <c r="B205" s="271"/>
      <c r="C205" s="95"/>
      <c r="D205" s="95"/>
      <c r="E205" s="172"/>
      <c r="F205" s="172"/>
      <c r="G205" s="172"/>
      <c r="H205" s="172"/>
      <c r="I205" s="172"/>
      <c r="J205" s="172"/>
      <c r="K205" s="172"/>
      <c r="L205" s="172"/>
      <c r="M205" s="172"/>
      <c r="N205" s="172"/>
      <c r="O205" s="172"/>
      <c r="P205" s="172"/>
      <c r="Q205" s="172"/>
      <c r="R205" s="172"/>
      <c r="S205" s="172"/>
      <c r="T205" s="172"/>
      <c r="U205" s="172"/>
      <c r="V205" s="172"/>
      <c r="W205" s="172"/>
      <c r="X205" s="172"/>
      <c r="Y205" s="172"/>
      <c r="Z205" s="172"/>
      <c r="AA205" s="172"/>
      <c r="AB205" s="172"/>
      <c r="AC205" s="172"/>
      <c r="AD205" s="172"/>
      <c r="AE205" s="172"/>
      <c r="AF205" s="172"/>
      <c r="AG205" s="172"/>
      <c r="AH205" s="172"/>
      <c r="AI205" s="172"/>
      <c r="AJ205" s="172"/>
      <c r="AK205" s="173"/>
    </row>
    <row r="206" spans="1:37" ht="15.75" customHeight="1" x14ac:dyDescent="0.25">
      <c r="A206" s="95"/>
      <c r="B206" s="271"/>
      <c r="C206" s="95"/>
      <c r="D206" s="95"/>
      <c r="E206" s="172"/>
      <c r="F206" s="172"/>
      <c r="G206" s="172"/>
      <c r="H206" s="172"/>
      <c r="I206" s="172"/>
      <c r="J206" s="172"/>
      <c r="K206" s="172"/>
      <c r="L206" s="172"/>
      <c r="M206" s="172"/>
      <c r="N206" s="172"/>
      <c r="O206" s="172"/>
      <c r="P206" s="172"/>
      <c r="Q206" s="172"/>
      <c r="R206" s="172"/>
      <c r="S206" s="172"/>
      <c r="T206" s="172"/>
      <c r="U206" s="172"/>
      <c r="V206" s="172"/>
      <c r="W206" s="172"/>
      <c r="X206" s="172"/>
      <c r="Y206" s="172"/>
      <c r="Z206" s="172"/>
      <c r="AA206" s="172"/>
      <c r="AB206" s="172"/>
      <c r="AC206" s="172"/>
      <c r="AD206" s="172"/>
      <c r="AE206" s="172"/>
      <c r="AF206" s="172"/>
      <c r="AG206" s="172"/>
      <c r="AH206" s="172"/>
      <c r="AI206" s="172"/>
      <c r="AJ206" s="172"/>
      <c r="AK206" s="173"/>
    </row>
    <row r="207" spans="1:37" ht="15.75" customHeight="1" x14ac:dyDescent="0.25">
      <c r="A207" s="95"/>
      <c r="B207" s="271"/>
      <c r="C207" s="95"/>
      <c r="D207" s="95"/>
      <c r="E207" s="172"/>
      <c r="F207" s="172"/>
      <c r="G207" s="172"/>
      <c r="H207" s="172"/>
      <c r="I207" s="172"/>
      <c r="J207" s="172"/>
      <c r="K207" s="172"/>
      <c r="L207" s="172"/>
      <c r="M207" s="172"/>
      <c r="N207" s="172"/>
      <c r="O207" s="172"/>
      <c r="P207" s="172"/>
      <c r="Q207" s="172"/>
      <c r="R207" s="172"/>
      <c r="S207" s="172"/>
      <c r="T207" s="172"/>
      <c r="U207" s="172"/>
      <c r="V207" s="172"/>
      <c r="W207" s="172"/>
      <c r="X207" s="172"/>
      <c r="Y207" s="172"/>
      <c r="Z207" s="172"/>
      <c r="AA207" s="172"/>
      <c r="AB207" s="172"/>
      <c r="AC207" s="172"/>
      <c r="AD207" s="172"/>
      <c r="AE207" s="172"/>
      <c r="AF207" s="172"/>
      <c r="AG207" s="172"/>
      <c r="AH207" s="172"/>
      <c r="AI207" s="172"/>
      <c r="AJ207" s="172"/>
      <c r="AK207" s="173"/>
    </row>
    <row r="208" spans="1:37" ht="15.75" customHeight="1" x14ac:dyDescent="0.25">
      <c r="A208" s="95"/>
      <c r="B208" s="271"/>
      <c r="C208" s="97"/>
      <c r="D208" s="95"/>
      <c r="E208" s="172"/>
      <c r="F208" s="172"/>
      <c r="G208" s="172"/>
      <c r="H208" s="172"/>
      <c r="I208" s="172"/>
      <c r="J208" s="172"/>
      <c r="K208" s="172"/>
      <c r="L208" s="172"/>
      <c r="M208" s="172"/>
      <c r="N208" s="172"/>
      <c r="O208" s="172"/>
      <c r="P208" s="172"/>
      <c r="Q208" s="172"/>
      <c r="R208" s="172"/>
      <c r="S208" s="172"/>
      <c r="T208" s="172"/>
      <c r="U208" s="172"/>
      <c r="V208" s="172"/>
      <c r="W208" s="172"/>
      <c r="X208" s="172"/>
      <c r="Y208" s="172"/>
      <c r="Z208" s="172"/>
      <c r="AA208" s="172"/>
      <c r="AB208" s="172"/>
      <c r="AC208" s="172"/>
      <c r="AD208" s="172"/>
      <c r="AE208" s="172"/>
      <c r="AF208" s="172"/>
      <c r="AG208" s="172"/>
      <c r="AH208" s="172"/>
      <c r="AI208" s="172"/>
      <c r="AJ208" s="172"/>
      <c r="AK208" s="173"/>
    </row>
    <row r="209" spans="1:37" ht="15.75" customHeight="1" x14ac:dyDescent="0.25">
      <c r="A209" s="95"/>
      <c r="B209" s="288"/>
      <c r="C209" s="95"/>
      <c r="D209" s="95"/>
      <c r="E209" s="172"/>
      <c r="F209" s="172"/>
      <c r="G209" s="172"/>
      <c r="H209" s="172"/>
      <c r="I209" s="172"/>
      <c r="J209" s="172"/>
      <c r="K209" s="172"/>
      <c r="L209" s="172"/>
      <c r="M209" s="172"/>
      <c r="N209" s="172"/>
      <c r="O209" s="172"/>
      <c r="P209" s="172"/>
      <c r="Q209" s="172"/>
      <c r="R209" s="172"/>
      <c r="S209" s="172"/>
      <c r="T209" s="172"/>
      <c r="U209" s="172"/>
      <c r="V209" s="172"/>
      <c r="W209" s="172"/>
      <c r="X209" s="172"/>
      <c r="Y209" s="172"/>
      <c r="Z209" s="172"/>
      <c r="AA209" s="172"/>
      <c r="AB209" s="172"/>
      <c r="AC209" s="172"/>
      <c r="AD209" s="172"/>
      <c r="AE209" s="172"/>
      <c r="AF209" s="172"/>
      <c r="AG209" s="172"/>
      <c r="AH209" s="172"/>
      <c r="AI209" s="172"/>
      <c r="AJ209" s="172"/>
      <c r="AK209" s="173"/>
    </row>
    <row r="210" spans="1:37" ht="15.75" customHeight="1" x14ac:dyDescent="0.25">
      <c r="A210" s="95"/>
      <c r="B210" s="271"/>
      <c r="C210" s="95"/>
      <c r="D210" s="95"/>
      <c r="E210" s="172"/>
      <c r="F210" s="172"/>
      <c r="G210" s="172"/>
      <c r="H210" s="172"/>
      <c r="I210" s="172"/>
      <c r="J210" s="172"/>
      <c r="K210" s="172"/>
      <c r="L210" s="172"/>
      <c r="M210" s="172"/>
      <c r="N210" s="172"/>
      <c r="O210" s="172"/>
      <c r="P210" s="172"/>
      <c r="Q210" s="172"/>
      <c r="R210" s="172"/>
      <c r="S210" s="172"/>
      <c r="T210" s="172"/>
      <c r="U210" s="172"/>
      <c r="V210" s="172"/>
      <c r="W210" s="172"/>
      <c r="X210" s="172"/>
      <c r="Y210" s="172"/>
      <c r="Z210" s="172"/>
      <c r="AA210" s="172"/>
      <c r="AB210" s="172"/>
      <c r="AC210" s="172"/>
      <c r="AD210" s="172"/>
      <c r="AE210" s="172"/>
      <c r="AF210" s="172"/>
      <c r="AG210" s="172"/>
      <c r="AH210" s="172"/>
      <c r="AI210" s="172"/>
      <c r="AJ210" s="172"/>
      <c r="AK210" s="173"/>
    </row>
    <row r="211" spans="1:37" ht="15.75" customHeight="1" x14ac:dyDescent="0.25">
      <c r="A211" s="95"/>
      <c r="B211" s="271"/>
      <c r="C211" s="95"/>
      <c r="D211" s="95"/>
      <c r="E211" s="172"/>
      <c r="F211" s="172"/>
      <c r="G211" s="172"/>
      <c r="H211" s="172"/>
      <c r="I211" s="172"/>
      <c r="J211" s="172"/>
      <c r="K211" s="172"/>
      <c r="L211" s="172"/>
      <c r="M211" s="172"/>
      <c r="N211" s="172"/>
      <c r="O211" s="172"/>
      <c r="P211" s="172"/>
      <c r="Q211" s="172"/>
      <c r="R211" s="172"/>
      <c r="S211" s="172"/>
      <c r="T211" s="172"/>
      <c r="U211" s="172"/>
      <c r="V211" s="172"/>
      <c r="W211" s="172"/>
      <c r="X211" s="172"/>
      <c r="Y211" s="172"/>
      <c r="Z211" s="172"/>
      <c r="AA211" s="172"/>
      <c r="AB211" s="172"/>
      <c r="AC211" s="172"/>
      <c r="AD211" s="172"/>
      <c r="AE211" s="172"/>
      <c r="AF211" s="172"/>
      <c r="AG211" s="172"/>
      <c r="AH211" s="172"/>
      <c r="AI211" s="172"/>
      <c r="AJ211" s="172"/>
      <c r="AK211" s="173"/>
    </row>
    <row r="212" spans="1:37" ht="15.75" customHeight="1" x14ac:dyDescent="0.25">
      <c r="A212" s="95"/>
      <c r="B212" s="271"/>
      <c r="C212" s="95"/>
      <c r="D212" s="95"/>
      <c r="E212" s="172"/>
      <c r="F212" s="172"/>
      <c r="G212" s="172"/>
      <c r="H212" s="172"/>
      <c r="I212" s="172"/>
      <c r="J212" s="172"/>
      <c r="K212" s="172"/>
      <c r="L212" s="172"/>
      <c r="M212" s="172"/>
      <c r="N212" s="172"/>
      <c r="O212" s="172"/>
      <c r="P212" s="172"/>
      <c r="Q212" s="172"/>
      <c r="R212" s="172"/>
      <c r="S212" s="172"/>
      <c r="T212" s="172"/>
      <c r="U212" s="172"/>
      <c r="V212" s="172"/>
      <c r="W212" s="172"/>
      <c r="X212" s="172"/>
      <c r="Y212" s="172"/>
      <c r="Z212" s="172"/>
      <c r="AA212" s="172"/>
      <c r="AB212" s="172"/>
      <c r="AC212" s="172"/>
      <c r="AD212" s="172"/>
      <c r="AE212" s="172"/>
      <c r="AF212" s="172"/>
      <c r="AG212" s="172"/>
      <c r="AH212" s="172"/>
      <c r="AI212" s="172"/>
      <c r="AJ212" s="172"/>
      <c r="AK212" s="173"/>
    </row>
    <row r="213" spans="1:37" ht="15.75" customHeight="1" x14ac:dyDescent="0.25">
      <c r="A213" s="95"/>
      <c r="B213" s="271"/>
      <c r="C213" s="97"/>
      <c r="D213" s="95"/>
      <c r="E213" s="172"/>
      <c r="F213" s="172"/>
      <c r="G213" s="172"/>
      <c r="H213" s="172"/>
      <c r="I213" s="172"/>
      <c r="J213" s="172"/>
      <c r="K213" s="172"/>
      <c r="L213" s="172"/>
      <c r="M213" s="172"/>
      <c r="N213" s="172"/>
      <c r="O213" s="172"/>
      <c r="P213" s="172"/>
      <c r="Q213" s="172"/>
      <c r="R213" s="172"/>
      <c r="S213" s="172"/>
      <c r="T213" s="172"/>
      <c r="U213" s="172"/>
      <c r="V213" s="172"/>
      <c r="W213" s="172"/>
      <c r="X213" s="172"/>
      <c r="Y213" s="172"/>
      <c r="Z213" s="172"/>
      <c r="AA213" s="172"/>
      <c r="AB213" s="172"/>
      <c r="AC213" s="172"/>
      <c r="AD213" s="172"/>
      <c r="AE213" s="172"/>
      <c r="AF213" s="172"/>
      <c r="AG213" s="172"/>
      <c r="AH213" s="172"/>
      <c r="AI213" s="172"/>
      <c r="AJ213" s="172"/>
      <c r="AK213" s="173"/>
    </row>
    <row r="214" spans="1:37" ht="15.75" customHeight="1" x14ac:dyDescent="0.25">
      <c r="A214" s="95"/>
      <c r="B214" s="288"/>
      <c r="C214" s="95"/>
      <c r="D214" s="95"/>
      <c r="E214" s="172"/>
      <c r="F214" s="172"/>
      <c r="G214" s="172"/>
      <c r="H214" s="172"/>
      <c r="I214" s="172"/>
      <c r="J214" s="172"/>
      <c r="K214" s="172"/>
      <c r="L214" s="172"/>
      <c r="M214" s="172"/>
      <c r="N214" s="172"/>
      <c r="O214" s="172"/>
      <c r="P214" s="172"/>
      <c r="Q214" s="172"/>
      <c r="R214" s="172"/>
      <c r="S214" s="172"/>
      <c r="T214" s="172"/>
      <c r="U214" s="172"/>
      <c r="V214" s="172"/>
      <c r="W214" s="172"/>
      <c r="X214" s="172"/>
      <c r="Y214" s="172"/>
      <c r="Z214" s="172"/>
      <c r="AA214" s="172"/>
      <c r="AB214" s="172"/>
      <c r="AC214" s="172"/>
      <c r="AD214" s="172"/>
      <c r="AE214" s="172"/>
      <c r="AF214" s="172"/>
      <c r="AG214" s="172"/>
      <c r="AH214" s="172"/>
      <c r="AI214" s="172"/>
      <c r="AJ214" s="172"/>
      <c r="AK214" s="173"/>
    </row>
    <row r="215" spans="1:37" ht="15.75" customHeight="1" x14ac:dyDescent="0.25">
      <c r="A215" s="95"/>
      <c r="B215" s="271"/>
      <c r="C215" s="95"/>
      <c r="D215" s="95"/>
      <c r="E215" s="172"/>
      <c r="F215" s="172"/>
      <c r="G215" s="172"/>
      <c r="H215" s="172"/>
      <c r="I215" s="172"/>
      <c r="J215" s="172"/>
      <c r="K215" s="172"/>
      <c r="L215" s="172"/>
      <c r="M215" s="172"/>
      <c r="N215" s="172"/>
      <c r="O215" s="172"/>
      <c r="P215" s="172"/>
      <c r="Q215" s="172"/>
      <c r="R215" s="172"/>
      <c r="S215" s="172"/>
      <c r="T215" s="172"/>
      <c r="U215" s="172"/>
      <c r="V215" s="172"/>
      <c r="W215" s="172"/>
      <c r="X215" s="172"/>
      <c r="Y215" s="172"/>
      <c r="Z215" s="172"/>
      <c r="AA215" s="172"/>
      <c r="AB215" s="172"/>
      <c r="AC215" s="172"/>
      <c r="AD215" s="172"/>
      <c r="AE215" s="172"/>
      <c r="AF215" s="172"/>
      <c r="AG215" s="172"/>
      <c r="AH215" s="172"/>
      <c r="AI215" s="172"/>
      <c r="AJ215" s="172"/>
      <c r="AK215" s="173"/>
    </row>
    <row r="216" spans="1:37" ht="15.75" customHeight="1" x14ac:dyDescent="0.25">
      <c r="A216" s="95"/>
      <c r="B216" s="271"/>
      <c r="C216" s="95"/>
      <c r="D216" s="95"/>
      <c r="E216" s="172"/>
      <c r="F216" s="172"/>
      <c r="G216" s="172"/>
      <c r="H216" s="172"/>
      <c r="I216" s="172"/>
      <c r="J216" s="172"/>
      <c r="K216" s="172"/>
      <c r="L216" s="172"/>
      <c r="M216" s="172"/>
      <c r="N216" s="172"/>
      <c r="O216" s="172"/>
      <c r="P216" s="172"/>
      <c r="Q216" s="172"/>
      <c r="R216" s="172"/>
      <c r="S216" s="172"/>
      <c r="T216" s="172"/>
      <c r="U216" s="172"/>
      <c r="V216" s="172"/>
      <c r="W216" s="172"/>
      <c r="X216" s="172"/>
      <c r="Y216" s="172"/>
      <c r="Z216" s="172"/>
      <c r="AA216" s="172"/>
      <c r="AB216" s="172"/>
      <c r="AC216" s="172"/>
      <c r="AD216" s="172"/>
      <c r="AE216" s="172"/>
      <c r="AF216" s="172"/>
      <c r="AG216" s="172"/>
      <c r="AH216" s="172"/>
      <c r="AI216" s="172"/>
      <c r="AJ216" s="172"/>
      <c r="AK216" s="173"/>
    </row>
    <row r="217" spans="1:37" ht="15.75" customHeight="1" x14ac:dyDescent="0.25">
      <c r="A217" s="95"/>
      <c r="B217" s="271"/>
      <c r="C217" s="95"/>
      <c r="D217" s="95"/>
      <c r="E217" s="172"/>
      <c r="F217" s="172"/>
      <c r="G217" s="172"/>
      <c r="H217" s="172"/>
      <c r="I217" s="172"/>
      <c r="J217" s="172"/>
      <c r="K217" s="172"/>
      <c r="L217" s="172"/>
      <c r="M217" s="172"/>
      <c r="N217" s="172"/>
      <c r="O217" s="172"/>
      <c r="P217" s="172"/>
      <c r="Q217" s="172"/>
      <c r="R217" s="172"/>
      <c r="S217" s="172"/>
      <c r="T217" s="172"/>
      <c r="U217" s="172"/>
      <c r="V217" s="172"/>
      <c r="W217" s="172"/>
      <c r="X217" s="172"/>
      <c r="Y217" s="172"/>
      <c r="Z217" s="172"/>
      <c r="AA217" s="172"/>
      <c r="AB217" s="172"/>
      <c r="AC217" s="172"/>
      <c r="AD217" s="172"/>
      <c r="AE217" s="172"/>
      <c r="AF217" s="172"/>
      <c r="AG217" s="172"/>
      <c r="AH217" s="172"/>
      <c r="AI217" s="172"/>
      <c r="AJ217" s="172"/>
      <c r="AK217" s="173"/>
    </row>
    <row r="218" spans="1:37" ht="15.75" customHeight="1" x14ac:dyDescent="0.25">
      <c r="A218" s="95"/>
      <c r="B218" s="271"/>
      <c r="C218" s="97"/>
      <c r="D218" s="95"/>
      <c r="E218" s="172"/>
      <c r="F218" s="172"/>
      <c r="G218" s="172"/>
      <c r="H218" s="172"/>
      <c r="I218" s="172"/>
      <c r="J218" s="172"/>
      <c r="K218" s="172"/>
      <c r="L218" s="172"/>
      <c r="M218" s="172"/>
      <c r="N218" s="172"/>
      <c r="O218" s="172"/>
      <c r="P218" s="172"/>
      <c r="Q218" s="172"/>
      <c r="R218" s="172"/>
      <c r="S218" s="172"/>
      <c r="T218" s="172"/>
      <c r="U218" s="172"/>
      <c r="V218" s="172"/>
      <c r="W218" s="172"/>
      <c r="X218" s="172"/>
      <c r="Y218" s="172"/>
      <c r="Z218" s="172"/>
      <c r="AA218" s="172"/>
      <c r="AB218" s="172"/>
      <c r="AC218" s="172"/>
      <c r="AD218" s="172"/>
      <c r="AE218" s="172"/>
      <c r="AF218" s="172"/>
      <c r="AG218" s="172"/>
      <c r="AH218" s="172"/>
      <c r="AI218" s="172"/>
      <c r="AJ218" s="172"/>
      <c r="AK218" s="173"/>
    </row>
    <row r="219" spans="1:37" ht="15.75" customHeight="1" x14ac:dyDescent="0.25">
      <c r="A219" s="95"/>
      <c r="B219" s="288"/>
      <c r="C219" s="95"/>
      <c r="D219" s="95"/>
      <c r="E219" s="172"/>
      <c r="F219" s="172"/>
      <c r="G219" s="172"/>
      <c r="H219" s="172"/>
      <c r="I219" s="172"/>
      <c r="J219" s="172"/>
      <c r="K219" s="172"/>
      <c r="L219" s="172"/>
      <c r="M219" s="172"/>
      <c r="N219" s="172"/>
      <c r="O219" s="172"/>
      <c r="P219" s="172"/>
      <c r="Q219" s="172"/>
      <c r="R219" s="172"/>
      <c r="S219" s="172"/>
      <c r="T219" s="172"/>
      <c r="U219" s="172"/>
      <c r="V219" s="172"/>
      <c r="W219" s="172"/>
      <c r="X219" s="172"/>
      <c r="Y219" s="172"/>
      <c r="Z219" s="172"/>
      <c r="AA219" s="172"/>
      <c r="AB219" s="172"/>
      <c r="AC219" s="172"/>
      <c r="AD219" s="172"/>
      <c r="AE219" s="172"/>
      <c r="AF219" s="172"/>
      <c r="AG219" s="172"/>
      <c r="AH219" s="172"/>
      <c r="AI219" s="172"/>
      <c r="AJ219" s="172"/>
      <c r="AK219" s="173"/>
    </row>
    <row r="220" spans="1:37" ht="15.75" customHeight="1" x14ac:dyDescent="0.25">
      <c r="A220" s="95"/>
      <c r="B220" s="271"/>
      <c r="C220" s="95"/>
      <c r="D220" s="95"/>
      <c r="E220" s="172"/>
      <c r="F220" s="172"/>
      <c r="G220" s="172"/>
      <c r="H220" s="172"/>
      <c r="I220" s="172"/>
      <c r="J220" s="172"/>
      <c r="K220" s="172"/>
      <c r="L220" s="172"/>
      <c r="M220" s="172"/>
      <c r="N220" s="172"/>
      <c r="O220" s="172"/>
      <c r="P220" s="172"/>
      <c r="Q220" s="172"/>
      <c r="R220" s="172"/>
      <c r="S220" s="172"/>
      <c r="T220" s="172"/>
      <c r="U220" s="172"/>
      <c r="V220" s="172"/>
      <c r="W220" s="172"/>
      <c r="X220" s="172"/>
      <c r="Y220" s="172"/>
      <c r="Z220" s="172"/>
      <c r="AA220" s="172"/>
      <c r="AB220" s="172"/>
      <c r="AC220" s="172"/>
      <c r="AD220" s="172"/>
      <c r="AE220" s="172"/>
      <c r="AF220" s="172"/>
      <c r="AG220" s="172"/>
      <c r="AH220" s="172"/>
      <c r="AI220" s="172"/>
      <c r="AJ220" s="172"/>
      <c r="AK220" s="173"/>
    </row>
    <row r="221" spans="1:37" ht="15.75" customHeight="1" x14ac:dyDescent="0.25">
      <c r="A221" s="95"/>
      <c r="B221" s="271"/>
      <c r="C221" s="95"/>
      <c r="D221" s="95"/>
      <c r="E221" s="172"/>
      <c r="F221" s="172"/>
      <c r="G221" s="172"/>
      <c r="H221" s="172"/>
      <c r="I221" s="172"/>
      <c r="J221" s="172"/>
      <c r="K221" s="172"/>
      <c r="L221" s="172"/>
      <c r="M221" s="172"/>
      <c r="N221" s="172"/>
      <c r="O221" s="172"/>
      <c r="P221" s="172"/>
      <c r="Q221" s="172"/>
      <c r="R221" s="172"/>
      <c r="S221" s="172"/>
      <c r="T221" s="172"/>
      <c r="U221" s="172"/>
      <c r="V221" s="172"/>
      <c r="W221" s="172"/>
      <c r="X221" s="172"/>
      <c r="Y221" s="172"/>
      <c r="Z221" s="172"/>
      <c r="AA221" s="172"/>
      <c r="AB221" s="172"/>
      <c r="AC221" s="172"/>
      <c r="AD221" s="172"/>
      <c r="AE221" s="172"/>
      <c r="AF221" s="172"/>
      <c r="AG221" s="172"/>
      <c r="AH221" s="172"/>
      <c r="AI221" s="172"/>
      <c r="AJ221" s="172"/>
      <c r="AK221" s="173"/>
    </row>
    <row r="222" spans="1:37" ht="15.75" customHeight="1" x14ac:dyDescent="0.25">
      <c r="A222" s="95"/>
      <c r="B222" s="271"/>
      <c r="C222" s="95"/>
      <c r="D222" s="95"/>
      <c r="E222" s="172"/>
      <c r="F222" s="172"/>
      <c r="G222" s="172"/>
      <c r="H222" s="172"/>
      <c r="I222" s="172"/>
      <c r="J222" s="172"/>
      <c r="K222" s="172"/>
      <c r="L222" s="172"/>
      <c r="M222" s="172"/>
      <c r="N222" s="172"/>
      <c r="O222" s="172"/>
      <c r="P222" s="172"/>
      <c r="Q222" s="172"/>
      <c r="R222" s="172"/>
      <c r="S222" s="172"/>
      <c r="T222" s="172"/>
      <c r="U222" s="172"/>
      <c r="V222" s="172"/>
      <c r="W222" s="172"/>
      <c r="X222" s="172"/>
      <c r="Y222" s="172"/>
      <c r="Z222" s="172"/>
      <c r="AA222" s="172"/>
      <c r="AB222" s="172"/>
      <c r="AC222" s="172"/>
      <c r="AD222" s="172"/>
      <c r="AE222" s="172"/>
      <c r="AF222" s="172"/>
      <c r="AG222" s="172"/>
      <c r="AH222" s="172"/>
      <c r="AI222" s="172"/>
      <c r="AJ222" s="172"/>
      <c r="AK222" s="173"/>
    </row>
    <row r="223" spans="1:37" ht="15.75" customHeight="1" x14ac:dyDescent="0.25">
      <c r="A223" s="95"/>
      <c r="B223" s="271"/>
      <c r="C223" s="97"/>
      <c r="D223" s="95"/>
      <c r="E223" s="172"/>
      <c r="F223" s="172"/>
      <c r="G223" s="172"/>
      <c r="H223" s="172"/>
      <c r="I223" s="172"/>
      <c r="J223" s="172"/>
      <c r="K223" s="172"/>
      <c r="L223" s="172"/>
      <c r="M223" s="172"/>
      <c r="N223" s="172"/>
      <c r="O223" s="172"/>
      <c r="P223" s="172"/>
      <c r="Q223" s="172"/>
      <c r="R223" s="172"/>
      <c r="S223" s="172"/>
      <c r="T223" s="172"/>
      <c r="U223" s="172"/>
      <c r="V223" s="172"/>
      <c r="W223" s="172"/>
      <c r="X223" s="172"/>
      <c r="Y223" s="172"/>
      <c r="Z223" s="172"/>
      <c r="AA223" s="172"/>
      <c r="AB223" s="172"/>
      <c r="AC223" s="172"/>
      <c r="AD223" s="172"/>
      <c r="AE223" s="172"/>
      <c r="AF223" s="172"/>
      <c r="AG223" s="172"/>
      <c r="AH223" s="172"/>
      <c r="AI223" s="172"/>
      <c r="AJ223" s="172"/>
      <c r="AK223" s="173"/>
    </row>
    <row r="224" spans="1:37" ht="15.75" customHeight="1" x14ac:dyDescent="0.25">
      <c r="A224" s="95"/>
      <c r="B224" s="288"/>
      <c r="C224" s="95"/>
      <c r="D224" s="95"/>
      <c r="E224" s="172"/>
      <c r="F224" s="172"/>
      <c r="G224" s="172"/>
      <c r="H224" s="172"/>
      <c r="I224" s="172"/>
      <c r="J224" s="172"/>
      <c r="K224" s="172"/>
      <c r="L224" s="172"/>
      <c r="M224" s="172"/>
      <c r="N224" s="172"/>
      <c r="O224" s="172"/>
      <c r="P224" s="172"/>
      <c r="Q224" s="172"/>
      <c r="R224" s="172"/>
      <c r="S224" s="172"/>
      <c r="T224" s="172"/>
      <c r="U224" s="172"/>
      <c r="V224" s="172"/>
      <c r="W224" s="172"/>
      <c r="X224" s="172"/>
      <c r="Y224" s="172"/>
      <c r="Z224" s="172"/>
      <c r="AA224" s="172"/>
      <c r="AB224" s="172"/>
      <c r="AC224" s="172"/>
      <c r="AD224" s="172"/>
      <c r="AE224" s="172"/>
      <c r="AF224" s="172"/>
      <c r="AG224" s="172"/>
      <c r="AH224" s="172"/>
      <c r="AI224" s="172"/>
      <c r="AJ224" s="172"/>
      <c r="AK224" s="173"/>
    </row>
    <row r="225" spans="1:37" ht="15.75" customHeight="1" x14ac:dyDescent="0.25">
      <c r="A225" s="95"/>
      <c r="B225" s="271"/>
      <c r="C225" s="95"/>
      <c r="D225" s="95"/>
      <c r="E225" s="172"/>
      <c r="F225" s="172"/>
      <c r="G225" s="172"/>
      <c r="H225" s="172"/>
      <c r="I225" s="172"/>
      <c r="J225" s="172"/>
      <c r="K225" s="172"/>
      <c r="L225" s="172"/>
      <c r="M225" s="172"/>
      <c r="N225" s="172"/>
      <c r="O225" s="172"/>
      <c r="P225" s="172"/>
      <c r="Q225" s="172"/>
      <c r="R225" s="172"/>
      <c r="S225" s="172"/>
      <c r="T225" s="172"/>
      <c r="U225" s="172"/>
      <c r="V225" s="172"/>
      <c r="W225" s="172"/>
      <c r="X225" s="172"/>
      <c r="Y225" s="172"/>
      <c r="Z225" s="172"/>
      <c r="AA225" s="172"/>
      <c r="AB225" s="172"/>
      <c r="AC225" s="172"/>
      <c r="AD225" s="172"/>
      <c r="AE225" s="172"/>
      <c r="AF225" s="172"/>
      <c r="AG225" s="172"/>
      <c r="AH225" s="172"/>
      <c r="AI225" s="172"/>
      <c r="AJ225" s="172"/>
      <c r="AK225" s="173"/>
    </row>
    <row r="226" spans="1:37" ht="15.75" customHeight="1" x14ac:dyDescent="0.25">
      <c r="A226" s="95"/>
      <c r="B226" s="271"/>
      <c r="C226" s="95"/>
      <c r="D226" s="95"/>
      <c r="E226" s="172"/>
      <c r="F226" s="172"/>
      <c r="G226" s="172"/>
      <c r="H226" s="172"/>
      <c r="I226" s="172"/>
      <c r="J226" s="172"/>
      <c r="K226" s="172"/>
      <c r="L226" s="172"/>
      <c r="M226" s="172"/>
      <c r="N226" s="172"/>
      <c r="O226" s="172"/>
      <c r="P226" s="172"/>
      <c r="Q226" s="172"/>
      <c r="R226" s="172"/>
      <c r="S226" s="172"/>
      <c r="T226" s="172"/>
      <c r="U226" s="172"/>
      <c r="V226" s="172"/>
      <c r="W226" s="172"/>
      <c r="X226" s="172"/>
      <c r="Y226" s="172"/>
      <c r="Z226" s="172"/>
      <c r="AA226" s="172"/>
      <c r="AB226" s="172"/>
      <c r="AC226" s="172"/>
      <c r="AD226" s="172"/>
      <c r="AE226" s="172"/>
      <c r="AF226" s="172"/>
      <c r="AG226" s="172"/>
      <c r="AH226" s="172"/>
      <c r="AI226" s="172"/>
      <c r="AJ226" s="172"/>
      <c r="AK226" s="173"/>
    </row>
    <row r="227" spans="1:37" ht="15.75" customHeight="1" x14ac:dyDescent="0.25">
      <c r="A227" s="95"/>
      <c r="B227" s="271"/>
      <c r="C227" s="95"/>
      <c r="D227" s="95"/>
      <c r="E227" s="172"/>
      <c r="F227" s="172"/>
      <c r="G227" s="172"/>
      <c r="H227" s="172"/>
      <c r="I227" s="172"/>
      <c r="J227" s="172"/>
      <c r="K227" s="172"/>
      <c r="L227" s="172"/>
      <c r="M227" s="172"/>
      <c r="N227" s="172"/>
      <c r="O227" s="172"/>
      <c r="P227" s="172"/>
      <c r="Q227" s="172"/>
      <c r="R227" s="172"/>
      <c r="S227" s="172"/>
      <c r="T227" s="172"/>
      <c r="U227" s="172"/>
      <c r="V227" s="172"/>
      <c r="W227" s="172"/>
      <c r="X227" s="172"/>
      <c r="Y227" s="172"/>
      <c r="Z227" s="172"/>
      <c r="AA227" s="172"/>
      <c r="AB227" s="172"/>
      <c r="AC227" s="172"/>
      <c r="AD227" s="172"/>
      <c r="AE227" s="172"/>
      <c r="AF227" s="172"/>
      <c r="AG227" s="172"/>
      <c r="AH227" s="172"/>
      <c r="AI227" s="172"/>
      <c r="AJ227" s="172"/>
      <c r="AK227" s="173"/>
    </row>
    <row r="228" spans="1:37" ht="15.75" customHeight="1" x14ac:dyDescent="0.25">
      <c r="A228" s="95"/>
      <c r="B228" s="271"/>
      <c r="C228" s="97"/>
      <c r="D228" s="95"/>
      <c r="E228" s="172"/>
      <c r="F228" s="172"/>
      <c r="G228" s="172"/>
      <c r="H228" s="172"/>
      <c r="I228" s="172"/>
      <c r="J228" s="172"/>
      <c r="K228" s="172"/>
      <c r="L228" s="172"/>
      <c r="M228" s="172"/>
      <c r="N228" s="172"/>
      <c r="O228" s="172"/>
      <c r="P228" s="172"/>
      <c r="Q228" s="172"/>
      <c r="R228" s="172"/>
      <c r="S228" s="172"/>
      <c r="T228" s="172"/>
      <c r="U228" s="172"/>
      <c r="V228" s="172"/>
      <c r="W228" s="172"/>
      <c r="X228" s="172"/>
      <c r="Y228" s="172"/>
      <c r="Z228" s="172"/>
      <c r="AA228" s="172"/>
      <c r="AB228" s="172"/>
      <c r="AC228" s="172"/>
      <c r="AD228" s="172"/>
      <c r="AE228" s="172"/>
      <c r="AF228" s="172"/>
      <c r="AG228" s="172"/>
      <c r="AH228" s="172"/>
      <c r="AI228" s="172"/>
      <c r="AJ228" s="172"/>
      <c r="AK228" s="173"/>
    </row>
    <row r="229" spans="1:37" ht="15.75" customHeight="1" x14ac:dyDescent="0.2"/>
    <row r="230" spans="1:37" ht="15.75" customHeight="1" x14ac:dyDescent="0.2"/>
    <row r="231" spans="1:37" ht="15.75" customHeight="1" x14ac:dyDescent="0.2"/>
    <row r="232" spans="1:37" ht="15.75" customHeight="1" x14ac:dyDescent="0.2"/>
    <row r="233" spans="1:37" ht="15.75" customHeight="1" x14ac:dyDescent="0.2"/>
    <row r="234" spans="1:37" ht="15.75" customHeight="1" x14ac:dyDescent="0.2"/>
    <row r="235" spans="1:37" ht="15.75" customHeight="1" x14ac:dyDescent="0.2"/>
    <row r="236" spans="1:37" ht="15.75" customHeight="1" x14ac:dyDescent="0.2"/>
    <row r="237" spans="1:37" ht="15.75" customHeight="1" x14ac:dyDescent="0.2"/>
    <row r="238" spans="1:37" ht="15.75" customHeight="1" x14ac:dyDescent="0.2"/>
    <row r="239" spans="1:37" ht="15.75" customHeight="1" x14ac:dyDescent="0.2"/>
    <row r="240" spans="1:37"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45">
    <mergeCell ref="F1:H2"/>
    <mergeCell ref="B4:B8"/>
    <mergeCell ref="B9:B13"/>
    <mergeCell ref="B14:B18"/>
    <mergeCell ref="B19:B23"/>
    <mergeCell ref="B24:B28"/>
    <mergeCell ref="B34:B38"/>
    <mergeCell ref="B39:B43"/>
    <mergeCell ref="B44:B48"/>
    <mergeCell ref="B49:B53"/>
    <mergeCell ref="B54:B58"/>
    <mergeCell ref="B59:B63"/>
    <mergeCell ref="B64:B68"/>
    <mergeCell ref="B69:B73"/>
    <mergeCell ref="B74:B78"/>
    <mergeCell ref="B79:B83"/>
    <mergeCell ref="B84:B88"/>
    <mergeCell ref="B89:B93"/>
    <mergeCell ref="B94:B98"/>
    <mergeCell ref="B99:B103"/>
    <mergeCell ref="B104:B108"/>
    <mergeCell ref="B109:B113"/>
    <mergeCell ref="B114:B118"/>
    <mergeCell ref="B119:B123"/>
    <mergeCell ref="B124:B128"/>
    <mergeCell ref="B129:B133"/>
    <mergeCell ref="B134:B138"/>
    <mergeCell ref="B139:B143"/>
    <mergeCell ref="B144:B148"/>
    <mergeCell ref="B149:B153"/>
    <mergeCell ref="B154:B158"/>
    <mergeCell ref="B159:B163"/>
    <mergeCell ref="B164:B168"/>
    <mergeCell ref="B169:B173"/>
    <mergeCell ref="B174:B178"/>
    <mergeCell ref="B214:B218"/>
    <mergeCell ref="B219:B223"/>
    <mergeCell ref="B224:B228"/>
    <mergeCell ref="B179:B183"/>
    <mergeCell ref="B184:B188"/>
    <mergeCell ref="B189:B193"/>
    <mergeCell ref="B194:B198"/>
    <mergeCell ref="B199:B203"/>
    <mergeCell ref="B204:B208"/>
    <mergeCell ref="B209:B213"/>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AI1000"/>
  <sheetViews>
    <sheetView workbookViewId="0">
      <pane xSplit="2" ySplit="2" topLeftCell="C3" activePane="bottomRight" state="frozen"/>
      <selection pane="topRight" activeCell="C1" sqref="C1"/>
      <selection pane="bottomLeft" activeCell="A3" sqref="A3"/>
      <selection pane="bottomRight" activeCell="C3" sqref="C3"/>
    </sheetView>
  </sheetViews>
  <sheetFormatPr defaultColWidth="12.5703125" defaultRowHeight="15" customHeight="1" outlineLevelRow="1" x14ac:dyDescent="0.2"/>
  <cols>
    <col min="1" max="1" width="7.42578125" customWidth="1"/>
    <col min="2" max="2" width="8.42578125" customWidth="1"/>
    <col min="3" max="3" width="23.42578125" customWidth="1"/>
    <col min="4" max="4" width="12.5703125" hidden="1" customWidth="1"/>
    <col min="5" max="6" width="12.5703125" customWidth="1"/>
  </cols>
  <sheetData>
    <row r="1" spans="1:35" ht="28.5" customHeight="1" x14ac:dyDescent="0.2">
      <c r="A1" s="48"/>
      <c r="B1" s="48"/>
      <c r="C1" s="48"/>
      <c r="D1" s="48"/>
      <c r="E1" s="48"/>
      <c r="F1" s="272"/>
      <c r="G1" s="271"/>
      <c r="H1" s="271"/>
      <c r="I1" s="48"/>
      <c r="J1" s="48"/>
      <c r="K1" s="48"/>
      <c r="L1" s="48"/>
      <c r="M1" s="48"/>
      <c r="N1" s="48"/>
      <c r="O1" s="48"/>
      <c r="P1" s="48"/>
      <c r="Q1" s="48"/>
      <c r="R1" s="48"/>
      <c r="S1" s="48"/>
      <c r="T1" s="48"/>
      <c r="U1" s="48"/>
      <c r="V1" s="48"/>
      <c r="W1" s="48"/>
      <c r="X1" s="48"/>
      <c r="Y1" s="48"/>
      <c r="Z1" s="48"/>
      <c r="AA1" s="48"/>
      <c r="AB1" s="48"/>
      <c r="AC1" s="48"/>
      <c r="AD1" s="48"/>
      <c r="AE1" s="48"/>
      <c r="AF1" s="48"/>
      <c r="AG1" s="48"/>
      <c r="AH1" s="48"/>
      <c r="AI1" s="48"/>
    </row>
    <row r="2" spans="1:35" ht="28.5" customHeight="1" x14ac:dyDescent="0.2">
      <c r="A2" s="48"/>
      <c r="B2" s="48"/>
      <c r="C2" s="48"/>
      <c r="D2" s="48"/>
      <c r="E2" s="48"/>
      <c r="F2" s="271"/>
      <c r="G2" s="271"/>
      <c r="H2" s="271"/>
      <c r="I2" s="48"/>
      <c r="J2" s="48"/>
      <c r="K2" s="48"/>
      <c r="L2" s="48"/>
      <c r="M2" s="48"/>
      <c r="N2" s="48"/>
      <c r="O2" s="48"/>
      <c r="P2" s="48"/>
      <c r="Q2" s="48"/>
      <c r="R2" s="48"/>
      <c r="S2" s="48"/>
      <c r="T2" s="48"/>
      <c r="U2" s="48"/>
      <c r="V2" s="48"/>
      <c r="W2" s="48"/>
      <c r="X2" s="48"/>
      <c r="Y2" s="48"/>
      <c r="Z2" s="48"/>
      <c r="AA2" s="48"/>
      <c r="AB2" s="48"/>
      <c r="AC2" s="48"/>
      <c r="AD2" s="48"/>
      <c r="AE2" s="48"/>
      <c r="AF2" s="48"/>
      <c r="AG2" s="48"/>
      <c r="AH2" s="48"/>
      <c r="AI2" s="48"/>
    </row>
    <row r="3" spans="1:35" ht="15.75" customHeight="1" x14ac:dyDescent="0.25">
      <c r="A3" s="95"/>
      <c r="B3" s="174" t="s">
        <v>51</v>
      </c>
      <c r="C3" s="175" t="s">
        <v>52</v>
      </c>
      <c r="D3" s="142"/>
      <c r="E3" s="142">
        <f ca="1">meta_sheet!A3</f>
        <v>46235</v>
      </c>
      <c r="F3" s="142">
        <f t="shared" ref="F3:AI3" ca="1" si="0">E3+1</f>
        <v>46236</v>
      </c>
      <c r="G3" s="142">
        <f t="shared" ca="1" si="0"/>
        <v>46237</v>
      </c>
      <c r="H3" s="142">
        <f t="shared" ca="1" si="0"/>
        <v>46238</v>
      </c>
      <c r="I3" s="142">
        <f t="shared" ca="1" si="0"/>
        <v>46239</v>
      </c>
      <c r="J3" s="142">
        <f t="shared" ca="1" si="0"/>
        <v>46240</v>
      </c>
      <c r="K3" s="142">
        <f t="shared" ca="1" si="0"/>
        <v>46241</v>
      </c>
      <c r="L3" s="142">
        <f t="shared" ca="1" si="0"/>
        <v>46242</v>
      </c>
      <c r="M3" s="142">
        <f t="shared" ca="1" si="0"/>
        <v>46243</v>
      </c>
      <c r="N3" s="142">
        <f t="shared" ca="1" si="0"/>
        <v>46244</v>
      </c>
      <c r="O3" s="142">
        <f t="shared" ca="1" si="0"/>
        <v>46245</v>
      </c>
      <c r="P3" s="142">
        <f t="shared" ca="1" si="0"/>
        <v>46246</v>
      </c>
      <c r="Q3" s="142">
        <f t="shared" ca="1" si="0"/>
        <v>46247</v>
      </c>
      <c r="R3" s="142">
        <f t="shared" ca="1" si="0"/>
        <v>46248</v>
      </c>
      <c r="S3" s="142">
        <f t="shared" ca="1" si="0"/>
        <v>46249</v>
      </c>
      <c r="T3" s="142">
        <f t="shared" ca="1" si="0"/>
        <v>46250</v>
      </c>
      <c r="U3" s="142">
        <f t="shared" ca="1" si="0"/>
        <v>46251</v>
      </c>
      <c r="V3" s="142">
        <f t="shared" ca="1" si="0"/>
        <v>46252</v>
      </c>
      <c r="W3" s="142">
        <f t="shared" ca="1" si="0"/>
        <v>46253</v>
      </c>
      <c r="X3" s="142">
        <f t="shared" ca="1" si="0"/>
        <v>46254</v>
      </c>
      <c r="Y3" s="142">
        <f t="shared" ca="1" si="0"/>
        <v>46255</v>
      </c>
      <c r="Z3" s="142">
        <f t="shared" ca="1" si="0"/>
        <v>46256</v>
      </c>
      <c r="AA3" s="142">
        <f t="shared" ca="1" si="0"/>
        <v>46257</v>
      </c>
      <c r="AB3" s="142">
        <f t="shared" ca="1" si="0"/>
        <v>46258</v>
      </c>
      <c r="AC3" s="142">
        <f t="shared" ca="1" si="0"/>
        <v>46259</v>
      </c>
      <c r="AD3" s="142">
        <f t="shared" ca="1" si="0"/>
        <v>46260</v>
      </c>
      <c r="AE3" s="142">
        <f t="shared" ca="1" si="0"/>
        <v>46261</v>
      </c>
      <c r="AF3" s="142">
        <f t="shared" ca="1" si="0"/>
        <v>46262</v>
      </c>
      <c r="AG3" s="142">
        <f t="shared" ca="1" si="0"/>
        <v>46263</v>
      </c>
      <c r="AH3" s="142">
        <f t="shared" ca="1" si="0"/>
        <v>46264</v>
      </c>
      <c r="AI3" s="176">
        <f t="shared" ca="1" si="0"/>
        <v>46265</v>
      </c>
    </row>
    <row r="4" spans="1:35" ht="15.75" customHeight="1" outlineLevel="1" x14ac:dyDescent="0.25">
      <c r="A4" s="95"/>
      <c r="B4" s="295" t="s">
        <v>53</v>
      </c>
      <c r="C4" s="177" t="s">
        <v>6</v>
      </c>
      <c r="D4" s="178">
        <v>12819</v>
      </c>
      <c r="E4" s="179">
        <f ca="1">IFERROR(HLOOKUP($D4,'Monthly report'!$B$6:$F$37,COLUMN(B2),0),"-")</f>
        <v>1522.6202868851833</v>
      </c>
      <c r="F4" s="179">
        <f ca="1">IFERROR(HLOOKUP($D4,'Monthly report'!$B$6:$F$37,COLUMN(C2),0),"-")</f>
        <v>868.43755209771916</v>
      </c>
      <c r="G4" s="179">
        <f ca="1">IFERROR(HLOOKUP($D4,'Monthly report'!$B$6:$F$37,COLUMN(D2),0),"-")</f>
        <v>1891.6046610171907</v>
      </c>
      <c r="H4" s="179">
        <f ca="1">IFERROR(HLOOKUP($D4,'Monthly report'!$B$6:$F$37,COLUMN(E2),0),"-")</f>
        <v>1908.8125</v>
      </c>
      <c r="I4" s="179">
        <f ca="1">IFERROR(HLOOKUP($D4,'Monthly report'!$B$6:$F$37,COLUMN(F2),0),"-")</f>
        <v>1813.5</v>
      </c>
      <c r="J4" s="179">
        <f ca="1">IFERROR(HLOOKUP($D4,'Monthly report'!$B$6:$F$37,COLUMN(G2),0),"-")</f>
        <v>1902.2791666663252</v>
      </c>
      <c r="K4" s="179">
        <f ca="1">IFERROR(HLOOKUP($D4,'Monthly report'!$B$6:$F$37,COLUMN(H2),0),"-")</f>
        <v>1833.4083333336748</v>
      </c>
      <c r="L4" s="179">
        <f ca="1">IFERROR(HLOOKUP($D4,'Monthly report'!$B$6:$F$37,COLUMN(I2),0),"-")</f>
        <v>1103.4749999996275</v>
      </c>
      <c r="M4" s="179">
        <f ca="1">IFERROR(HLOOKUP($D4,'Monthly report'!$B$6:$F$37,COLUMN(J2),0),"-")</f>
        <v>965.01147540984675</v>
      </c>
      <c r="N4" s="179">
        <f ca="1">IFERROR(HLOOKUP($D4,'Monthly report'!$B$6:$F$37,COLUMN(K2),0),"-")</f>
        <v>1922.4760245904326</v>
      </c>
      <c r="O4" s="179">
        <f ca="1">IFERROR(HLOOKUP($D4,'Monthly report'!$B$6:$F$37,COLUMN(L2),0),"-")</f>
        <v>2046.8249999997206</v>
      </c>
      <c r="P4" s="179">
        <f ca="1">IFERROR(HLOOKUP($D4,'Monthly report'!$B$6:$F$37,COLUMN(M2),0),"-")</f>
        <v>1530.7291666669771</v>
      </c>
      <c r="Q4" s="179">
        <f ca="1">IFERROR(HLOOKUP($D4,'Monthly report'!$B$6:$F$37,COLUMN(N2),0),"-")</f>
        <v>1964.7250000000931</v>
      </c>
      <c r="R4" s="179">
        <f ca="1">IFERROR(HLOOKUP($D4,'Monthly report'!$B$6:$F$37,COLUMN(O2),0),"-")</f>
        <v>1949.3999999999069</v>
      </c>
      <c r="S4" s="179">
        <f ca="1">IFERROR(HLOOKUP($D4,'Monthly report'!$B$6:$F$37,COLUMN(P2),0),"-")</f>
        <v>1058.8333333330229</v>
      </c>
      <c r="T4" s="179">
        <f ca="1">IFERROR(HLOOKUP($D4,'Monthly report'!$B$6:$F$37,COLUMN(Q2),0),"-")</f>
        <v>1001.4172131149098</v>
      </c>
      <c r="U4" s="179">
        <f ca="1">IFERROR(HLOOKUP($D4,'Monthly report'!$B$6:$F$37,COLUMN(R2),0),"-")</f>
        <v>1870.3952868850902</v>
      </c>
      <c r="V4" s="179">
        <f ca="1">IFERROR(HLOOKUP($D4,'Monthly report'!$B$6:$F$37,COLUMN(S2),0),"-")</f>
        <v>0</v>
      </c>
      <c r="W4" s="179">
        <f ca="1">IFERROR(HLOOKUP($D4,'Monthly report'!$B$6:$F$37,COLUMN(T2),0),"-")</f>
        <v>0</v>
      </c>
      <c r="X4" s="179">
        <f ca="1">IFERROR(HLOOKUP($D4,'Monthly report'!$B$6:$F$37,COLUMN(U2),0),"-")</f>
        <v>0</v>
      </c>
      <c r="Y4" s="179">
        <f ca="1">IFERROR(HLOOKUP($D4,'Monthly report'!$B$6:$F$37,COLUMN(V2),0),"-")</f>
        <v>0</v>
      </c>
      <c r="Z4" s="179">
        <f ca="1">IFERROR(HLOOKUP($D4,'Monthly report'!$B$6:$F$37,COLUMN(W2),0),"-")</f>
        <v>0</v>
      </c>
      <c r="AA4" s="179">
        <f ca="1">IFERROR(HLOOKUP($D4,'Monthly report'!$B$6:$F$37,COLUMN(X2),0),"-")</f>
        <v>0</v>
      </c>
      <c r="AB4" s="179">
        <f ca="1">IFERROR(HLOOKUP($D4,'Monthly report'!$B$6:$F$37,COLUMN(Y2),0),"-")</f>
        <v>0</v>
      </c>
      <c r="AC4" s="179">
        <f ca="1">IFERROR(HLOOKUP($D4,'Monthly report'!$B$6:$F$37,COLUMN(Z2),0),"-")</f>
        <v>0</v>
      </c>
      <c r="AD4" s="179">
        <f ca="1">IFERROR(HLOOKUP($D4,'Monthly report'!$B$6:$F$37,COLUMN(AA2),0),"-")</f>
        <v>0</v>
      </c>
      <c r="AE4" s="179">
        <f ca="1">IFERROR(HLOOKUP($D4,'Monthly report'!$B$6:$F$37,COLUMN(AB2),0),"-")</f>
        <v>0</v>
      </c>
      <c r="AF4" s="179">
        <f ca="1">IFERROR(HLOOKUP($D4,'Monthly report'!$B$6:$F$37,COLUMN(AC2),0),"-")</f>
        <v>0</v>
      </c>
      <c r="AG4" s="179">
        <f ca="1">IFERROR(HLOOKUP($D4,'Monthly report'!$B$6:$F$37,COLUMN(AD2),0),"-")</f>
        <v>0</v>
      </c>
      <c r="AH4" s="179">
        <f ca="1">IFERROR(HLOOKUP($D4,'Monthly report'!$B$6:$F$37,COLUMN(AE2),0),"-")</f>
        <v>0</v>
      </c>
      <c r="AI4" s="180">
        <f ca="1">IFERROR(HLOOKUP($D4,'Monthly report'!$B$6:$F$37,COLUMN(AF2),0),"-")</f>
        <v>0</v>
      </c>
    </row>
    <row r="5" spans="1:35" ht="15.75" customHeight="1" outlineLevel="1" x14ac:dyDescent="0.25">
      <c r="A5" s="95"/>
      <c r="B5" s="296"/>
      <c r="C5" s="181" t="s">
        <v>11</v>
      </c>
      <c r="D5" s="182">
        <v>13578</v>
      </c>
      <c r="E5" s="183">
        <f ca="1">IFERROR(HLOOKUP($D5,'Monthly report'!$B$6:$F$37,COLUMN(B3),0),"-")</f>
        <v>423.515625</v>
      </c>
      <c r="F5" s="183">
        <f ca="1">IFERROR(HLOOKUP($D5,'Monthly report'!$B$6:$F$37,COLUMN(C3),0),"-")</f>
        <v>99.006249999976717</v>
      </c>
      <c r="G5" s="183">
        <f ca="1">IFERROR(HLOOKUP($D5,'Monthly report'!$B$6:$F$37,COLUMN(D3),0),"-")</f>
        <v>399.05312499997672</v>
      </c>
      <c r="H5" s="183">
        <f ca="1">IFERROR(HLOOKUP($D5,'Monthly report'!$B$6:$F$37,COLUMN(E3),0),"-")</f>
        <v>414.36250000004657</v>
      </c>
      <c r="I5" s="183">
        <f ca="1">IFERROR(HLOOKUP($D5,'Monthly report'!$B$6:$F$37,COLUMN(F3),0),"-")</f>
        <v>386.76714939018711</v>
      </c>
      <c r="J5" s="183">
        <f ca="1">IFERROR(HLOOKUP($D5,'Monthly report'!$B$6:$F$37,COLUMN(G3),0),"-")</f>
        <v>386.9392650835216</v>
      </c>
      <c r="K5" s="183">
        <f ca="1">IFERROR(HLOOKUP($D5,'Monthly report'!$B$6:$F$37,COLUMN(H3),0),"-")</f>
        <v>396.713898026268</v>
      </c>
      <c r="L5" s="183">
        <f ca="1">IFERROR(HLOOKUP($D5,'Monthly report'!$B$6:$F$37,COLUMN(I3),0),"-")</f>
        <v>382.97031250002328</v>
      </c>
      <c r="M5" s="183">
        <f ca="1">IFERROR(HLOOKUP($D5,'Monthly report'!$B$6:$F$37,COLUMN(J3),0),"-")</f>
        <v>91.560937499976717</v>
      </c>
      <c r="N5" s="183">
        <f ca="1">IFERROR(HLOOKUP($D5,'Monthly report'!$B$6:$F$37,COLUMN(K3),0),"-")</f>
        <v>422.47031250002328</v>
      </c>
      <c r="O5" s="183">
        <f ca="1">IFERROR(HLOOKUP($D5,'Monthly report'!$B$6:$F$37,COLUMN(L3),0),"-")</f>
        <v>426.19374999997672</v>
      </c>
      <c r="P5" s="183">
        <f ca="1">IFERROR(HLOOKUP($D5,'Monthly report'!$B$6:$F$37,COLUMN(M3),0),"-")</f>
        <v>470.41249999997672</v>
      </c>
      <c r="Q5" s="183">
        <f ca="1">IFERROR(HLOOKUP($D5,'Monthly report'!$B$6:$F$37,COLUMN(N3),0),"-")</f>
        <v>362.66718750004657</v>
      </c>
      <c r="R5" s="183">
        <f ca="1">IFERROR(HLOOKUP($D5,'Monthly report'!$B$6:$F$37,COLUMN(O3),0),"-")</f>
        <v>451.22122713411227</v>
      </c>
      <c r="S5" s="183">
        <f ca="1">IFERROR(HLOOKUP($D5,'Monthly report'!$B$6:$F$37,COLUMN(P3),0),"-")</f>
        <v>98.74045441346243</v>
      </c>
      <c r="T5" s="183">
        <f ca="1">IFERROR(HLOOKUP($D5,'Monthly report'!$B$6:$F$37,COLUMN(Q3),0),"-")</f>
        <v>149.73831845237873</v>
      </c>
      <c r="U5" s="183">
        <f ca="1">IFERROR(HLOOKUP($D5,'Monthly report'!$B$6:$F$37,COLUMN(R3),0),"-")</f>
        <v>503.8984375</v>
      </c>
      <c r="V5" s="183">
        <f ca="1">IFERROR(HLOOKUP($D5,'Monthly report'!$B$6:$F$37,COLUMN(S3),0),"-")</f>
        <v>0</v>
      </c>
      <c r="W5" s="183">
        <f ca="1">IFERROR(HLOOKUP($D5,'Monthly report'!$B$6:$F$37,COLUMN(T3),0),"-")</f>
        <v>0</v>
      </c>
      <c r="X5" s="183">
        <f ca="1">IFERROR(HLOOKUP($D5,'Monthly report'!$B$6:$F$37,COLUMN(U3),0),"-")</f>
        <v>0</v>
      </c>
      <c r="Y5" s="183">
        <f ca="1">IFERROR(HLOOKUP($D5,'Monthly report'!$B$6:$F$37,COLUMN(V3),0),"-")</f>
        <v>0</v>
      </c>
      <c r="Z5" s="183">
        <f ca="1">IFERROR(HLOOKUP($D5,'Monthly report'!$B$6:$F$37,COLUMN(W3),0),"-")</f>
        <v>0</v>
      </c>
      <c r="AA5" s="183">
        <f ca="1">IFERROR(HLOOKUP($D5,'Monthly report'!$B$6:$F$37,COLUMN(X3),0),"-")</f>
        <v>0</v>
      </c>
      <c r="AB5" s="183">
        <f ca="1">IFERROR(HLOOKUP($D5,'Monthly report'!$B$6:$F$37,COLUMN(Y3),0),"-")</f>
        <v>0</v>
      </c>
      <c r="AC5" s="183">
        <f ca="1">IFERROR(HLOOKUP($D5,'Monthly report'!$B$6:$F$37,COLUMN(Z3),0),"-")</f>
        <v>0</v>
      </c>
      <c r="AD5" s="183">
        <f ca="1">IFERROR(HLOOKUP($D5,'Monthly report'!$B$6:$F$37,COLUMN(AA3),0),"-")</f>
        <v>0</v>
      </c>
      <c r="AE5" s="183">
        <f ca="1">IFERROR(HLOOKUP($D5,'Monthly report'!$B$6:$F$37,COLUMN(AB3),0),"-")</f>
        <v>0</v>
      </c>
      <c r="AF5" s="183">
        <f ca="1">IFERROR(HLOOKUP($D5,'Monthly report'!$B$6:$F$37,COLUMN(AC3),0),"-")</f>
        <v>0</v>
      </c>
      <c r="AG5" s="183">
        <f ca="1">IFERROR(HLOOKUP($D5,'Monthly report'!$B$6:$F$37,COLUMN(AD3),0),"-")</f>
        <v>0</v>
      </c>
      <c r="AH5" s="183">
        <f ca="1">IFERROR(HLOOKUP($D5,'Monthly report'!$B$6:$F$37,COLUMN(AE3),0),"-")</f>
        <v>0</v>
      </c>
      <c r="AI5" s="184">
        <f ca="1">IFERROR(HLOOKUP($D5,'Monthly report'!$B$6:$F$37,COLUMN(AF3),0),"-")</f>
        <v>0</v>
      </c>
    </row>
    <row r="6" spans="1:35" ht="15.75" customHeight="1" x14ac:dyDescent="0.25">
      <c r="A6" s="95"/>
      <c r="B6" s="297" t="s">
        <v>54</v>
      </c>
      <c r="C6" s="185" t="s">
        <v>7</v>
      </c>
      <c r="D6" s="37">
        <v>12817</v>
      </c>
      <c r="E6" s="186">
        <f ca="1">IFERROR(HLOOKUP($D6,'Monthly report'!$B$6:$F$37,COLUMN(B4),0),"-")</f>
        <v>0</v>
      </c>
      <c r="F6" s="186">
        <f ca="1">IFERROR(HLOOKUP($D6,'Monthly report'!$B$6:$F$37,COLUMN(C4),0),"-")</f>
        <v>207.578125</v>
      </c>
      <c r="G6" s="186">
        <f ca="1">IFERROR(HLOOKUP($D6,'Monthly report'!$B$6:$F$37,COLUMN(D4),0),"-")</f>
        <v>0</v>
      </c>
      <c r="H6" s="186">
        <f ca="1">IFERROR(HLOOKUP($D6,'Monthly report'!$B$6:$F$37,COLUMN(E4),0),"-")</f>
        <v>0</v>
      </c>
      <c r="I6" s="186">
        <f ca="1">IFERROR(HLOOKUP($D6,'Monthly report'!$B$6:$F$37,COLUMN(F4),0),"-")</f>
        <v>36</v>
      </c>
      <c r="J6" s="186">
        <f ca="1">IFERROR(HLOOKUP($D6,'Monthly report'!$B$6:$F$37,COLUMN(G4),0),"-")</f>
        <v>0</v>
      </c>
      <c r="K6" s="186">
        <f ca="1">IFERROR(HLOOKUP($D6,'Monthly report'!$B$6:$F$37,COLUMN(H4),0),"-")</f>
        <v>0</v>
      </c>
      <c r="L6" s="186">
        <f ca="1">IFERROR(HLOOKUP($D6,'Monthly report'!$B$6:$F$37,COLUMN(I4),0),"-")</f>
        <v>81.828125</v>
      </c>
      <c r="M6" s="186">
        <f ca="1">IFERROR(HLOOKUP($D6,'Monthly report'!$B$6:$F$37,COLUMN(J4),0),"-")</f>
        <v>2.8984375</v>
      </c>
      <c r="N6" s="186">
        <f ca="1">IFERROR(HLOOKUP($D6,'Monthly report'!$B$6:$F$37,COLUMN(K4),0),"-")</f>
        <v>0</v>
      </c>
      <c r="O6" s="186">
        <f ca="1">IFERROR(HLOOKUP($D6,'Monthly report'!$B$6:$F$37,COLUMN(L4),0),"-")</f>
        <v>0</v>
      </c>
      <c r="P6" s="186">
        <f ca="1">IFERROR(HLOOKUP($D6,'Monthly report'!$B$6:$F$37,COLUMN(M4),0),"-")</f>
        <v>519.09375</v>
      </c>
      <c r="Q6" s="186">
        <f ca="1">IFERROR(HLOOKUP($D6,'Monthly report'!$B$6:$F$37,COLUMN(N4),0),"-")</f>
        <v>0</v>
      </c>
      <c r="R6" s="186">
        <f ca="1">IFERROR(HLOOKUP($D6,'Monthly report'!$B$6:$F$37,COLUMN(O4),0),"-")</f>
        <v>0</v>
      </c>
      <c r="S6" s="186">
        <f ca="1">IFERROR(HLOOKUP($D6,'Monthly report'!$B$6:$F$37,COLUMN(P4),0),"-")</f>
        <v>0</v>
      </c>
      <c r="T6" s="186">
        <f ca="1">IFERROR(HLOOKUP($D6,'Monthly report'!$B$6:$F$37,COLUMN(Q4),0),"-")</f>
        <v>0</v>
      </c>
      <c r="U6" s="186">
        <f ca="1">IFERROR(HLOOKUP($D6,'Monthly report'!$B$6:$F$37,COLUMN(R4),0),"-")</f>
        <v>0</v>
      </c>
      <c r="V6" s="186">
        <f ca="1">IFERROR(HLOOKUP($D6,'Monthly report'!$B$6:$F$37,COLUMN(S4),0),"-")</f>
        <v>0</v>
      </c>
      <c r="W6" s="186">
        <f ca="1">IFERROR(HLOOKUP($D6,'Monthly report'!$B$6:$F$37,COLUMN(T4),0),"-")</f>
        <v>0</v>
      </c>
      <c r="X6" s="186">
        <f ca="1">IFERROR(HLOOKUP($D6,'Monthly report'!$B$6:$F$37,COLUMN(U4),0),"-")</f>
        <v>0</v>
      </c>
      <c r="Y6" s="186">
        <f ca="1">IFERROR(HLOOKUP($D6,'Monthly report'!$B$6:$F$37,COLUMN(V4),0),"-")</f>
        <v>0</v>
      </c>
      <c r="Z6" s="186">
        <f ca="1">IFERROR(HLOOKUP($D6,'Monthly report'!$B$6:$F$37,COLUMN(W4),0),"-")</f>
        <v>0</v>
      </c>
      <c r="AA6" s="186">
        <f ca="1">IFERROR(HLOOKUP($D6,'Monthly report'!$B$6:$F$37,COLUMN(X4),0),"-")</f>
        <v>0</v>
      </c>
      <c r="AB6" s="186">
        <f ca="1">IFERROR(HLOOKUP($D6,'Monthly report'!$B$6:$F$37,COLUMN(Y4),0),"-")</f>
        <v>0</v>
      </c>
      <c r="AC6" s="186">
        <f ca="1">IFERROR(HLOOKUP($D6,'Monthly report'!$B$6:$F$37,COLUMN(Z4),0),"-")</f>
        <v>0</v>
      </c>
      <c r="AD6" s="186">
        <f ca="1">IFERROR(HLOOKUP($D6,'Monthly report'!$B$6:$F$37,COLUMN(AA4),0),"-")</f>
        <v>0</v>
      </c>
      <c r="AE6" s="186">
        <f ca="1">IFERROR(HLOOKUP($D6,'Monthly report'!$B$6:$F$37,COLUMN(AB4),0),"-")</f>
        <v>0</v>
      </c>
      <c r="AF6" s="186">
        <f ca="1">IFERROR(HLOOKUP($D6,'Monthly report'!$B$6:$F$37,COLUMN(AC4),0),"-")</f>
        <v>0</v>
      </c>
      <c r="AG6" s="186">
        <f ca="1">IFERROR(HLOOKUP($D6,'Monthly report'!$B$6:$F$37,COLUMN(AD4),0),"-")</f>
        <v>0</v>
      </c>
      <c r="AH6" s="186">
        <f ca="1">IFERROR(HLOOKUP($D6,'Monthly report'!$B$6:$F$37,COLUMN(AE4),0),"-")</f>
        <v>0</v>
      </c>
      <c r="AI6" s="187">
        <f ca="1">IFERROR(HLOOKUP($D6,'Monthly report'!$B$6:$F$37,COLUMN(AF4),0),"-")</f>
        <v>0</v>
      </c>
    </row>
    <row r="7" spans="1:35" ht="15.75" customHeight="1" x14ac:dyDescent="0.25">
      <c r="A7" s="95"/>
      <c r="B7" s="298"/>
      <c r="C7" s="188" t="s">
        <v>8</v>
      </c>
      <c r="D7" s="189">
        <v>12818</v>
      </c>
      <c r="E7" s="190">
        <f ca="1">IFERROR(HLOOKUP($D7,'Monthly report'!$B$6:$F$37,COLUMN(B5),0),"-")</f>
        <v>0</v>
      </c>
      <c r="F7" s="190">
        <f ca="1">IFERROR(HLOOKUP($D7,'Monthly report'!$B$6:$F$37,COLUMN(C5),0),"-")</f>
        <v>0</v>
      </c>
      <c r="G7" s="190">
        <f ca="1">IFERROR(HLOOKUP($D7,'Monthly report'!$B$6:$F$37,COLUMN(D5),0),"-")</f>
        <v>0</v>
      </c>
      <c r="H7" s="190">
        <f ca="1">IFERROR(HLOOKUP($D7,'Monthly report'!$B$6:$F$37,COLUMN(E5),0),"-")</f>
        <v>0</v>
      </c>
      <c r="I7" s="190">
        <f ca="1">IFERROR(HLOOKUP($D7,'Monthly report'!$B$6:$F$37,COLUMN(F5),0),"-")</f>
        <v>0</v>
      </c>
      <c r="J7" s="190">
        <f ca="1">IFERROR(HLOOKUP($D7,'Monthly report'!$B$6:$F$37,COLUMN(G5),0),"-")</f>
        <v>0</v>
      </c>
      <c r="K7" s="190">
        <f ca="1">IFERROR(HLOOKUP($D7,'Monthly report'!$B$6:$F$37,COLUMN(H5),0),"-")</f>
        <v>0</v>
      </c>
      <c r="L7" s="190">
        <f ca="1">IFERROR(HLOOKUP($D7,'Monthly report'!$B$6:$F$37,COLUMN(I5),0),"-")</f>
        <v>0</v>
      </c>
      <c r="M7" s="190">
        <f ca="1">IFERROR(HLOOKUP($D7,'Monthly report'!$B$6:$F$37,COLUMN(J5),0),"-")</f>
        <v>0</v>
      </c>
      <c r="N7" s="190">
        <f ca="1">IFERROR(HLOOKUP($D7,'Monthly report'!$B$6:$F$37,COLUMN(K5),0),"-")</f>
        <v>0</v>
      </c>
      <c r="O7" s="190">
        <f ca="1">IFERROR(HLOOKUP($D7,'Monthly report'!$B$6:$F$37,COLUMN(L5),0),"-")</f>
        <v>0</v>
      </c>
      <c r="P7" s="190">
        <f ca="1">IFERROR(HLOOKUP($D7,'Monthly report'!$B$6:$F$37,COLUMN(M5),0),"-")</f>
        <v>0</v>
      </c>
      <c r="Q7" s="190">
        <f ca="1">IFERROR(HLOOKUP($D7,'Monthly report'!$B$6:$F$37,COLUMN(N5),0),"-")</f>
        <v>0</v>
      </c>
      <c r="R7" s="190">
        <f ca="1">IFERROR(HLOOKUP($D7,'Monthly report'!$B$6:$F$37,COLUMN(O5),0),"-")</f>
        <v>0</v>
      </c>
      <c r="S7" s="190">
        <f ca="1">IFERROR(HLOOKUP($D7,'Monthly report'!$B$6:$F$37,COLUMN(P5),0),"-")</f>
        <v>0</v>
      </c>
      <c r="T7" s="190">
        <f ca="1">IFERROR(HLOOKUP($D7,'Monthly report'!$B$6:$F$37,COLUMN(Q5),0),"-")</f>
        <v>0</v>
      </c>
      <c r="U7" s="190">
        <f ca="1">IFERROR(HLOOKUP($D7,'Monthly report'!$B$6:$F$37,COLUMN(R5),0),"-")</f>
        <v>0</v>
      </c>
      <c r="V7" s="190">
        <f ca="1">IFERROR(HLOOKUP($D7,'Monthly report'!$B$6:$F$37,COLUMN(S5),0),"-")</f>
        <v>0</v>
      </c>
      <c r="W7" s="190">
        <f ca="1">IFERROR(HLOOKUP($D7,'Monthly report'!$B$6:$F$37,COLUMN(T5),0),"-")</f>
        <v>0</v>
      </c>
      <c r="X7" s="190">
        <f ca="1">IFERROR(HLOOKUP($D7,'Monthly report'!$B$6:$F$37,COLUMN(U5),0),"-")</f>
        <v>0</v>
      </c>
      <c r="Y7" s="190">
        <f ca="1">IFERROR(HLOOKUP($D7,'Monthly report'!$B$6:$F$37,COLUMN(V5),0),"-")</f>
        <v>0</v>
      </c>
      <c r="Z7" s="190">
        <f ca="1">IFERROR(HLOOKUP($D7,'Monthly report'!$B$6:$F$37,COLUMN(W5),0),"-")</f>
        <v>0</v>
      </c>
      <c r="AA7" s="190">
        <f ca="1">IFERROR(HLOOKUP($D7,'Monthly report'!$B$6:$F$37,COLUMN(X5),0),"-")</f>
        <v>0</v>
      </c>
      <c r="AB7" s="190">
        <f ca="1">IFERROR(HLOOKUP($D7,'Monthly report'!$B$6:$F$37,COLUMN(Y5),0),"-")</f>
        <v>0</v>
      </c>
      <c r="AC7" s="190">
        <f ca="1">IFERROR(HLOOKUP($D7,'Monthly report'!$B$6:$F$37,COLUMN(Z5),0),"-")</f>
        <v>0</v>
      </c>
      <c r="AD7" s="190">
        <f ca="1">IFERROR(HLOOKUP($D7,'Monthly report'!$B$6:$F$37,COLUMN(AA5),0),"-")</f>
        <v>0</v>
      </c>
      <c r="AE7" s="190">
        <f ca="1">IFERROR(HLOOKUP($D7,'Monthly report'!$B$6:$F$37,COLUMN(AB5),0),"-")</f>
        <v>0</v>
      </c>
      <c r="AF7" s="190">
        <f ca="1">IFERROR(HLOOKUP($D7,'Monthly report'!$B$6:$F$37,COLUMN(AC5),0),"-")</f>
        <v>0</v>
      </c>
      <c r="AG7" s="190">
        <f ca="1">IFERROR(HLOOKUP($D7,'Monthly report'!$B$6:$F$37,COLUMN(AD5),0),"-")</f>
        <v>0</v>
      </c>
      <c r="AH7" s="190">
        <f ca="1">IFERROR(HLOOKUP($D7,'Monthly report'!$B$6:$F$37,COLUMN(AE5),0),"-")</f>
        <v>0</v>
      </c>
      <c r="AI7" s="191">
        <f ca="1">IFERROR(HLOOKUP($D7,'Monthly report'!$B$6:$F$37,COLUMN(AF5),0),"-")</f>
        <v>0</v>
      </c>
    </row>
    <row r="8" spans="1:35" ht="15.75" customHeight="1" x14ac:dyDescent="0.25">
      <c r="A8" s="95"/>
      <c r="B8" s="296"/>
      <c r="C8" s="181" t="s">
        <v>12</v>
      </c>
      <c r="D8" s="182">
        <v>13579</v>
      </c>
      <c r="E8" s="183">
        <f ca="1">IFERROR(HLOOKUP($D8,'Monthly report'!$B$6:$F$37,COLUMN(B6),0),"-")</f>
        <v>0</v>
      </c>
      <c r="F8" s="183">
        <f ca="1">IFERROR(HLOOKUP($D8,'Monthly report'!$B$6:$F$37,COLUMN(C6),0),"-")</f>
        <v>0.3515625</v>
      </c>
      <c r="G8" s="183">
        <f ca="1">IFERROR(HLOOKUP($D8,'Monthly report'!$B$6:$F$37,COLUMN(D6),0),"-")</f>
        <v>0</v>
      </c>
      <c r="H8" s="183">
        <f ca="1">IFERROR(HLOOKUP($D8,'Monthly report'!$B$6:$F$37,COLUMN(E6),0),"-")</f>
        <v>0</v>
      </c>
      <c r="I8" s="183">
        <f ca="1">IFERROR(HLOOKUP($D8,'Monthly report'!$B$6:$F$37,COLUMN(F6),0),"-")</f>
        <v>0</v>
      </c>
      <c r="J8" s="183">
        <f ca="1">IFERROR(HLOOKUP($D8,'Monthly report'!$B$6:$F$37,COLUMN(G6),0),"-")</f>
        <v>0</v>
      </c>
      <c r="K8" s="183">
        <f ca="1">IFERROR(HLOOKUP($D8,'Monthly report'!$B$6:$F$37,COLUMN(H6),0),"-")</f>
        <v>0</v>
      </c>
      <c r="L8" s="183">
        <f ca="1">IFERROR(HLOOKUP($D8,'Monthly report'!$B$6:$F$37,COLUMN(I6),0),"-")</f>
        <v>1.76953125</v>
      </c>
      <c r="M8" s="183">
        <f ca="1">IFERROR(HLOOKUP($D8,'Monthly report'!$B$6:$F$37,COLUMN(J6),0),"-")</f>
        <v>0</v>
      </c>
      <c r="N8" s="183">
        <f ca="1">IFERROR(HLOOKUP($D8,'Monthly report'!$B$6:$F$37,COLUMN(K6),0),"-")</f>
        <v>0</v>
      </c>
      <c r="O8" s="183">
        <f ca="1">IFERROR(HLOOKUP($D8,'Monthly report'!$B$6:$F$37,COLUMN(L6),0),"-")</f>
        <v>0</v>
      </c>
      <c r="P8" s="183">
        <f ca="1">IFERROR(HLOOKUP($D8,'Monthly report'!$B$6:$F$37,COLUMN(M6),0),"-")</f>
        <v>0.51171875</v>
      </c>
      <c r="Q8" s="183">
        <f ca="1">IFERROR(HLOOKUP($D8,'Monthly report'!$B$6:$F$37,COLUMN(N6),0),"-")</f>
        <v>128.455078125</v>
      </c>
      <c r="R8" s="183">
        <f ca="1">IFERROR(HLOOKUP($D8,'Monthly report'!$B$6:$F$37,COLUMN(O6),0),"-")</f>
        <v>1.595703125</v>
      </c>
      <c r="S8" s="183">
        <f ca="1">IFERROR(HLOOKUP($D8,'Monthly report'!$B$6:$F$37,COLUMN(P6),0),"-")</f>
        <v>0</v>
      </c>
      <c r="T8" s="183">
        <f ca="1">IFERROR(HLOOKUP($D8,'Monthly report'!$B$6:$F$37,COLUMN(Q6),0),"-")</f>
        <v>28.900390625</v>
      </c>
      <c r="U8" s="183">
        <f ca="1">IFERROR(HLOOKUP($D8,'Monthly report'!$B$6:$F$37,COLUMN(R6),0),"-")</f>
        <v>0</v>
      </c>
      <c r="V8" s="183">
        <f ca="1">IFERROR(HLOOKUP($D8,'Monthly report'!$B$6:$F$37,COLUMN(S6),0),"-")</f>
        <v>0</v>
      </c>
      <c r="W8" s="183">
        <f ca="1">IFERROR(HLOOKUP($D8,'Monthly report'!$B$6:$F$37,COLUMN(T6),0),"-")</f>
        <v>0</v>
      </c>
      <c r="X8" s="183">
        <f ca="1">IFERROR(HLOOKUP($D8,'Monthly report'!$B$6:$F$37,COLUMN(U6),0),"-")</f>
        <v>0</v>
      </c>
      <c r="Y8" s="183">
        <f ca="1">IFERROR(HLOOKUP($D8,'Monthly report'!$B$6:$F$37,COLUMN(V6),0),"-")</f>
        <v>0</v>
      </c>
      <c r="Z8" s="183">
        <f ca="1">IFERROR(HLOOKUP($D8,'Monthly report'!$B$6:$F$37,COLUMN(W6),0),"-")</f>
        <v>0</v>
      </c>
      <c r="AA8" s="183">
        <f ca="1">IFERROR(HLOOKUP($D8,'Monthly report'!$B$6:$F$37,COLUMN(X6),0),"-")</f>
        <v>0</v>
      </c>
      <c r="AB8" s="183">
        <f ca="1">IFERROR(HLOOKUP($D8,'Monthly report'!$B$6:$F$37,COLUMN(Y6),0),"-")</f>
        <v>0</v>
      </c>
      <c r="AC8" s="183">
        <f ca="1">IFERROR(HLOOKUP($D8,'Monthly report'!$B$6:$F$37,COLUMN(Z6),0),"-")</f>
        <v>0</v>
      </c>
      <c r="AD8" s="183">
        <f ca="1">IFERROR(HLOOKUP($D8,'Monthly report'!$B$6:$F$37,COLUMN(AA6),0),"-")</f>
        <v>0</v>
      </c>
      <c r="AE8" s="183">
        <f ca="1">IFERROR(HLOOKUP($D8,'Monthly report'!$B$6:$F$37,COLUMN(AB6),0),"-")</f>
        <v>0</v>
      </c>
      <c r="AF8" s="183">
        <f ca="1">IFERROR(HLOOKUP($D8,'Monthly report'!$B$6:$F$37,COLUMN(AC6),0),"-")</f>
        <v>0</v>
      </c>
      <c r="AG8" s="183">
        <f ca="1">IFERROR(HLOOKUP($D8,'Monthly report'!$B$6:$F$37,COLUMN(AD6),0),"-")</f>
        <v>0</v>
      </c>
      <c r="AH8" s="183">
        <f ca="1">IFERROR(HLOOKUP($D8,'Monthly report'!$B$6:$F$37,COLUMN(AE6),0),"-")</f>
        <v>0</v>
      </c>
      <c r="AI8" s="184">
        <f ca="1">IFERROR(HLOOKUP($D8,'Monthly report'!$B$6:$F$37,COLUMN(AF6),0),"-")</f>
        <v>0</v>
      </c>
    </row>
    <row r="9" spans="1:35" ht="15.75" customHeight="1" x14ac:dyDescent="0.2">
      <c r="A9" s="48"/>
      <c r="B9" s="48"/>
      <c r="C9" s="48"/>
      <c r="D9" s="48"/>
      <c r="E9" s="48"/>
      <c r="F9" s="48"/>
      <c r="G9" s="48"/>
      <c r="H9" s="48"/>
      <c r="I9" s="48"/>
      <c r="J9" s="48"/>
      <c r="K9" s="48"/>
      <c r="L9" s="48"/>
      <c r="M9" s="48"/>
      <c r="N9" s="48"/>
      <c r="O9" s="48"/>
      <c r="P9" s="48"/>
      <c r="Q9" s="48"/>
      <c r="R9" s="48"/>
      <c r="S9" s="48"/>
      <c r="T9" s="48"/>
      <c r="U9" s="48"/>
      <c r="V9" s="48"/>
      <c r="W9" s="48"/>
      <c r="X9" s="48"/>
      <c r="Y9" s="48"/>
      <c r="Z9" s="48"/>
      <c r="AA9" s="48"/>
      <c r="AB9" s="48"/>
      <c r="AC9" s="48"/>
      <c r="AD9" s="48"/>
      <c r="AE9" s="48"/>
      <c r="AF9" s="48"/>
      <c r="AG9" s="48"/>
      <c r="AH9" s="48"/>
      <c r="AI9" s="48"/>
    </row>
    <row r="10" spans="1:35" ht="15.75" customHeight="1" x14ac:dyDescent="0.2">
      <c r="A10" s="48"/>
      <c r="B10" s="48"/>
      <c r="C10" s="48"/>
      <c r="D10" s="48"/>
      <c r="E10" s="48"/>
      <c r="F10" s="48"/>
      <c r="G10" s="48"/>
      <c r="H10" s="48"/>
      <c r="I10" s="48"/>
      <c r="J10" s="48"/>
      <c r="K10" s="48"/>
      <c r="L10" s="48"/>
      <c r="M10" s="48"/>
      <c r="N10" s="48"/>
      <c r="O10" s="48"/>
      <c r="P10" s="48"/>
      <c r="Q10" s="48"/>
      <c r="R10" s="48"/>
      <c r="S10" s="48"/>
      <c r="T10" s="48"/>
      <c r="U10" s="48"/>
      <c r="V10" s="48"/>
      <c r="W10" s="48"/>
      <c r="X10" s="48"/>
      <c r="Y10" s="48"/>
      <c r="Z10" s="48"/>
      <c r="AA10" s="48"/>
      <c r="AB10" s="48"/>
      <c r="AC10" s="48"/>
      <c r="AD10" s="48"/>
      <c r="AE10" s="48"/>
      <c r="AF10" s="48"/>
      <c r="AG10" s="48"/>
      <c r="AH10" s="48"/>
      <c r="AI10" s="48"/>
    </row>
    <row r="11" spans="1:35" ht="15.75" customHeight="1" x14ac:dyDescent="0.2">
      <c r="A11" s="48"/>
      <c r="B11" s="48"/>
      <c r="C11" s="48"/>
      <c r="D11" s="48"/>
      <c r="E11" s="48"/>
      <c r="F11" s="48"/>
      <c r="G11" s="48"/>
      <c r="H11" s="48"/>
      <c r="I11" s="48"/>
      <c r="J11" s="48"/>
      <c r="K11" s="48"/>
      <c r="L11" s="48"/>
      <c r="M11" s="48"/>
      <c r="N11" s="48"/>
      <c r="O11" s="48"/>
      <c r="P11" s="48"/>
      <c r="Q11" s="48"/>
      <c r="R11" s="48"/>
      <c r="S11" s="48"/>
      <c r="T11" s="48"/>
      <c r="U11" s="48"/>
      <c r="V11" s="48"/>
      <c r="W11" s="48"/>
      <c r="X11" s="48"/>
      <c r="Y11" s="48"/>
      <c r="Z11" s="48"/>
      <c r="AA11" s="48"/>
      <c r="AB11" s="48"/>
      <c r="AC11" s="48"/>
      <c r="AD11" s="48"/>
      <c r="AE11" s="48"/>
      <c r="AF11" s="48"/>
      <c r="AG11" s="48"/>
      <c r="AH11" s="48"/>
      <c r="AI11" s="48"/>
    </row>
    <row r="12" spans="1:35" ht="15.75" customHeight="1" x14ac:dyDescent="0.2">
      <c r="A12" s="48"/>
      <c r="B12" s="48"/>
      <c r="C12" s="48"/>
      <c r="D12" s="48"/>
      <c r="E12" s="48"/>
      <c r="F12" s="48"/>
      <c r="G12" s="48"/>
      <c r="H12" s="48"/>
      <c r="I12" s="48"/>
      <c r="J12" s="48"/>
      <c r="K12" s="48"/>
      <c r="L12" s="48"/>
      <c r="M12" s="48"/>
      <c r="N12" s="48"/>
      <c r="O12" s="48"/>
      <c r="P12" s="48"/>
      <c r="Q12" s="48"/>
      <c r="R12" s="48"/>
      <c r="S12" s="48"/>
      <c r="T12" s="48"/>
      <c r="U12" s="48"/>
      <c r="V12" s="48"/>
      <c r="W12" s="48"/>
      <c r="X12" s="48"/>
      <c r="Y12" s="48"/>
      <c r="Z12" s="48"/>
      <c r="AA12" s="48"/>
      <c r="AB12" s="48"/>
      <c r="AC12" s="48"/>
      <c r="AD12" s="48"/>
      <c r="AE12" s="48"/>
      <c r="AF12" s="48"/>
      <c r="AG12" s="48"/>
      <c r="AH12" s="48"/>
      <c r="AI12" s="48"/>
    </row>
    <row r="13" spans="1:35" ht="15.75" customHeight="1" x14ac:dyDescent="0.2">
      <c r="A13" s="48"/>
      <c r="B13" s="48"/>
      <c r="C13" s="48"/>
      <c r="D13" s="48"/>
      <c r="E13" s="48"/>
      <c r="F13" s="48"/>
      <c r="G13" s="48"/>
      <c r="H13" s="48"/>
      <c r="I13" s="48"/>
      <c r="J13" s="48"/>
      <c r="K13" s="48"/>
      <c r="L13" s="48"/>
      <c r="M13" s="48"/>
      <c r="N13" s="48"/>
      <c r="O13" s="48"/>
      <c r="P13" s="48"/>
      <c r="Q13" s="48"/>
      <c r="R13" s="48"/>
      <c r="S13" s="48"/>
      <c r="T13" s="48"/>
      <c r="U13" s="48"/>
      <c r="V13" s="48"/>
      <c r="W13" s="48"/>
      <c r="X13" s="48"/>
      <c r="Y13" s="48"/>
      <c r="Z13" s="48"/>
      <c r="AA13" s="48"/>
      <c r="AB13" s="48"/>
      <c r="AC13" s="48"/>
      <c r="AD13" s="48"/>
      <c r="AE13" s="48"/>
      <c r="AF13" s="48"/>
      <c r="AG13" s="48"/>
      <c r="AH13" s="48"/>
      <c r="AI13" s="48"/>
    </row>
    <row r="14" spans="1:35" ht="15.75" customHeight="1" x14ac:dyDescent="0.2">
      <c r="A14" s="48"/>
      <c r="B14" s="48"/>
      <c r="C14" s="48"/>
      <c r="D14" s="48"/>
      <c r="E14" s="48"/>
      <c r="F14" s="48"/>
      <c r="G14" s="48"/>
      <c r="H14" s="48"/>
      <c r="I14" s="48"/>
      <c r="J14" s="48"/>
      <c r="K14" s="48"/>
      <c r="L14" s="48"/>
      <c r="M14" s="48"/>
      <c r="N14" s="48"/>
      <c r="O14" s="48"/>
      <c r="P14" s="48"/>
      <c r="Q14" s="48"/>
      <c r="R14" s="48"/>
      <c r="S14" s="48"/>
      <c r="T14" s="48"/>
      <c r="U14" s="48"/>
      <c r="V14" s="48"/>
      <c r="W14" s="48"/>
      <c r="X14" s="48"/>
      <c r="Y14" s="48"/>
      <c r="Z14" s="48"/>
      <c r="AA14" s="48"/>
      <c r="AB14" s="48"/>
      <c r="AC14" s="48"/>
      <c r="AD14" s="48"/>
      <c r="AE14" s="48"/>
      <c r="AF14" s="48"/>
      <c r="AG14" s="48"/>
      <c r="AH14" s="48"/>
      <c r="AI14" s="48"/>
    </row>
    <row r="15" spans="1:35" ht="15.75" customHeight="1" x14ac:dyDescent="0.2">
      <c r="A15" s="48"/>
      <c r="B15" s="48"/>
      <c r="C15" s="48"/>
      <c r="D15" s="48"/>
      <c r="E15" s="48"/>
      <c r="F15" s="48"/>
      <c r="G15" s="48"/>
      <c r="H15" s="48"/>
      <c r="I15" s="48"/>
      <c r="J15" s="48"/>
      <c r="K15" s="48"/>
      <c r="L15" s="48"/>
      <c r="M15" s="48"/>
      <c r="N15" s="48"/>
      <c r="O15" s="48"/>
      <c r="P15" s="48"/>
      <c r="Q15" s="48"/>
      <c r="R15" s="48"/>
      <c r="S15" s="48"/>
      <c r="T15" s="48"/>
      <c r="U15" s="48"/>
      <c r="V15" s="48"/>
      <c r="W15" s="48"/>
      <c r="X15" s="48"/>
      <c r="Y15" s="48"/>
      <c r="Z15" s="48"/>
      <c r="AA15" s="48"/>
      <c r="AB15" s="48"/>
      <c r="AC15" s="48"/>
      <c r="AD15" s="48"/>
      <c r="AE15" s="48"/>
      <c r="AF15" s="48"/>
      <c r="AG15" s="48"/>
      <c r="AH15" s="48"/>
      <c r="AI15" s="48"/>
    </row>
    <row r="16" spans="1:35" ht="15.75" customHeight="1" x14ac:dyDescent="0.2">
      <c r="A16" s="48"/>
      <c r="B16" s="48"/>
      <c r="C16" s="48"/>
      <c r="D16" s="48"/>
      <c r="E16" s="48"/>
      <c r="F16" s="48"/>
      <c r="G16" s="48"/>
      <c r="H16" s="48"/>
      <c r="I16" s="48"/>
      <c r="J16" s="48"/>
      <c r="K16" s="48"/>
      <c r="L16" s="48"/>
      <c r="M16" s="48"/>
      <c r="N16" s="48"/>
      <c r="O16" s="48"/>
      <c r="P16" s="48"/>
      <c r="Q16" s="48"/>
      <c r="R16" s="48"/>
      <c r="S16" s="48"/>
      <c r="T16" s="48"/>
      <c r="U16" s="48"/>
      <c r="V16" s="48"/>
      <c r="W16" s="48"/>
      <c r="X16" s="48"/>
      <c r="Y16" s="48"/>
      <c r="Z16" s="48"/>
      <c r="AA16" s="48"/>
      <c r="AB16" s="48"/>
      <c r="AC16" s="48"/>
      <c r="AD16" s="48"/>
      <c r="AE16" s="48"/>
      <c r="AF16" s="48"/>
      <c r="AG16" s="48"/>
      <c r="AH16" s="48"/>
      <c r="AI16" s="48"/>
    </row>
    <row r="17" spans="1:35" ht="15.75" customHeight="1" x14ac:dyDescent="0.2">
      <c r="A17" s="48"/>
      <c r="B17" s="48"/>
      <c r="C17" s="48"/>
      <c r="D17" s="48"/>
      <c r="E17" s="48"/>
      <c r="F17" s="48"/>
      <c r="G17" s="48"/>
      <c r="H17" s="48"/>
      <c r="I17" s="48"/>
      <c r="J17" s="48"/>
      <c r="K17" s="48"/>
      <c r="L17" s="48"/>
      <c r="M17" s="48"/>
      <c r="N17" s="48"/>
      <c r="O17" s="48"/>
      <c r="P17" s="48"/>
      <c r="Q17" s="48"/>
      <c r="R17" s="48"/>
      <c r="S17" s="48"/>
      <c r="T17" s="48"/>
      <c r="U17" s="48"/>
      <c r="V17" s="48"/>
      <c r="W17" s="48"/>
      <c r="X17" s="48"/>
      <c r="Y17" s="48"/>
      <c r="Z17" s="48"/>
      <c r="AA17" s="48"/>
      <c r="AB17" s="48"/>
      <c r="AC17" s="48"/>
      <c r="AD17" s="48"/>
      <c r="AE17" s="48"/>
      <c r="AF17" s="48"/>
      <c r="AG17" s="48"/>
      <c r="AH17" s="48"/>
      <c r="AI17" s="48"/>
    </row>
    <row r="18" spans="1:35" ht="15.75" customHeight="1" x14ac:dyDescent="0.2">
      <c r="A18" s="48"/>
      <c r="B18" s="48"/>
      <c r="C18" s="48"/>
      <c r="D18" s="48"/>
      <c r="E18" s="48"/>
      <c r="F18" s="48"/>
      <c r="G18" s="48"/>
      <c r="H18" s="48"/>
      <c r="I18" s="48"/>
      <c r="J18" s="48"/>
      <c r="K18" s="48"/>
      <c r="L18" s="48"/>
      <c r="M18" s="48"/>
      <c r="N18" s="48"/>
      <c r="O18" s="48"/>
      <c r="P18" s="48"/>
      <c r="Q18" s="48"/>
      <c r="R18" s="48"/>
      <c r="S18" s="48"/>
      <c r="T18" s="48"/>
      <c r="U18" s="48"/>
      <c r="V18" s="48"/>
      <c r="W18" s="48"/>
      <c r="X18" s="48"/>
      <c r="Y18" s="48"/>
      <c r="Z18" s="48"/>
      <c r="AA18" s="48"/>
      <c r="AB18" s="48"/>
      <c r="AC18" s="48"/>
      <c r="AD18" s="48"/>
      <c r="AE18" s="48"/>
      <c r="AF18" s="48"/>
      <c r="AG18" s="48"/>
      <c r="AH18" s="48"/>
      <c r="AI18" s="48"/>
    </row>
    <row r="19" spans="1:35" ht="15.75" customHeight="1" x14ac:dyDescent="0.2">
      <c r="A19" s="48"/>
      <c r="B19" s="48"/>
      <c r="C19" s="48"/>
      <c r="D19" s="48"/>
      <c r="E19" s="48"/>
      <c r="F19" s="48"/>
      <c r="G19" s="48"/>
      <c r="H19" s="48"/>
      <c r="I19" s="48"/>
      <c r="J19" s="48"/>
      <c r="K19" s="48"/>
      <c r="L19" s="48"/>
      <c r="M19" s="48"/>
      <c r="N19" s="48"/>
      <c r="O19" s="48"/>
      <c r="P19" s="48"/>
      <c r="Q19" s="48"/>
      <c r="R19" s="48"/>
      <c r="S19" s="48"/>
      <c r="T19" s="48"/>
      <c r="U19" s="48"/>
      <c r="V19" s="48"/>
      <c r="W19" s="48"/>
      <c r="X19" s="48"/>
      <c r="Y19" s="48"/>
      <c r="Z19" s="48"/>
      <c r="AA19" s="48"/>
      <c r="AB19" s="48"/>
      <c r="AC19" s="48"/>
      <c r="AD19" s="48"/>
      <c r="AE19" s="48"/>
      <c r="AF19" s="48"/>
      <c r="AG19" s="48"/>
      <c r="AH19" s="48"/>
      <c r="AI19" s="48"/>
    </row>
    <row r="20" spans="1:35" ht="15.75" customHeight="1" x14ac:dyDescent="0.2">
      <c r="A20" s="48"/>
      <c r="B20" s="48"/>
      <c r="C20" s="48"/>
      <c r="D20" s="48"/>
      <c r="E20" s="48"/>
      <c r="F20" s="48"/>
      <c r="G20" s="48"/>
      <c r="H20" s="48"/>
      <c r="I20" s="48"/>
      <c r="J20" s="48"/>
      <c r="K20" s="48"/>
      <c r="L20" s="48"/>
      <c r="M20" s="48"/>
      <c r="N20" s="48"/>
      <c r="O20" s="48"/>
      <c r="P20" s="48"/>
      <c r="Q20" s="48"/>
      <c r="R20" s="48"/>
      <c r="S20" s="48"/>
      <c r="T20" s="48"/>
      <c r="U20" s="48"/>
      <c r="V20" s="48"/>
      <c r="W20" s="48"/>
      <c r="X20" s="48"/>
      <c r="Y20" s="48"/>
      <c r="Z20" s="48"/>
      <c r="AA20" s="48"/>
      <c r="AB20" s="48"/>
      <c r="AC20" s="48"/>
      <c r="AD20" s="48"/>
      <c r="AE20" s="48"/>
      <c r="AF20" s="48"/>
      <c r="AG20" s="48"/>
      <c r="AH20" s="48"/>
      <c r="AI20" s="48"/>
    </row>
    <row r="21" spans="1:35" ht="15.75" customHeight="1" x14ac:dyDescent="0.2">
      <c r="A21" s="48"/>
      <c r="B21" s="48"/>
      <c r="C21" s="48"/>
      <c r="D21" s="48"/>
      <c r="E21" s="48"/>
      <c r="F21" s="48"/>
      <c r="G21" s="48"/>
      <c r="H21" s="48"/>
      <c r="I21" s="48"/>
      <c r="J21" s="48"/>
      <c r="K21" s="48"/>
      <c r="L21" s="48"/>
      <c r="M21" s="48"/>
      <c r="N21" s="48"/>
      <c r="O21" s="48"/>
      <c r="P21" s="48"/>
      <c r="Q21" s="48"/>
      <c r="R21" s="48"/>
      <c r="S21" s="48"/>
      <c r="T21" s="48"/>
      <c r="U21" s="48"/>
      <c r="V21" s="48"/>
      <c r="W21" s="48"/>
      <c r="X21" s="48"/>
      <c r="Y21" s="48"/>
      <c r="Z21" s="48"/>
      <c r="AA21" s="48"/>
      <c r="AB21" s="48"/>
      <c r="AC21" s="48"/>
      <c r="AD21" s="48"/>
      <c r="AE21" s="48"/>
      <c r="AF21" s="48"/>
      <c r="AG21" s="48"/>
      <c r="AH21" s="48"/>
      <c r="AI21" s="48"/>
    </row>
    <row r="22" spans="1:35" ht="15.75" customHeight="1" x14ac:dyDescent="0.2">
      <c r="A22" s="48"/>
      <c r="B22" s="48"/>
      <c r="C22" s="48"/>
      <c r="D22" s="48"/>
      <c r="E22" s="48"/>
      <c r="F22" s="48"/>
      <c r="G22" s="48"/>
      <c r="H22" s="48"/>
      <c r="I22" s="48"/>
      <c r="J22" s="48"/>
      <c r="K22" s="48"/>
      <c r="L22" s="48"/>
      <c r="M22" s="48"/>
      <c r="N22" s="48"/>
      <c r="O22" s="48"/>
      <c r="P22" s="48"/>
      <c r="Q22" s="48"/>
      <c r="R22" s="48"/>
      <c r="S22" s="48"/>
      <c r="T22" s="48"/>
      <c r="U22" s="48"/>
      <c r="V22" s="48"/>
      <c r="W22" s="48"/>
      <c r="X22" s="48"/>
      <c r="Y22" s="48"/>
      <c r="Z22" s="48"/>
      <c r="AA22" s="48"/>
      <c r="AB22" s="48"/>
      <c r="AC22" s="48"/>
      <c r="AD22" s="48"/>
      <c r="AE22" s="48"/>
      <c r="AF22" s="48"/>
      <c r="AG22" s="48"/>
      <c r="AH22" s="48"/>
      <c r="AI22" s="48"/>
    </row>
    <row r="23" spans="1:35" ht="15.75" customHeight="1" x14ac:dyDescent="0.2">
      <c r="A23" s="48"/>
      <c r="B23" s="48"/>
      <c r="C23" s="48"/>
      <c r="D23" s="48"/>
      <c r="E23" s="48"/>
      <c r="F23" s="48"/>
      <c r="G23" s="48"/>
      <c r="H23" s="48"/>
      <c r="I23" s="48"/>
      <c r="J23" s="48"/>
      <c r="K23" s="48"/>
      <c r="L23" s="48"/>
      <c r="M23" s="48"/>
      <c r="N23" s="48"/>
      <c r="O23" s="48"/>
      <c r="P23" s="48"/>
      <c r="Q23" s="48"/>
      <c r="R23" s="48"/>
      <c r="S23" s="48"/>
      <c r="T23" s="48"/>
      <c r="U23" s="48"/>
      <c r="V23" s="48"/>
      <c r="W23" s="48"/>
      <c r="X23" s="48"/>
      <c r="Y23" s="48"/>
      <c r="Z23" s="48"/>
      <c r="AA23" s="48"/>
      <c r="AB23" s="48"/>
      <c r="AC23" s="48"/>
      <c r="AD23" s="48"/>
      <c r="AE23" s="48"/>
      <c r="AF23" s="48"/>
      <c r="AG23" s="48"/>
      <c r="AH23" s="48"/>
      <c r="AI23" s="48"/>
    </row>
    <row r="24" spans="1:35" ht="15.75" customHeight="1" x14ac:dyDescent="0.2">
      <c r="A24" s="48"/>
      <c r="B24" s="48"/>
      <c r="C24" s="48"/>
      <c r="D24" s="48"/>
      <c r="E24" s="48"/>
      <c r="F24" s="48"/>
      <c r="G24" s="48"/>
      <c r="H24" s="48"/>
      <c r="I24" s="48"/>
      <c r="J24" s="48"/>
      <c r="K24" s="48"/>
      <c r="L24" s="48"/>
      <c r="M24" s="48"/>
      <c r="N24" s="48"/>
      <c r="O24" s="48"/>
      <c r="P24" s="48"/>
      <c r="Q24" s="48"/>
      <c r="R24" s="48"/>
      <c r="S24" s="48"/>
      <c r="T24" s="48"/>
      <c r="U24" s="48"/>
      <c r="V24" s="48"/>
      <c r="W24" s="48"/>
      <c r="X24" s="48"/>
      <c r="Y24" s="48"/>
      <c r="Z24" s="48"/>
      <c r="AA24" s="48"/>
      <c r="AB24" s="48"/>
      <c r="AC24" s="48"/>
      <c r="AD24" s="48"/>
      <c r="AE24" s="48"/>
      <c r="AF24" s="48"/>
      <c r="AG24" s="48"/>
      <c r="AH24" s="48"/>
      <c r="AI24" s="48"/>
    </row>
    <row r="25" spans="1:35" ht="15.75" customHeight="1" x14ac:dyDescent="0.2">
      <c r="A25" s="48"/>
      <c r="B25" s="48"/>
      <c r="C25" s="48"/>
      <c r="D25" s="48"/>
      <c r="E25" s="48"/>
      <c r="F25" s="48"/>
      <c r="G25" s="48"/>
      <c r="H25" s="48"/>
      <c r="I25" s="48"/>
      <c r="J25" s="48"/>
      <c r="K25" s="48"/>
      <c r="L25" s="48"/>
      <c r="M25" s="48"/>
      <c r="N25" s="48"/>
      <c r="O25" s="48"/>
      <c r="P25" s="48"/>
      <c r="Q25" s="48"/>
      <c r="R25" s="48"/>
      <c r="S25" s="48"/>
      <c r="T25" s="48"/>
      <c r="U25" s="48"/>
      <c r="V25" s="48"/>
      <c r="W25" s="48"/>
      <c r="X25" s="48"/>
      <c r="Y25" s="48"/>
      <c r="Z25" s="48"/>
      <c r="AA25" s="48"/>
      <c r="AB25" s="48"/>
      <c r="AC25" s="48"/>
      <c r="AD25" s="48"/>
      <c r="AE25" s="48"/>
      <c r="AF25" s="48"/>
      <c r="AG25" s="48"/>
      <c r="AH25" s="48"/>
      <c r="AI25" s="48"/>
    </row>
    <row r="26" spans="1:35" ht="15.75" customHeight="1" x14ac:dyDescent="0.2">
      <c r="A26" s="48"/>
      <c r="B26" s="48"/>
      <c r="C26" s="48"/>
      <c r="D26" s="48"/>
      <c r="E26" s="48"/>
      <c r="F26" s="48"/>
      <c r="G26" s="48"/>
      <c r="H26" s="48"/>
      <c r="I26" s="48"/>
      <c r="J26" s="48"/>
      <c r="K26" s="48"/>
      <c r="L26" s="48"/>
      <c r="M26" s="48"/>
      <c r="N26" s="48"/>
      <c r="O26" s="48"/>
      <c r="P26" s="48"/>
      <c r="Q26" s="48"/>
      <c r="R26" s="48"/>
      <c r="S26" s="48"/>
      <c r="T26" s="48"/>
      <c r="U26" s="48"/>
      <c r="V26" s="48"/>
      <c r="W26" s="48"/>
      <c r="X26" s="48"/>
      <c r="Y26" s="48"/>
      <c r="Z26" s="48"/>
      <c r="AA26" s="48"/>
      <c r="AB26" s="48"/>
      <c r="AC26" s="48"/>
      <c r="AD26" s="48"/>
      <c r="AE26" s="48"/>
      <c r="AF26" s="48"/>
      <c r="AG26" s="48"/>
      <c r="AH26" s="48"/>
      <c r="AI26" s="48"/>
    </row>
    <row r="27" spans="1:35" ht="15.75" customHeight="1" x14ac:dyDescent="0.2">
      <c r="A27" s="48"/>
      <c r="B27" s="48"/>
      <c r="C27" s="48"/>
      <c r="D27" s="48"/>
      <c r="E27" s="48"/>
      <c r="F27" s="48"/>
      <c r="G27" s="48"/>
      <c r="H27" s="48"/>
      <c r="I27" s="48"/>
      <c r="J27" s="48"/>
      <c r="K27" s="48"/>
      <c r="L27" s="48"/>
      <c r="M27" s="48"/>
      <c r="N27" s="48"/>
      <c r="O27" s="48"/>
      <c r="P27" s="48"/>
      <c r="Q27" s="48"/>
      <c r="R27" s="48"/>
      <c r="S27" s="48"/>
      <c r="T27" s="48"/>
      <c r="U27" s="48"/>
      <c r="V27" s="48"/>
      <c r="W27" s="48"/>
      <c r="X27" s="48"/>
      <c r="Y27" s="48"/>
      <c r="Z27" s="48"/>
      <c r="AA27" s="48"/>
      <c r="AB27" s="48"/>
      <c r="AC27" s="48"/>
      <c r="AD27" s="48"/>
      <c r="AE27" s="48"/>
      <c r="AF27" s="48"/>
      <c r="AG27" s="48"/>
      <c r="AH27" s="48"/>
      <c r="AI27" s="48"/>
    </row>
    <row r="28" spans="1:35" ht="15.75" customHeight="1" x14ac:dyDescent="0.2">
      <c r="A28" s="48"/>
      <c r="B28" s="48"/>
      <c r="C28" s="48"/>
      <c r="D28" s="48"/>
      <c r="E28" s="48"/>
      <c r="F28" s="48"/>
      <c r="G28" s="48"/>
      <c r="H28" s="48"/>
      <c r="I28" s="48"/>
      <c r="J28" s="48"/>
      <c r="K28" s="48"/>
      <c r="L28" s="48"/>
      <c r="M28" s="48"/>
      <c r="N28" s="48"/>
      <c r="O28" s="48"/>
      <c r="P28" s="48"/>
      <c r="Q28" s="48"/>
      <c r="R28" s="48"/>
      <c r="S28" s="48"/>
      <c r="T28" s="48"/>
      <c r="U28" s="48"/>
      <c r="V28" s="48"/>
      <c r="W28" s="48"/>
      <c r="X28" s="48"/>
      <c r="Y28" s="48"/>
      <c r="Z28" s="48"/>
      <c r="AA28" s="48"/>
      <c r="AB28" s="48"/>
      <c r="AC28" s="48"/>
      <c r="AD28" s="48"/>
      <c r="AE28" s="48"/>
      <c r="AF28" s="48"/>
      <c r="AG28" s="48"/>
      <c r="AH28" s="48"/>
      <c r="AI28" s="48"/>
    </row>
    <row r="29" spans="1:35" ht="15.75" customHeight="1" x14ac:dyDescent="0.2">
      <c r="A29" s="48"/>
      <c r="B29" s="48"/>
      <c r="C29" s="48"/>
      <c r="D29" s="48"/>
      <c r="E29" s="48"/>
      <c r="F29" s="48"/>
      <c r="G29" s="48"/>
      <c r="H29" s="48"/>
      <c r="I29" s="48"/>
      <c r="J29" s="48"/>
      <c r="K29" s="48"/>
      <c r="L29" s="48"/>
      <c r="M29" s="48"/>
      <c r="N29" s="48"/>
      <c r="O29" s="48"/>
      <c r="P29" s="48"/>
      <c r="Q29" s="48"/>
      <c r="R29" s="48"/>
      <c r="S29" s="48"/>
      <c r="T29" s="48"/>
      <c r="U29" s="48"/>
      <c r="V29" s="48"/>
      <c r="W29" s="48"/>
      <c r="X29" s="48"/>
      <c r="Y29" s="48"/>
      <c r="Z29" s="48"/>
      <c r="AA29" s="48"/>
      <c r="AB29" s="48"/>
      <c r="AC29" s="48"/>
      <c r="AD29" s="48"/>
      <c r="AE29" s="48"/>
      <c r="AF29" s="48"/>
      <c r="AG29" s="48"/>
      <c r="AH29" s="48"/>
      <c r="AI29" s="48"/>
    </row>
    <row r="30" spans="1:35" ht="15.75" customHeight="1" x14ac:dyDescent="0.2">
      <c r="A30" s="48"/>
      <c r="B30" s="48"/>
      <c r="C30" s="48"/>
      <c r="D30" s="48"/>
      <c r="E30" s="48"/>
      <c r="F30" s="48"/>
      <c r="G30" s="48"/>
      <c r="H30" s="48"/>
      <c r="I30" s="48"/>
      <c r="J30" s="48"/>
      <c r="K30" s="48"/>
      <c r="L30" s="48"/>
      <c r="M30" s="48"/>
      <c r="N30" s="48"/>
      <c r="O30" s="48"/>
      <c r="P30" s="48"/>
      <c r="Q30" s="48"/>
      <c r="R30" s="48"/>
      <c r="S30" s="48"/>
      <c r="T30" s="48"/>
      <c r="U30" s="48"/>
      <c r="V30" s="48"/>
      <c r="W30" s="48"/>
      <c r="X30" s="48"/>
      <c r="Y30" s="48"/>
      <c r="Z30" s="48"/>
      <c r="AA30" s="48"/>
      <c r="AB30" s="48"/>
      <c r="AC30" s="48"/>
      <c r="AD30" s="48"/>
      <c r="AE30" s="48"/>
      <c r="AF30" s="48"/>
      <c r="AG30" s="48"/>
      <c r="AH30" s="48"/>
      <c r="AI30" s="48"/>
    </row>
    <row r="31" spans="1:35" ht="15.75" customHeight="1" x14ac:dyDescent="0.2">
      <c r="A31" s="48"/>
      <c r="B31" s="48"/>
      <c r="C31" s="48"/>
      <c r="D31" s="48"/>
      <c r="E31" s="48"/>
      <c r="F31" s="48"/>
      <c r="G31" s="48"/>
      <c r="H31" s="48"/>
      <c r="I31" s="48"/>
      <c r="J31" s="48"/>
      <c r="K31" s="48"/>
      <c r="L31" s="48"/>
      <c r="M31" s="48"/>
      <c r="N31" s="48"/>
      <c r="O31" s="48"/>
      <c r="P31" s="48"/>
      <c r="Q31" s="48"/>
      <c r="R31" s="48"/>
      <c r="S31" s="48"/>
      <c r="T31" s="48"/>
      <c r="U31" s="48"/>
      <c r="V31" s="48"/>
      <c r="W31" s="48"/>
      <c r="X31" s="48"/>
      <c r="Y31" s="48"/>
      <c r="Z31" s="48"/>
      <c r="AA31" s="48"/>
      <c r="AB31" s="48"/>
      <c r="AC31" s="48"/>
      <c r="AD31" s="48"/>
      <c r="AE31" s="48"/>
      <c r="AF31" s="48"/>
      <c r="AG31" s="48"/>
      <c r="AH31" s="48"/>
      <c r="AI31" s="48"/>
    </row>
    <row r="32" spans="1:35" ht="15.75" customHeight="1" x14ac:dyDescent="0.2">
      <c r="A32" s="48"/>
      <c r="B32" s="48"/>
      <c r="C32" s="48"/>
      <c r="D32" s="48"/>
      <c r="E32" s="48"/>
      <c r="F32" s="48"/>
      <c r="G32" s="48"/>
      <c r="H32" s="48"/>
      <c r="I32" s="48"/>
      <c r="J32" s="48"/>
      <c r="K32" s="48"/>
      <c r="L32" s="48"/>
      <c r="M32" s="48"/>
      <c r="N32" s="48"/>
      <c r="O32" s="48"/>
      <c r="P32" s="48"/>
      <c r="Q32" s="48"/>
      <c r="R32" s="48"/>
      <c r="S32" s="48"/>
      <c r="T32" s="48"/>
      <c r="U32" s="48"/>
      <c r="V32" s="48"/>
      <c r="W32" s="48"/>
      <c r="X32" s="48"/>
      <c r="Y32" s="48"/>
      <c r="Z32" s="48"/>
      <c r="AA32" s="48"/>
      <c r="AB32" s="48"/>
      <c r="AC32" s="48"/>
      <c r="AD32" s="48"/>
      <c r="AE32" s="48"/>
      <c r="AF32" s="48"/>
      <c r="AG32" s="48"/>
      <c r="AH32" s="48"/>
      <c r="AI32" s="48"/>
    </row>
    <row r="33" spans="1:35" ht="15.75" customHeight="1" x14ac:dyDescent="0.2">
      <c r="A33" s="48"/>
      <c r="B33" s="48"/>
      <c r="C33" s="48"/>
      <c r="D33" s="48"/>
      <c r="E33" s="48"/>
      <c r="F33" s="48"/>
      <c r="G33" s="48"/>
      <c r="H33" s="48"/>
      <c r="I33" s="48"/>
      <c r="J33" s="48"/>
      <c r="K33" s="48"/>
      <c r="L33" s="48"/>
      <c r="M33" s="48"/>
      <c r="N33" s="48"/>
      <c r="O33" s="48"/>
      <c r="P33" s="48"/>
      <c r="Q33" s="48"/>
      <c r="R33" s="48"/>
      <c r="S33" s="48"/>
      <c r="T33" s="48"/>
      <c r="U33" s="48"/>
      <c r="V33" s="48"/>
      <c r="W33" s="48"/>
      <c r="X33" s="48"/>
      <c r="Y33" s="48"/>
      <c r="Z33" s="48"/>
      <c r="AA33" s="48"/>
      <c r="AB33" s="48"/>
      <c r="AC33" s="48"/>
      <c r="AD33" s="48"/>
      <c r="AE33" s="48"/>
      <c r="AF33" s="48"/>
      <c r="AG33" s="48"/>
      <c r="AH33" s="48"/>
      <c r="AI33" s="48"/>
    </row>
    <row r="34" spans="1:35" ht="15.75" customHeight="1" x14ac:dyDescent="0.2">
      <c r="A34" s="48"/>
      <c r="B34" s="48"/>
      <c r="C34" s="48"/>
      <c r="D34" s="48"/>
      <c r="E34" s="48"/>
      <c r="F34" s="48"/>
      <c r="G34" s="48"/>
      <c r="H34" s="48"/>
      <c r="I34" s="48"/>
      <c r="J34" s="48"/>
      <c r="K34" s="48"/>
      <c r="L34" s="48"/>
      <c r="M34" s="48"/>
      <c r="N34" s="48"/>
      <c r="O34" s="48"/>
      <c r="P34" s="48"/>
      <c r="Q34" s="48"/>
      <c r="R34" s="48"/>
      <c r="S34" s="48"/>
      <c r="T34" s="48"/>
      <c r="U34" s="48"/>
      <c r="V34" s="48"/>
      <c r="W34" s="48"/>
      <c r="X34" s="48"/>
      <c r="Y34" s="48"/>
      <c r="Z34" s="48"/>
      <c r="AA34" s="48"/>
      <c r="AB34" s="48"/>
      <c r="AC34" s="48"/>
      <c r="AD34" s="48"/>
      <c r="AE34" s="48"/>
      <c r="AF34" s="48"/>
      <c r="AG34" s="48"/>
      <c r="AH34" s="48"/>
      <c r="AI34" s="48"/>
    </row>
    <row r="35" spans="1:35" ht="15.75" customHeight="1" x14ac:dyDescent="0.2">
      <c r="A35" s="48"/>
      <c r="B35" s="48"/>
      <c r="C35" s="48"/>
      <c r="D35" s="48"/>
      <c r="E35" s="48"/>
      <c r="F35" s="48"/>
      <c r="G35" s="48"/>
      <c r="H35" s="48"/>
      <c r="I35" s="48"/>
      <c r="J35" s="48"/>
      <c r="K35" s="48"/>
      <c r="L35" s="48"/>
      <c r="M35" s="48"/>
      <c r="N35" s="48"/>
      <c r="O35" s="48"/>
      <c r="P35" s="48"/>
      <c r="Q35" s="48"/>
      <c r="R35" s="48"/>
      <c r="S35" s="48"/>
      <c r="T35" s="48"/>
      <c r="U35" s="48"/>
      <c r="V35" s="48"/>
      <c r="W35" s="48"/>
      <c r="X35" s="48"/>
      <c r="Y35" s="48"/>
      <c r="Z35" s="48"/>
      <c r="AA35" s="48"/>
      <c r="AB35" s="48"/>
      <c r="AC35" s="48"/>
      <c r="AD35" s="48"/>
      <c r="AE35" s="48"/>
      <c r="AF35" s="48"/>
      <c r="AG35" s="48"/>
      <c r="AH35" s="48"/>
      <c r="AI35" s="48"/>
    </row>
    <row r="36" spans="1:35" ht="15.75" customHeight="1" x14ac:dyDescent="0.2">
      <c r="A36" s="48"/>
      <c r="B36" s="48"/>
      <c r="C36" s="48"/>
      <c r="D36" s="48"/>
      <c r="E36" s="48"/>
      <c r="F36" s="48"/>
      <c r="G36" s="48"/>
      <c r="H36" s="48"/>
      <c r="I36" s="48"/>
      <c r="J36" s="48"/>
      <c r="K36" s="48"/>
      <c r="L36" s="48"/>
      <c r="M36" s="48"/>
      <c r="N36" s="48"/>
      <c r="O36" s="48"/>
      <c r="P36" s="48"/>
      <c r="Q36" s="48"/>
      <c r="R36" s="48"/>
      <c r="S36" s="48"/>
      <c r="T36" s="48"/>
      <c r="U36" s="48"/>
      <c r="V36" s="48"/>
      <c r="W36" s="48"/>
      <c r="X36" s="48"/>
      <c r="Y36" s="48"/>
      <c r="Z36" s="48"/>
      <c r="AA36" s="48"/>
      <c r="AB36" s="48"/>
      <c r="AC36" s="48"/>
      <c r="AD36" s="48"/>
      <c r="AE36" s="48"/>
      <c r="AF36" s="48"/>
      <c r="AG36" s="48"/>
      <c r="AH36" s="48"/>
      <c r="AI36" s="48"/>
    </row>
    <row r="37" spans="1:35" ht="15.75" customHeight="1" x14ac:dyDescent="0.2">
      <c r="A37" s="48"/>
      <c r="B37" s="48"/>
      <c r="C37" s="48"/>
      <c r="D37" s="48"/>
      <c r="E37" s="48"/>
      <c r="F37" s="48"/>
      <c r="G37" s="48"/>
      <c r="H37" s="48"/>
      <c r="I37" s="48"/>
      <c r="J37" s="48"/>
      <c r="K37" s="48"/>
      <c r="L37" s="48"/>
      <c r="M37" s="48"/>
      <c r="N37" s="48"/>
      <c r="O37" s="48"/>
      <c r="P37" s="48"/>
      <c r="Q37" s="48"/>
      <c r="R37" s="48"/>
      <c r="S37" s="48"/>
      <c r="T37" s="48"/>
      <c r="U37" s="48"/>
      <c r="V37" s="48"/>
      <c r="W37" s="48"/>
      <c r="X37" s="48"/>
      <c r="Y37" s="48"/>
      <c r="Z37" s="48"/>
      <c r="AA37" s="48"/>
      <c r="AB37" s="48"/>
      <c r="AC37" s="48"/>
      <c r="AD37" s="48"/>
      <c r="AE37" s="48"/>
      <c r="AF37" s="48"/>
      <c r="AG37" s="48"/>
      <c r="AH37" s="48"/>
      <c r="AI37" s="48"/>
    </row>
    <row r="38" spans="1:35" ht="15.75" customHeight="1" x14ac:dyDescent="0.2">
      <c r="A38" s="48"/>
      <c r="B38" s="48"/>
      <c r="C38" s="48"/>
      <c r="D38" s="48"/>
      <c r="E38" s="48"/>
      <c r="F38" s="48"/>
      <c r="G38" s="48"/>
      <c r="H38" s="48"/>
      <c r="I38" s="48"/>
      <c r="J38" s="48"/>
      <c r="K38" s="48"/>
      <c r="L38" s="48"/>
      <c r="M38" s="48"/>
      <c r="N38" s="48"/>
      <c r="O38" s="48"/>
      <c r="P38" s="48"/>
      <c r="Q38" s="48"/>
      <c r="R38" s="48"/>
      <c r="S38" s="48"/>
      <c r="T38" s="48"/>
      <c r="U38" s="48"/>
      <c r="V38" s="48"/>
      <c r="W38" s="48"/>
      <c r="X38" s="48"/>
      <c r="Y38" s="48"/>
      <c r="Z38" s="48"/>
      <c r="AA38" s="48"/>
      <c r="AB38" s="48"/>
      <c r="AC38" s="48"/>
      <c r="AD38" s="48"/>
      <c r="AE38" s="48"/>
      <c r="AF38" s="48"/>
      <c r="AG38" s="48"/>
      <c r="AH38" s="48"/>
      <c r="AI38" s="48"/>
    </row>
    <row r="39" spans="1:35" ht="15.75" customHeight="1" x14ac:dyDescent="0.2">
      <c r="A39" s="48"/>
      <c r="B39" s="48"/>
      <c r="C39" s="48"/>
      <c r="D39" s="48"/>
      <c r="E39" s="48"/>
      <c r="F39" s="48"/>
      <c r="G39" s="48"/>
      <c r="H39" s="48"/>
      <c r="I39" s="48"/>
      <c r="J39" s="48"/>
      <c r="K39" s="48"/>
      <c r="L39" s="48"/>
      <c r="M39" s="48"/>
      <c r="N39" s="48"/>
      <c r="O39" s="48"/>
      <c r="P39" s="48"/>
      <c r="Q39" s="48"/>
      <c r="R39" s="48"/>
      <c r="S39" s="48"/>
      <c r="T39" s="48"/>
      <c r="U39" s="48"/>
      <c r="V39" s="48"/>
      <c r="W39" s="48"/>
      <c r="X39" s="48"/>
      <c r="Y39" s="48"/>
      <c r="Z39" s="48"/>
      <c r="AA39" s="48"/>
      <c r="AB39" s="48"/>
      <c r="AC39" s="48"/>
      <c r="AD39" s="48"/>
      <c r="AE39" s="48"/>
      <c r="AF39" s="48"/>
      <c r="AG39" s="48"/>
      <c r="AH39" s="48"/>
      <c r="AI39" s="48"/>
    </row>
    <row r="40" spans="1:35" ht="15.75" customHeight="1" x14ac:dyDescent="0.2">
      <c r="A40" s="48"/>
      <c r="B40" s="48"/>
      <c r="C40" s="48"/>
      <c r="D40" s="48"/>
      <c r="E40" s="48"/>
      <c r="F40" s="48"/>
      <c r="G40" s="48"/>
      <c r="H40" s="48"/>
      <c r="I40" s="48"/>
      <c r="J40" s="48"/>
      <c r="K40" s="48"/>
      <c r="L40" s="48"/>
      <c r="M40" s="48"/>
      <c r="N40" s="48"/>
      <c r="O40" s="48"/>
      <c r="P40" s="48"/>
      <c r="Q40" s="48"/>
      <c r="R40" s="48"/>
      <c r="S40" s="48"/>
      <c r="T40" s="48"/>
      <c r="U40" s="48"/>
      <c r="V40" s="48"/>
      <c r="W40" s="48"/>
      <c r="X40" s="48"/>
      <c r="Y40" s="48"/>
      <c r="Z40" s="48"/>
      <c r="AA40" s="48"/>
      <c r="AB40" s="48"/>
      <c r="AC40" s="48"/>
      <c r="AD40" s="48"/>
      <c r="AE40" s="48"/>
      <c r="AF40" s="48"/>
      <c r="AG40" s="48"/>
      <c r="AH40" s="48"/>
      <c r="AI40" s="48"/>
    </row>
    <row r="41" spans="1:35" ht="15.75" customHeight="1" x14ac:dyDescent="0.2">
      <c r="A41" s="48"/>
      <c r="B41" s="48"/>
      <c r="C41" s="48"/>
      <c r="D41" s="48"/>
      <c r="E41" s="48"/>
      <c r="F41" s="48"/>
      <c r="G41" s="48"/>
      <c r="H41" s="48"/>
      <c r="I41" s="48"/>
      <c r="J41" s="48"/>
      <c r="K41" s="48"/>
      <c r="L41" s="48"/>
      <c r="M41" s="48"/>
      <c r="N41" s="48"/>
      <c r="O41" s="48"/>
      <c r="P41" s="48"/>
      <c r="Q41" s="48"/>
      <c r="R41" s="48"/>
      <c r="S41" s="48"/>
      <c r="T41" s="48"/>
      <c r="U41" s="48"/>
      <c r="V41" s="48"/>
      <c r="W41" s="48"/>
      <c r="X41" s="48"/>
      <c r="Y41" s="48"/>
      <c r="Z41" s="48"/>
      <c r="AA41" s="48"/>
      <c r="AB41" s="48"/>
      <c r="AC41" s="48"/>
      <c r="AD41" s="48"/>
      <c r="AE41" s="48"/>
      <c r="AF41" s="48"/>
      <c r="AG41" s="48"/>
      <c r="AH41" s="48"/>
      <c r="AI41" s="48"/>
    </row>
    <row r="42" spans="1:35" ht="15.75" customHeight="1" x14ac:dyDescent="0.2">
      <c r="A42" s="48"/>
      <c r="B42" s="48"/>
      <c r="C42" s="48"/>
      <c r="D42" s="48"/>
      <c r="E42" s="48"/>
      <c r="F42" s="48"/>
      <c r="G42" s="48"/>
      <c r="H42" s="48"/>
      <c r="I42" s="48"/>
      <c r="J42" s="48"/>
      <c r="K42" s="48"/>
      <c r="L42" s="48"/>
      <c r="M42" s="48"/>
      <c r="N42" s="48"/>
      <c r="O42" s="48"/>
      <c r="P42" s="48"/>
      <c r="Q42" s="48"/>
      <c r="R42" s="48"/>
      <c r="S42" s="48"/>
      <c r="T42" s="48"/>
      <c r="U42" s="48"/>
      <c r="V42" s="48"/>
      <c r="W42" s="48"/>
      <c r="X42" s="48"/>
      <c r="Y42" s="48"/>
      <c r="Z42" s="48"/>
      <c r="AA42" s="48"/>
      <c r="AB42" s="48"/>
      <c r="AC42" s="48"/>
      <c r="AD42" s="48"/>
      <c r="AE42" s="48"/>
      <c r="AF42" s="48"/>
      <c r="AG42" s="48"/>
      <c r="AH42" s="48"/>
      <c r="AI42" s="48"/>
    </row>
    <row r="43" spans="1:35" ht="15.75" customHeight="1" x14ac:dyDescent="0.2">
      <c r="A43" s="48"/>
      <c r="B43" s="48"/>
      <c r="C43" s="48"/>
      <c r="D43" s="48"/>
      <c r="E43" s="48"/>
      <c r="F43" s="48"/>
      <c r="G43" s="48"/>
      <c r="H43" s="48"/>
      <c r="I43" s="48"/>
      <c r="J43" s="48"/>
      <c r="K43" s="48"/>
      <c r="L43" s="48"/>
      <c r="M43" s="48"/>
      <c r="N43" s="48"/>
      <c r="O43" s="48"/>
      <c r="P43" s="48"/>
      <c r="Q43" s="48"/>
      <c r="R43" s="48"/>
      <c r="S43" s="48"/>
      <c r="T43" s="48"/>
      <c r="U43" s="48"/>
      <c r="V43" s="48"/>
      <c r="W43" s="48"/>
      <c r="X43" s="48"/>
      <c r="Y43" s="48"/>
      <c r="Z43" s="48"/>
      <c r="AA43" s="48"/>
      <c r="AB43" s="48"/>
      <c r="AC43" s="48"/>
      <c r="AD43" s="48"/>
      <c r="AE43" s="48"/>
      <c r="AF43" s="48"/>
      <c r="AG43" s="48"/>
      <c r="AH43" s="48"/>
      <c r="AI43" s="48"/>
    </row>
    <row r="44" spans="1:35" ht="15.75" customHeight="1" x14ac:dyDescent="0.2">
      <c r="A44" s="48"/>
      <c r="B44" s="48"/>
      <c r="C44" s="48"/>
      <c r="D44" s="48"/>
      <c r="E44" s="48"/>
      <c r="F44" s="48"/>
      <c r="G44" s="48"/>
      <c r="H44" s="48"/>
      <c r="I44" s="48"/>
      <c r="J44" s="48"/>
      <c r="K44" s="48"/>
      <c r="L44" s="48"/>
      <c r="M44" s="48"/>
      <c r="N44" s="48"/>
      <c r="O44" s="48"/>
      <c r="P44" s="48"/>
      <c r="Q44" s="48"/>
      <c r="R44" s="48"/>
      <c r="S44" s="48"/>
      <c r="T44" s="48"/>
      <c r="U44" s="48"/>
      <c r="V44" s="48"/>
      <c r="W44" s="48"/>
      <c r="X44" s="48"/>
      <c r="Y44" s="48"/>
      <c r="Z44" s="48"/>
      <c r="AA44" s="48"/>
      <c r="AB44" s="48"/>
      <c r="AC44" s="48"/>
      <c r="AD44" s="48"/>
      <c r="AE44" s="48"/>
      <c r="AF44" s="48"/>
      <c r="AG44" s="48"/>
      <c r="AH44" s="48"/>
      <c r="AI44" s="48"/>
    </row>
    <row r="45" spans="1:35" ht="15.75" customHeight="1" x14ac:dyDescent="0.2">
      <c r="A45" s="48"/>
      <c r="B45" s="48"/>
      <c r="C45" s="48"/>
      <c r="D45" s="48"/>
      <c r="E45" s="48"/>
      <c r="F45" s="48"/>
      <c r="G45" s="48"/>
      <c r="H45" s="48"/>
      <c r="I45" s="48"/>
      <c r="J45" s="48"/>
      <c r="K45" s="48"/>
      <c r="L45" s="48"/>
      <c r="M45" s="48"/>
      <c r="N45" s="48"/>
      <c r="O45" s="48"/>
      <c r="P45" s="48"/>
      <c r="Q45" s="48"/>
      <c r="R45" s="48"/>
      <c r="S45" s="48"/>
      <c r="T45" s="48"/>
      <c r="U45" s="48"/>
      <c r="V45" s="48"/>
      <c r="W45" s="48"/>
      <c r="X45" s="48"/>
      <c r="Y45" s="48"/>
      <c r="Z45" s="48"/>
      <c r="AA45" s="48"/>
      <c r="AB45" s="48"/>
      <c r="AC45" s="48"/>
      <c r="AD45" s="48"/>
      <c r="AE45" s="48"/>
      <c r="AF45" s="48"/>
      <c r="AG45" s="48"/>
      <c r="AH45" s="48"/>
      <c r="AI45" s="48"/>
    </row>
    <row r="46" spans="1:35" ht="15.75" customHeight="1" x14ac:dyDescent="0.2">
      <c r="A46" s="48"/>
      <c r="B46" s="48"/>
      <c r="C46" s="48"/>
      <c r="D46" s="48"/>
      <c r="E46" s="48"/>
      <c r="F46" s="48"/>
      <c r="G46" s="48"/>
      <c r="H46" s="48"/>
      <c r="I46" s="48"/>
      <c r="J46" s="48"/>
      <c r="K46" s="48"/>
      <c r="L46" s="48"/>
      <c r="M46" s="48"/>
      <c r="N46" s="48"/>
      <c r="O46" s="48"/>
      <c r="P46" s="48"/>
      <c r="Q46" s="48"/>
      <c r="R46" s="48"/>
      <c r="S46" s="48"/>
      <c r="T46" s="48"/>
      <c r="U46" s="48"/>
      <c r="V46" s="48"/>
      <c r="W46" s="48"/>
      <c r="X46" s="48"/>
      <c r="Y46" s="48"/>
      <c r="Z46" s="48"/>
      <c r="AA46" s="48"/>
      <c r="AB46" s="48"/>
      <c r="AC46" s="48"/>
      <c r="AD46" s="48"/>
      <c r="AE46" s="48"/>
      <c r="AF46" s="48"/>
      <c r="AG46" s="48"/>
      <c r="AH46" s="48"/>
      <c r="AI46" s="48"/>
    </row>
    <row r="47" spans="1:35" ht="15.75" customHeight="1" x14ac:dyDescent="0.2">
      <c r="A47" s="48"/>
      <c r="B47" s="48"/>
      <c r="C47" s="48"/>
      <c r="D47" s="48"/>
      <c r="E47" s="48"/>
      <c r="F47" s="48"/>
      <c r="G47" s="48"/>
      <c r="H47" s="48"/>
      <c r="I47" s="48"/>
      <c r="J47" s="48"/>
      <c r="K47" s="48"/>
      <c r="L47" s="48"/>
      <c r="M47" s="48"/>
      <c r="N47" s="48"/>
      <c r="O47" s="48"/>
      <c r="P47" s="48"/>
      <c r="Q47" s="48"/>
      <c r="R47" s="48"/>
      <c r="S47" s="48"/>
      <c r="T47" s="48"/>
      <c r="U47" s="48"/>
      <c r="V47" s="48"/>
      <c r="W47" s="48"/>
      <c r="X47" s="48"/>
      <c r="Y47" s="48"/>
      <c r="Z47" s="48"/>
      <c r="AA47" s="48"/>
      <c r="AB47" s="48"/>
      <c r="AC47" s="48"/>
      <c r="AD47" s="48"/>
      <c r="AE47" s="48"/>
      <c r="AF47" s="48"/>
      <c r="AG47" s="48"/>
      <c r="AH47" s="48"/>
      <c r="AI47" s="48"/>
    </row>
    <row r="48" spans="1:35" ht="15.75" customHeight="1" x14ac:dyDescent="0.2">
      <c r="A48" s="48"/>
      <c r="B48" s="48"/>
      <c r="C48" s="48"/>
      <c r="D48" s="48"/>
      <c r="E48" s="48"/>
      <c r="F48" s="48"/>
      <c r="G48" s="48"/>
      <c r="H48" s="48"/>
      <c r="I48" s="48"/>
      <c r="J48" s="48"/>
      <c r="K48" s="48"/>
      <c r="L48" s="48"/>
      <c r="M48" s="48"/>
      <c r="N48" s="48"/>
      <c r="O48" s="48"/>
      <c r="P48" s="48"/>
      <c r="Q48" s="48"/>
      <c r="R48" s="48"/>
      <c r="S48" s="48"/>
      <c r="T48" s="48"/>
      <c r="U48" s="48"/>
      <c r="V48" s="48"/>
      <c r="W48" s="48"/>
      <c r="X48" s="48"/>
      <c r="Y48" s="48"/>
      <c r="Z48" s="48"/>
      <c r="AA48" s="48"/>
      <c r="AB48" s="48"/>
      <c r="AC48" s="48"/>
      <c r="AD48" s="48"/>
      <c r="AE48" s="48"/>
      <c r="AF48" s="48"/>
      <c r="AG48" s="48"/>
      <c r="AH48" s="48"/>
      <c r="AI48" s="48"/>
    </row>
    <row r="49" spans="1:35" ht="15.75" customHeight="1" x14ac:dyDescent="0.2">
      <c r="A49" s="48"/>
      <c r="B49" s="48"/>
      <c r="C49" s="48"/>
      <c r="D49" s="48"/>
      <c r="E49" s="48"/>
      <c r="F49" s="48"/>
      <c r="G49" s="48"/>
      <c r="H49" s="48"/>
      <c r="I49" s="48"/>
      <c r="J49" s="48"/>
      <c r="K49" s="48"/>
      <c r="L49" s="48"/>
      <c r="M49" s="48"/>
      <c r="N49" s="48"/>
      <c r="O49" s="48"/>
      <c r="P49" s="48"/>
      <c r="Q49" s="48"/>
      <c r="R49" s="48"/>
      <c r="S49" s="48"/>
      <c r="T49" s="48"/>
      <c r="U49" s="48"/>
      <c r="V49" s="48"/>
      <c r="W49" s="48"/>
      <c r="X49" s="48"/>
      <c r="Y49" s="48"/>
      <c r="Z49" s="48"/>
      <c r="AA49" s="48"/>
      <c r="AB49" s="48"/>
      <c r="AC49" s="48"/>
      <c r="AD49" s="48"/>
      <c r="AE49" s="48"/>
      <c r="AF49" s="48"/>
      <c r="AG49" s="48"/>
      <c r="AH49" s="48"/>
      <c r="AI49" s="48"/>
    </row>
    <row r="50" spans="1:35" ht="15.75" customHeight="1" x14ac:dyDescent="0.2">
      <c r="A50" s="48"/>
      <c r="B50" s="48"/>
      <c r="C50" s="48"/>
      <c r="D50" s="48"/>
      <c r="E50" s="48"/>
      <c r="F50" s="48"/>
      <c r="G50" s="48"/>
      <c r="H50" s="48"/>
      <c r="I50" s="48"/>
      <c r="J50" s="48"/>
      <c r="K50" s="48"/>
      <c r="L50" s="48"/>
      <c r="M50" s="48"/>
      <c r="N50" s="48"/>
      <c r="O50" s="48"/>
      <c r="P50" s="48"/>
      <c r="Q50" s="48"/>
      <c r="R50" s="48"/>
      <c r="S50" s="48"/>
      <c r="T50" s="48"/>
      <c r="U50" s="48"/>
      <c r="V50" s="48"/>
      <c r="W50" s="48"/>
      <c r="X50" s="48"/>
      <c r="Y50" s="48"/>
      <c r="Z50" s="48"/>
      <c r="AA50" s="48"/>
      <c r="AB50" s="48"/>
      <c r="AC50" s="48"/>
      <c r="AD50" s="48"/>
      <c r="AE50" s="48"/>
      <c r="AF50" s="48"/>
      <c r="AG50" s="48"/>
      <c r="AH50" s="48"/>
      <c r="AI50" s="48"/>
    </row>
    <row r="51" spans="1:35" ht="15.75" customHeight="1" x14ac:dyDescent="0.2">
      <c r="A51" s="48"/>
      <c r="B51" s="48"/>
      <c r="C51" s="48"/>
      <c r="D51" s="48"/>
      <c r="E51" s="48"/>
      <c r="F51" s="48"/>
      <c r="G51" s="48"/>
      <c r="H51" s="48"/>
      <c r="I51" s="48"/>
      <c r="J51" s="48"/>
      <c r="K51" s="48"/>
      <c r="L51" s="48"/>
      <c r="M51" s="48"/>
      <c r="N51" s="48"/>
      <c r="O51" s="48"/>
      <c r="P51" s="48"/>
      <c r="Q51" s="48"/>
      <c r="R51" s="48"/>
      <c r="S51" s="48"/>
      <c r="T51" s="48"/>
      <c r="U51" s="48"/>
      <c r="V51" s="48"/>
      <c r="W51" s="48"/>
      <c r="X51" s="48"/>
      <c r="Y51" s="48"/>
      <c r="Z51" s="48"/>
      <c r="AA51" s="48"/>
      <c r="AB51" s="48"/>
      <c r="AC51" s="48"/>
      <c r="AD51" s="48"/>
      <c r="AE51" s="48"/>
      <c r="AF51" s="48"/>
      <c r="AG51" s="48"/>
      <c r="AH51" s="48"/>
      <c r="AI51" s="48"/>
    </row>
    <row r="52" spans="1:35" ht="15.75" customHeight="1" x14ac:dyDescent="0.2">
      <c r="A52" s="48"/>
      <c r="B52" s="48"/>
      <c r="C52" s="48"/>
      <c r="D52" s="48"/>
      <c r="E52" s="48"/>
      <c r="F52" s="48"/>
      <c r="G52" s="48"/>
      <c r="H52" s="48"/>
      <c r="I52" s="48"/>
      <c r="J52" s="48"/>
      <c r="K52" s="48"/>
      <c r="L52" s="48"/>
      <c r="M52" s="48"/>
      <c r="N52" s="48"/>
      <c r="O52" s="48"/>
      <c r="P52" s="48"/>
      <c r="Q52" s="48"/>
      <c r="R52" s="48"/>
      <c r="S52" s="48"/>
      <c r="T52" s="48"/>
      <c r="U52" s="48"/>
      <c r="V52" s="48"/>
      <c r="W52" s="48"/>
      <c r="X52" s="48"/>
      <c r="Y52" s="48"/>
      <c r="Z52" s="48"/>
      <c r="AA52" s="48"/>
      <c r="AB52" s="48"/>
      <c r="AC52" s="48"/>
      <c r="AD52" s="48"/>
      <c r="AE52" s="48"/>
      <c r="AF52" s="48"/>
      <c r="AG52" s="48"/>
      <c r="AH52" s="48"/>
      <c r="AI52" s="48"/>
    </row>
    <row r="53" spans="1:35" ht="15.75" customHeight="1" x14ac:dyDescent="0.2">
      <c r="A53" s="48"/>
      <c r="B53" s="48"/>
      <c r="C53" s="48"/>
      <c r="D53" s="48"/>
      <c r="E53" s="48"/>
      <c r="F53" s="48"/>
      <c r="G53" s="48"/>
      <c r="H53" s="48"/>
      <c r="I53" s="48"/>
      <c r="J53" s="48"/>
      <c r="K53" s="48"/>
      <c r="L53" s="48"/>
      <c r="M53" s="48"/>
      <c r="N53" s="48"/>
      <c r="O53" s="48"/>
      <c r="P53" s="48"/>
      <c r="Q53" s="48"/>
      <c r="R53" s="48"/>
      <c r="S53" s="48"/>
      <c r="T53" s="48"/>
      <c r="U53" s="48"/>
      <c r="V53" s="48"/>
      <c r="W53" s="48"/>
      <c r="X53" s="48"/>
      <c r="Y53" s="48"/>
      <c r="Z53" s="48"/>
      <c r="AA53" s="48"/>
      <c r="AB53" s="48"/>
      <c r="AC53" s="48"/>
      <c r="AD53" s="48"/>
      <c r="AE53" s="48"/>
      <c r="AF53" s="48"/>
      <c r="AG53" s="48"/>
      <c r="AH53" s="48"/>
      <c r="AI53" s="48"/>
    </row>
    <row r="54" spans="1:35" ht="15.75" customHeight="1" x14ac:dyDescent="0.2">
      <c r="A54" s="48"/>
      <c r="B54" s="48"/>
      <c r="C54" s="48"/>
      <c r="D54" s="48"/>
      <c r="E54" s="48"/>
      <c r="F54" s="48"/>
      <c r="G54" s="48"/>
      <c r="H54" s="48"/>
      <c r="I54" s="48"/>
      <c r="J54" s="48"/>
      <c r="K54" s="48"/>
      <c r="L54" s="48"/>
      <c r="M54" s="48"/>
      <c r="N54" s="48"/>
      <c r="O54" s="48"/>
      <c r="P54" s="48"/>
      <c r="Q54" s="48"/>
      <c r="R54" s="48"/>
      <c r="S54" s="48"/>
      <c r="T54" s="48"/>
      <c r="U54" s="48"/>
      <c r="V54" s="48"/>
      <c r="W54" s="48"/>
      <c r="X54" s="48"/>
      <c r="Y54" s="48"/>
      <c r="Z54" s="48"/>
      <c r="AA54" s="48"/>
      <c r="AB54" s="48"/>
      <c r="AC54" s="48"/>
      <c r="AD54" s="48"/>
      <c r="AE54" s="48"/>
      <c r="AF54" s="48"/>
      <c r="AG54" s="48"/>
      <c r="AH54" s="48"/>
      <c r="AI54" s="48"/>
    </row>
    <row r="55" spans="1:35" ht="15.75" customHeight="1" x14ac:dyDescent="0.2">
      <c r="A55" s="48"/>
      <c r="B55" s="48"/>
      <c r="C55" s="48"/>
      <c r="D55" s="48"/>
      <c r="E55" s="48"/>
      <c r="F55" s="48"/>
      <c r="G55" s="48"/>
      <c r="H55" s="48"/>
      <c r="I55" s="48"/>
      <c r="J55" s="48"/>
      <c r="K55" s="48"/>
      <c r="L55" s="48"/>
      <c r="M55" s="48"/>
      <c r="N55" s="48"/>
      <c r="O55" s="48"/>
      <c r="P55" s="48"/>
      <c r="Q55" s="48"/>
      <c r="R55" s="48"/>
      <c r="S55" s="48"/>
      <c r="T55" s="48"/>
      <c r="U55" s="48"/>
      <c r="V55" s="48"/>
      <c r="W55" s="48"/>
      <c r="X55" s="48"/>
      <c r="Y55" s="48"/>
      <c r="Z55" s="48"/>
      <c r="AA55" s="48"/>
      <c r="AB55" s="48"/>
      <c r="AC55" s="48"/>
      <c r="AD55" s="48"/>
      <c r="AE55" s="48"/>
      <c r="AF55" s="48"/>
      <c r="AG55" s="48"/>
      <c r="AH55" s="48"/>
      <c r="AI55" s="48"/>
    </row>
    <row r="56" spans="1:35" ht="15.75" customHeight="1" x14ac:dyDescent="0.2">
      <c r="A56" s="48"/>
      <c r="B56" s="48"/>
      <c r="C56" s="48"/>
      <c r="D56" s="48"/>
      <c r="E56" s="48"/>
      <c r="F56" s="48"/>
      <c r="G56" s="48"/>
      <c r="H56" s="48"/>
      <c r="I56" s="48"/>
      <c r="J56" s="48"/>
      <c r="K56" s="48"/>
      <c r="L56" s="48"/>
      <c r="M56" s="48"/>
      <c r="N56" s="48"/>
      <c r="O56" s="48"/>
      <c r="P56" s="48"/>
      <c r="Q56" s="48"/>
      <c r="R56" s="48"/>
      <c r="S56" s="48"/>
      <c r="T56" s="48"/>
      <c r="U56" s="48"/>
      <c r="V56" s="48"/>
      <c r="W56" s="48"/>
      <c r="X56" s="48"/>
      <c r="Y56" s="48"/>
      <c r="Z56" s="48"/>
      <c r="AA56" s="48"/>
      <c r="AB56" s="48"/>
      <c r="AC56" s="48"/>
      <c r="AD56" s="48"/>
      <c r="AE56" s="48"/>
      <c r="AF56" s="48"/>
      <c r="AG56" s="48"/>
      <c r="AH56" s="48"/>
      <c r="AI56" s="48"/>
    </row>
    <row r="57" spans="1:35" ht="15.75" customHeight="1" x14ac:dyDescent="0.2">
      <c r="A57" s="48"/>
      <c r="B57" s="48"/>
      <c r="C57" s="48"/>
      <c r="D57" s="48"/>
      <c r="E57" s="48"/>
      <c r="F57" s="48"/>
      <c r="G57" s="48"/>
      <c r="H57" s="48"/>
      <c r="I57" s="48"/>
      <c r="J57" s="48"/>
      <c r="K57" s="48"/>
      <c r="L57" s="48"/>
      <c r="M57" s="48"/>
      <c r="N57" s="48"/>
      <c r="O57" s="48"/>
      <c r="P57" s="48"/>
      <c r="Q57" s="48"/>
      <c r="R57" s="48"/>
      <c r="S57" s="48"/>
      <c r="T57" s="48"/>
      <c r="U57" s="48"/>
      <c r="V57" s="48"/>
      <c r="W57" s="48"/>
      <c r="X57" s="48"/>
      <c r="Y57" s="48"/>
      <c r="Z57" s="48"/>
      <c r="AA57" s="48"/>
      <c r="AB57" s="48"/>
      <c r="AC57" s="48"/>
      <c r="AD57" s="48"/>
      <c r="AE57" s="48"/>
      <c r="AF57" s="48"/>
      <c r="AG57" s="48"/>
      <c r="AH57" s="48"/>
      <c r="AI57" s="48"/>
    </row>
    <row r="58" spans="1:35" ht="15.75" customHeight="1" x14ac:dyDescent="0.2">
      <c r="A58" s="48"/>
      <c r="B58" s="48"/>
      <c r="C58" s="48"/>
      <c r="D58" s="48"/>
      <c r="E58" s="48"/>
      <c r="F58" s="48"/>
      <c r="G58" s="48"/>
      <c r="H58" s="48"/>
      <c r="I58" s="48"/>
      <c r="J58" s="48"/>
      <c r="K58" s="48"/>
      <c r="L58" s="48"/>
      <c r="M58" s="48"/>
      <c r="N58" s="48"/>
      <c r="O58" s="48"/>
      <c r="P58" s="48"/>
      <c r="Q58" s="48"/>
      <c r="R58" s="48"/>
      <c r="S58" s="48"/>
      <c r="T58" s="48"/>
      <c r="U58" s="48"/>
      <c r="V58" s="48"/>
      <c r="W58" s="48"/>
      <c r="X58" s="48"/>
      <c r="Y58" s="48"/>
      <c r="Z58" s="48"/>
      <c r="AA58" s="48"/>
      <c r="AB58" s="48"/>
      <c r="AC58" s="48"/>
      <c r="AD58" s="48"/>
      <c r="AE58" s="48"/>
      <c r="AF58" s="48"/>
      <c r="AG58" s="48"/>
      <c r="AH58" s="48"/>
      <c r="AI58" s="48"/>
    </row>
    <row r="59" spans="1:35" ht="15.75" customHeight="1" x14ac:dyDescent="0.2">
      <c r="A59" s="48"/>
      <c r="B59" s="48"/>
      <c r="C59" s="48"/>
      <c r="D59" s="48"/>
      <c r="E59" s="48"/>
      <c r="F59" s="48"/>
      <c r="G59" s="48"/>
      <c r="H59" s="48"/>
      <c r="I59" s="48"/>
      <c r="J59" s="48"/>
      <c r="K59" s="48"/>
      <c r="L59" s="48"/>
      <c r="M59" s="48"/>
      <c r="N59" s="48"/>
      <c r="O59" s="48"/>
      <c r="P59" s="48"/>
      <c r="Q59" s="48"/>
      <c r="R59" s="48"/>
      <c r="S59" s="48"/>
      <c r="T59" s="48"/>
      <c r="U59" s="48"/>
      <c r="V59" s="48"/>
      <c r="W59" s="48"/>
      <c r="X59" s="48"/>
      <c r="Y59" s="48"/>
      <c r="Z59" s="48"/>
      <c r="AA59" s="48"/>
      <c r="AB59" s="48"/>
      <c r="AC59" s="48"/>
      <c r="AD59" s="48"/>
      <c r="AE59" s="48"/>
      <c r="AF59" s="48"/>
      <c r="AG59" s="48"/>
      <c r="AH59" s="48"/>
      <c r="AI59" s="48"/>
    </row>
    <row r="60" spans="1:35" ht="15.75" customHeight="1" x14ac:dyDescent="0.2">
      <c r="A60" s="48"/>
      <c r="B60" s="48"/>
      <c r="C60" s="48"/>
      <c r="D60" s="48"/>
      <c r="E60" s="48"/>
      <c r="F60" s="48"/>
      <c r="G60" s="48"/>
      <c r="H60" s="48"/>
      <c r="I60" s="48"/>
      <c r="J60" s="48"/>
      <c r="K60" s="48"/>
      <c r="L60" s="48"/>
      <c r="M60" s="48"/>
      <c r="N60" s="48"/>
      <c r="O60" s="48"/>
      <c r="P60" s="48"/>
      <c r="Q60" s="48"/>
      <c r="R60" s="48"/>
      <c r="S60" s="48"/>
      <c r="T60" s="48"/>
      <c r="U60" s="48"/>
      <c r="V60" s="48"/>
      <c r="W60" s="48"/>
      <c r="X60" s="48"/>
      <c r="Y60" s="48"/>
      <c r="Z60" s="48"/>
      <c r="AA60" s="48"/>
      <c r="AB60" s="48"/>
      <c r="AC60" s="48"/>
      <c r="AD60" s="48"/>
      <c r="AE60" s="48"/>
      <c r="AF60" s="48"/>
      <c r="AG60" s="48"/>
      <c r="AH60" s="48"/>
      <c r="AI60" s="48"/>
    </row>
    <row r="61" spans="1:35" ht="15.75" customHeight="1" x14ac:dyDescent="0.2">
      <c r="A61" s="48"/>
      <c r="B61" s="48"/>
      <c r="C61" s="48"/>
      <c r="D61" s="48"/>
      <c r="E61" s="48"/>
      <c r="F61" s="48"/>
      <c r="G61" s="48"/>
      <c r="H61" s="48"/>
      <c r="I61" s="48"/>
      <c r="J61" s="48"/>
      <c r="K61" s="48"/>
      <c r="L61" s="48"/>
      <c r="M61" s="48"/>
      <c r="N61" s="48"/>
      <c r="O61" s="48"/>
      <c r="P61" s="48"/>
      <c r="Q61" s="48"/>
      <c r="R61" s="48"/>
      <c r="S61" s="48"/>
      <c r="T61" s="48"/>
      <c r="U61" s="48"/>
      <c r="V61" s="48"/>
      <c r="W61" s="48"/>
      <c r="X61" s="48"/>
      <c r="Y61" s="48"/>
      <c r="Z61" s="48"/>
      <c r="AA61" s="48"/>
      <c r="AB61" s="48"/>
      <c r="AC61" s="48"/>
      <c r="AD61" s="48"/>
      <c r="AE61" s="48"/>
      <c r="AF61" s="48"/>
      <c r="AG61" s="48"/>
      <c r="AH61" s="48"/>
      <c r="AI61" s="48"/>
    </row>
    <row r="62" spans="1:35" ht="15.75" customHeight="1" x14ac:dyDescent="0.2">
      <c r="A62" s="48"/>
      <c r="B62" s="48"/>
      <c r="C62" s="48"/>
      <c r="D62" s="48"/>
      <c r="E62" s="48"/>
      <c r="F62" s="48"/>
      <c r="G62" s="48"/>
      <c r="H62" s="48"/>
      <c r="I62" s="48"/>
      <c r="J62" s="48"/>
      <c r="K62" s="48"/>
      <c r="L62" s="48"/>
      <c r="M62" s="48"/>
      <c r="N62" s="48"/>
      <c r="O62" s="48"/>
      <c r="P62" s="48"/>
      <c r="Q62" s="48"/>
      <c r="R62" s="48"/>
      <c r="S62" s="48"/>
      <c r="T62" s="48"/>
      <c r="U62" s="48"/>
      <c r="V62" s="48"/>
      <c r="W62" s="48"/>
      <c r="X62" s="48"/>
      <c r="Y62" s="48"/>
      <c r="Z62" s="48"/>
      <c r="AA62" s="48"/>
      <c r="AB62" s="48"/>
      <c r="AC62" s="48"/>
      <c r="AD62" s="48"/>
      <c r="AE62" s="48"/>
      <c r="AF62" s="48"/>
      <c r="AG62" s="48"/>
      <c r="AH62" s="48"/>
      <c r="AI62" s="48"/>
    </row>
    <row r="63" spans="1:35" ht="15.75" customHeight="1" x14ac:dyDescent="0.2">
      <c r="A63" s="48"/>
      <c r="B63" s="48"/>
      <c r="C63" s="48"/>
      <c r="D63" s="48"/>
      <c r="E63" s="48"/>
      <c r="F63" s="48"/>
      <c r="G63" s="48"/>
      <c r="H63" s="48"/>
      <c r="I63" s="48"/>
      <c r="J63" s="48"/>
      <c r="K63" s="48"/>
      <c r="L63" s="48"/>
      <c r="M63" s="48"/>
      <c r="N63" s="48"/>
      <c r="O63" s="48"/>
      <c r="P63" s="48"/>
      <c r="Q63" s="48"/>
      <c r="R63" s="48"/>
      <c r="S63" s="48"/>
      <c r="T63" s="48"/>
      <c r="U63" s="48"/>
      <c r="V63" s="48"/>
      <c r="W63" s="48"/>
      <c r="X63" s="48"/>
      <c r="Y63" s="48"/>
      <c r="Z63" s="48"/>
      <c r="AA63" s="48"/>
      <c r="AB63" s="48"/>
      <c r="AC63" s="48"/>
      <c r="AD63" s="48"/>
      <c r="AE63" s="48"/>
      <c r="AF63" s="48"/>
      <c r="AG63" s="48"/>
      <c r="AH63" s="48"/>
      <c r="AI63" s="48"/>
    </row>
    <row r="64" spans="1:35" ht="15.75" customHeight="1" x14ac:dyDescent="0.2">
      <c r="A64" s="48"/>
      <c r="B64" s="48"/>
      <c r="C64" s="48"/>
      <c r="D64" s="48"/>
      <c r="E64" s="48"/>
      <c r="F64" s="48"/>
      <c r="G64" s="48"/>
      <c r="H64" s="48"/>
      <c r="I64" s="48"/>
      <c r="J64" s="48"/>
      <c r="K64" s="48"/>
      <c r="L64" s="48"/>
      <c r="M64" s="48"/>
      <c r="N64" s="48"/>
      <c r="O64" s="48"/>
      <c r="P64" s="48"/>
      <c r="Q64" s="48"/>
      <c r="R64" s="48"/>
      <c r="S64" s="48"/>
      <c r="T64" s="48"/>
      <c r="U64" s="48"/>
      <c r="V64" s="48"/>
      <c r="W64" s="48"/>
      <c r="X64" s="48"/>
      <c r="Y64" s="48"/>
      <c r="Z64" s="48"/>
      <c r="AA64" s="48"/>
      <c r="AB64" s="48"/>
      <c r="AC64" s="48"/>
      <c r="AD64" s="48"/>
      <c r="AE64" s="48"/>
      <c r="AF64" s="48"/>
      <c r="AG64" s="48"/>
      <c r="AH64" s="48"/>
      <c r="AI64" s="48"/>
    </row>
    <row r="65" spans="1:35" ht="15.75" customHeight="1" x14ac:dyDescent="0.2">
      <c r="A65" s="48"/>
      <c r="B65" s="48"/>
      <c r="C65" s="48"/>
      <c r="D65" s="48"/>
      <c r="E65" s="48"/>
      <c r="F65" s="48"/>
      <c r="G65" s="48"/>
      <c r="H65" s="48"/>
      <c r="I65" s="48"/>
      <c r="J65" s="48"/>
      <c r="K65" s="48"/>
      <c r="L65" s="48"/>
      <c r="M65" s="48"/>
      <c r="N65" s="48"/>
      <c r="O65" s="48"/>
      <c r="P65" s="48"/>
      <c r="Q65" s="48"/>
      <c r="R65" s="48"/>
      <c r="S65" s="48"/>
      <c r="T65" s="48"/>
      <c r="U65" s="48"/>
      <c r="V65" s="48"/>
      <c r="W65" s="48"/>
      <c r="X65" s="48"/>
      <c r="Y65" s="48"/>
      <c r="Z65" s="48"/>
      <c r="AA65" s="48"/>
      <c r="AB65" s="48"/>
      <c r="AC65" s="48"/>
      <c r="AD65" s="48"/>
      <c r="AE65" s="48"/>
      <c r="AF65" s="48"/>
      <c r="AG65" s="48"/>
      <c r="AH65" s="48"/>
      <c r="AI65" s="48"/>
    </row>
    <row r="66" spans="1:35" ht="15.75" customHeight="1" x14ac:dyDescent="0.2">
      <c r="A66" s="48"/>
      <c r="B66" s="48"/>
      <c r="C66" s="48"/>
      <c r="D66" s="48"/>
      <c r="E66" s="48"/>
      <c r="F66" s="48"/>
      <c r="G66" s="48"/>
      <c r="H66" s="48"/>
      <c r="I66" s="48"/>
      <c r="J66" s="48"/>
      <c r="K66" s="48"/>
      <c r="L66" s="48"/>
      <c r="M66" s="48"/>
      <c r="N66" s="48"/>
      <c r="O66" s="48"/>
      <c r="P66" s="48"/>
      <c r="Q66" s="48"/>
      <c r="R66" s="48"/>
      <c r="S66" s="48"/>
      <c r="T66" s="48"/>
      <c r="U66" s="48"/>
      <c r="V66" s="48"/>
      <c r="W66" s="48"/>
      <c r="X66" s="48"/>
      <c r="Y66" s="48"/>
      <c r="Z66" s="48"/>
      <c r="AA66" s="48"/>
      <c r="AB66" s="48"/>
      <c r="AC66" s="48"/>
      <c r="AD66" s="48"/>
      <c r="AE66" s="48"/>
      <c r="AF66" s="48"/>
      <c r="AG66" s="48"/>
      <c r="AH66" s="48"/>
      <c r="AI66" s="48"/>
    </row>
    <row r="67" spans="1:35" ht="15.75" customHeight="1" x14ac:dyDescent="0.2">
      <c r="A67" s="48"/>
      <c r="B67" s="48"/>
      <c r="C67" s="48"/>
      <c r="D67" s="48"/>
      <c r="E67" s="48"/>
      <c r="F67" s="48"/>
      <c r="G67" s="48"/>
      <c r="H67" s="48"/>
      <c r="I67" s="48"/>
      <c r="J67" s="48"/>
      <c r="K67" s="48"/>
      <c r="L67" s="48"/>
      <c r="M67" s="48"/>
      <c r="N67" s="48"/>
      <c r="O67" s="48"/>
      <c r="P67" s="48"/>
      <c r="Q67" s="48"/>
      <c r="R67" s="48"/>
      <c r="S67" s="48"/>
      <c r="T67" s="48"/>
      <c r="U67" s="48"/>
      <c r="V67" s="48"/>
      <c r="W67" s="48"/>
      <c r="X67" s="48"/>
      <c r="Y67" s="48"/>
      <c r="Z67" s="48"/>
      <c r="AA67" s="48"/>
      <c r="AB67" s="48"/>
      <c r="AC67" s="48"/>
      <c r="AD67" s="48"/>
      <c r="AE67" s="48"/>
      <c r="AF67" s="48"/>
      <c r="AG67" s="48"/>
      <c r="AH67" s="48"/>
      <c r="AI67" s="48"/>
    </row>
    <row r="68" spans="1:35" ht="15.75" customHeight="1" x14ac:dyDescent="0.2">
      <c r="A68" s="48"/>
      <c r="B68" s="48"/>
      <c r="C68" s="48"/>
      <c r="D68" s="48"/>
      <c r="E68" s="48"/>
      <c r="F68" s="48"/>
      <c r="G68" s="48"/>
      <c r="H68" s="48"/>
      <c r="I68" s="48"/>
      <c r="J68" s="48"/>
      <c r="K68" s="48"/>
      <c r="L68" s="48"/>
      <c r="M68" s="48"/>
      <c r="N68" s="48"/>
      <c r="O68" s="48"/>
      <c r="P68" s="48"/>
      <c r="Q68" s="48"/>
      <c r="R68" s="48"/>
      <c r="S68" s="48"/>
      <c r="T68" s="48"/>
      <c r="U68" s="48"/>
      <c r="V68" s="48"/>
      <c r="W68" s="48"/>
      <c r="X68" s="48"/>
      <c r="Y68" s="48"/>
      <c r="Z68" s="48"/>
      <c r="AA68" s="48"/>
      <c r="AB68" s="48"/>
      <c r="AC68" s="48"/>
      <c r="AD68" s="48"/>
      <c r="AE68" s="48"/>
      <c r="AF68" s="48"/>
      <c r="AG68" s="48"/>
      <c r="AH68" s="48"/>
      <c r="AI68" s="48"/>
    </row>
    <row r="69" spans="1:35" ht="15.75" customHeight="1" x14ac:dyDescent="0.2">
      <c r="A69" s="48"/>
      <c r="B69" s="48"/>
      <c r="C69" s="48"/>
      <c r="D69" s="48"/>
      <c r="E69" s="48"/>
      <c r="F69" s="48"/>
      <c r="G69" s="48"/>
      <c r="H69" s="48"/>
      <c r="I69" s="48"/>
      <c r="J69" s="48"/>
      <c r="K69" s="48"/>
      <c r="L69" s="48"/>
      <c r="M69" s="48"/>
      <c r="N69" s="48"/>
      <c r="O69" s="48"/>
      <c r="P69" s="48"/>
      <c r="Q69" s="48"/>
      <c r="R69" s="48"/>
      <c r="S69" s="48"/>
      <c r="T69" s="48"/>
      <c r="U69" s="48"/>
      <c r="V69" s="48"/>
      <c r="W69" s="48"/>
      <c r="X69" s="48"/>
      <c r="Y69" s="48"/>
      <c r="Z69" s="48"/>
      <c r="AA69" s="48"/>
      <c r="AB69" s="48"/>
      <c r="AC69" s="48"/>
      <c r="AD69" s="48"/>
      <c r="AE69" s="48"/>
      <c r="AF69" s="48"/>
      <c r="AG69" s="48"/>
      <c r="AH69" s="48"/>
      <c r="AI69" s="48"/>
    </row>
    <row r="70" spans="1:35" ht="15.75" customHeight="1" x14ac:dyDescent="0.2">
      <c r="A70" s="48"/>
      <c r="B70" s="48"/>
      <c r="C70" s="48"/>
      <c r="D70" s="48"/>
      <c r="E70" s="48"/>
      <c r="F70" s="48"/>
      <c r="G70" s="48"/>
      <c r="H70" s="48"/>
      <c r="I70" s="48"/>
      <c r="J70" s="48"/>
      <c r="K70" s="48"/>
      <c r="L70" s="48"/>
      <c r="M70" s="48"/>
      <c r="N70" s="48"/>
      <c r="O70" s="48"/>
      <c r="P70" s="48"/>
      <c r="Q70" s="48"/>
      <c r="R70" s="48"/>
      <c r="S70" s="48"/>
      <c r="T70" s="48"/>
      <c r="U70" s="48"/>
      <c r="V70" s="48"/>
      <c r="W70" s="48"/>
      <c r="X70" s="48"/>
      <c r="Y70" s="48"/>
      <c r="Z70" s="48"/>
      <c r="AA70" s="48"/>
      <c r="AB70" s="48"/>
      <c r="AC70" s="48"/>
      <c r="AD70" s="48"/>
      <c r="AE70" s="48"/>
      <c r="AF70" s="48"/>
      <c r="AG70" s="48"/>
      <c r="AH70" s="48"/>
      <c r="AI70" s="48"/>
    </row>
    <row r="71" spans="1:35" ht="15.75" customHeight="1" x14ac:dyDescent="0.2">
      <c r="A71" s="48"/>
      <c r="B71" s="48"/>
      <c r="C71" s="48"/>
      <c r="D71" s="48"/>
      <c r="E71" s="48"/>
      <c r="F71" s="48"/>
      <c r="G71" s="48"/>
      <c r="H71" s="48"/>
      <c r="I71" s="48"/>
      <c r="J71" s="48"/>
      <c r="K71" s="48"/>
      <c r="L71" s="48"/>
      <c r="M71" s="48"/>
      <c r="N71" s="48"/>
      <c r="O71" s="48"/>
      <c r="P71" s="48"/>
      <c r="Q71" s="48"/>
      <c r="R71" s="48"/>
      <c r="S71" s="48"/>
      <c r="T71" s="48"/>
      <c r="U71" s="48"/>
      <c r="V71" s="48"/>
      <c r="W71" s="48"/>
      <c r="X71" s="48"/>
      <c r="Y71" s="48"/>
      <c r="Z71" s="48"/>
      <c r="AA71" s="48"/>
      <c r="AB71" s="48"/>
      <c r="AC71" s="48"/>
      <c r="AD71" s="48"/>
      <c r="AE71" s="48"/>
      <c r="AF71" s="48"/>
      <c r="AG71" s="48"/>
      <c r="AH71" s="48"/>
      <c r="AI71" s="48"/>
    </row>
    <row r="72" spans="1:35" ht="15.75" customHeight="1" x14ac:dyDescent="0.2">
      <c r="A72" s="48"/>
      <c r="B72" s="48"/>
      <c r="C72" s="48"/>
      <c r="D72" s="48"/>
      <c r="E72" s="48"/>
      <c r="F72" s="48"/>
      <c r="G72" s="48"/>
      <c r="H72" s="48"/>
      <c r="I72" s="48"/>
      <c r="J72" s="48"/>
      <c r="K72" s="48"/>
      <c r="L72" s="48"/>
      <c r="M72" s="48"/>
      <c r="N72" s="48"/>
      <c r="O72" s="48"/>
      <c r="P72" s="48"/>
      <c r="Q72" s="48"/>
      <c r="R72" s="48"/>
      <c r="S72" s="48"/>
      <c r="T72" s="48"/>
      <c r="U72" s="48"/>
      <c r="V72" s="48"/>
      <c r="W72" s="48"/>
      <c r="X72" s="48"/>
      <c r="Y72" s="48"/>
      <c r="Z72" s="48"/>
      <c r="AA72" s="48"/>
      <c r="AB72" s="48"/>
      <c r="AC72" s="48"/>
      <c r="AD72" s="48"/>
      <c r="AE72" s="48"/>
      <c r="AF72" s="48"/>
      <c r="AG72" s="48"/>
      <c r="AH72" s="48"/>
      <c r="AI72" s="48"/>
    </row>
    <row r="73" spans="1:35" ht="15.75" customHeight="1" x14ac:dyDescent="0.2">
      <c r="A73" s="48"/>
      <c r="B73" s="48"/>
      <c r="C73" s="48"/>
      <c r="D73" s="48"/>
      <c r="E73" s="48"/>
      <c r="F73" s="48"/>
      <c r="G73" s="48"/>
      <c r="H73" s="48"/>
      <c r="I73" s="48"/>
      <c r="J73" s="48"/>
      <c r="K73" s="48"/>
      <c r="L73" s="48"/>
      <c r="M73" s="48"/>
      <c r="N73" s="48"/>
      <c r="O73" s="48"/>
      <c r="P73" s="48"/>
      <c r="Q73" s="48"/>
      <c r="R73" s="48"/>
      <c r="S73" s="48"/>
      <c r="T73" s="48"/>
      <c r="U73" s="48"/>
      <c r="V73" s="48"/>
      <c r="W73" s="48"/>
      <c r="X73" s="48"/>
      <c r="Y73" s="48"/>
      <c r="Z73" s="48"/>
      <c r="AA73" s="48"/>
      <c r="AB73" s="48"/>
      <c r="AC73" s="48"/>
      <c r="AD73" s="48"/>
      <c r="AE73" s="48"/>
      <c r="AF73" s="48"/>
      <c r="AG73" s="48"/>
      <c r="AH73" s="48"/>
      <c r="AI73" s="48"/>
    </row>
    <row r="74" spans="1:35" ht="15.75" customHeight="1" x14ac:dyDescent="0.2">
      <c r="A74" s="48"/>
      <c r="B74" s="48"/>
      <c r="C74" s="48"/>
      <c r="D74" s="48"/>
      <c r="E74" s="48"/>
      <c r="F74" s="48"/>
      <c r="G74" s="48"/>
      <c r="H74" s="48"/>
      <c r="I74" s="48"/>
      <c r="J74" s="48"/>
      <c r="K74" s="48"/>
      <c r="L74" s="48"/>
      <c r="M74" s="48"/>
      <c r="N74" s="48"/>
      <c r="O74" s="48"/>
      <c r="P74" s="48"/>
      <c r="Q74" s="48"/>
      <c r="R74" s="48"/>
      <c r="S74" s="48"/>
      <c r="T74" s="48"/>
      <c r="U74" s="48"/>
      <c r="V74" s="48"/>
      <c r="W74" s="48"/>
      <c r="X74" s="48"/>
      <c r="Y74" s="48"/>
      <c r="Z74" s="48"/>
      <c r="AA74" s="48"/>
      <c r="AB74" s="48"/>
      <c r="AC74" s="48"/>
      <c r="AD74" s="48"/>
      <c r="AE74" s="48"/>
      <c r="AF74" s="48"/>
      <c r="AG74" s="48"/>
      <c r="AH74" s="48"/>
      <c r="AI74" s="48"/>
    </row>
    <row r="75" spans="1:35" ht="15.75" customHeight="1" x14ac:dyDescent="0.2">
      <c r="A75" s="48"/>
      <c r="B75" s="48"/>
      <c r="C75" s="48"/>
      <c r="D75" s="48"/>
      <c r="E75" s="48"/>
      <c r="F75" s="48"/>
      <c r="G75" s="48"/>
      <c r="H75" s="48"/>
      <c r="I75" s="48"/>
      <c r="J75" s="48"/>
      <c r="K75" s="48"/>
      <c r="L75" s="48"/>
      <c r="M75" s="48"/>
      <c r="N75" s="48"/>
      <c r="O75" s="48"/>
      <c r="P75" s="48"/>
      <c r="Q75" s="48"/>
      <c r="R75" s="48"/>
      <c r="S75" s="48"/>
      <c r="T75" s="48"/>
      <c r="U75" s="48"/>
      <c r="V75" s="48"/>
      <c r="W75" s="48"/>
      <c r="X75" s="48"/>
      <c r="Y75" s="48"/>
      <c r="Z75" s="48"/>
      <c r="AA75" s="48"/>
      <c r="AB75" s="48"/>
      <c r="AC75" s="48"/>
      <c r="AD75" s="48"/>
      <c r="AE75" s="48"/>
      <c r="AF75" s="48"/>
      <c r="AG75" s="48"/>
      <c r="AH75" s="48"/>
      <c r="AI75" s="48"/>
    </row>
    <row r="76" spans="1:35" ht="15.75" customHeight="1" x14ac:dyDescent="0.2">
      <c r="A76" s="48"/>
      <c r="B76" s="48"/>
      <c r="C76" s="48"/>
      <c r="D76" s="48"/>
      <c r="E76" s="48"/>
      <c r="F76" s="48"/>
      <c r="G76" s="48"/>
      <c r="H76" s="48"/>
      <c r="I76" s="48"/>
      <c r="J76" s="48"/>
      <c r="K76" s="48"/>
      <c r="L76" s="48"/>
      <c r="M76" s="48"/>
      <c r="N76" s="48"/>
      <c r="O76" s="48"/>
      <c r="P76" s="48"/>
      <c r="Q76" s="48"/>
      <c r="R76" s="48"/>
      <c r="S76" s="48"/>
      <c r="T76" s="48"/>
      <c r="U76" s="48"/>
      <c r="V76" s="48"/>
      <c r="W76" s="48"/>
      <c r="X76" s="48"/>
      <c r="Y76" s="48"/>
      <c r="Z76" s="48"/>
      <c r="AA76" s="48"/>
      <c r="AB76" s="48"/>
      <c r="AC76" s="48"/>
      <c r="AD76" s="48"/>
      <c r="AE76" s="48"/>
      <c r="AF76" s="48"/>
      <c r="AG76" s="48"/>
      <c r="AH76" s="48"/>
      <c r="AI76" s="48"/>
    </row>
    <row r="77" spans="1:35" ht="15.75" customHeight="1" x14ac:dyDescent="0.2">
      <c r="A77" s="48"/>
      <c r="B77" s="48"/>
      <c r="C77" s="48"/>
      <c r="D77" s="48"/>
      <c r="E77" s="48"/>
      <c r="F77" s="48"/>
      <c r="G77" s="48"/>
      <c r="H77" s="48"/>
      <c r="I77" s="48"/>
      <c r="J77" s="48"/>
      <c r="K77" s="48"/>
      <c r="L77" s="48"/>
      <c r="M77" s="48"/>
      <c r="N77" s="48"/>
      <c r="O77" s="48"/>
      <c r="P77" s="48"/>
      <c r="Q77" s="48"/>
      <c r="R77" s="48"/>
      <c r="S77" s="48"/>
      <c r="T77" s="48"/>
      <c r="U77" s="48"/>
      <c r="V77" s="48"/>
      <c r="W77" s="48"/>
      <c r="X77" s="48"/>
      <c r="Y77" s="48"/>
      <c r="Z77" s="48"/>
      <c r="AA77" s="48"/>
      <c r="AB77" s="48"/>
      <c r="AC77" s="48"/>
      <c r="AD77" s="48"/>
      <c r="AE77" s="48"/>
      <c r="AF77" s="48"/>
      <c r="AG77" s="48"/>
      <c r="AH77" s="48"/>
      <c r="AI77" s="48"/>
    </row>
    <row r="78" spans="1:35" ht="15.75" customHeight="1" x14ac:dyDescent="0.2">
      <c r="A78" s="48"/>
      <c r="B78" s="48"/>
      <c r="C78" s="48"/>
      <c r="D78" s="48"/>
      <c r="E78" s="48"/>
      <c r="F78" s="48"/>
      <c r="G78" s="48"/>
      <c r="H78" s="48"/>
      <c r="I78" s="48"/>
      <c r="J78" s="48"/>
      <c r="K78" s="48"/>
      <c r="L78" s="48"/>
      <c r="M78" s="48"/>
      <c r="N78" s="48"/>
      <c r="O78" s="48"/>
      <c r="P78" s="48"/>
      <c r="Q78" s="48"/>
      <c r="R78" s="48"/>
      <c r="S78" s="48"/>
      <c r="T78" s="48"/>
      <c r="U78" s="48"/>
      <c r="V78" s="48"/>
      <c r="W78" s="48"/>
      <c r="X78" s="48"/>
      <c r="Y78" s="48"/>
      <c r="Z78" s="48"/>
      <c r="AA78" s="48"/>
      <c r="AB78" s="48"/>
      <c r="AC78" s="48"/>
      <c r="AD78" s="48"/>
      <c r="AE78" s="48"/>
      <c r="AF78" s="48"/>
      <c r="AG78" s="48"/>
      <c r="AH78" s="48"/>
      <c r="AI78" s="48"/>
    </row>
    <row r="79" spans="1:35" ht="15.75" customHeight="1" x14ac:dyDescent="0.2">
      <c r="A79" s="48"/>
      <c r="B79" s="48"/>
      <c r="C79" s="48"/>
      <c r="D79" s="48"/>
      <c r="E79" s="48"/>
      <c r="F79" s="48"/>
      <c r="G79" s="48"/>
      <c r="H79" s="48"/>
      <c r="I79" s="48"/>
      <c r="J79" s="48"/>
      <c r="K79" s="48"/>
      <c r="L79" s="48"/>
      <c r="M79" s="48"/>
      <c r="N79" s="48"/>
      <c r="O79" s="48"/>
      <c r="P79" s="48"/>
      <c r="Q79" s="48"/>
      <c r="R79" s="48"/>
      <c r="S79" s="48"/>
      <c r="T79" s="48"/>
      <c r="U79" s="48"/>
      <c r="V79" s="48"/>
      <c r="W79" s="48"/>
      <c r="X79" s="48"/>
      <c r="Y79" s="48"/>
      <c r="Z79" s="48"/>
      <c r="AA79" s="48"/>
      <c r="AB79" s="48"/>
      <c r="AC79" s="48"/>
      <c r="AD79" s="48"/>
      <c r="AE79" s="48"/>
      <c r="AF79" s="48"/>
      <c r="AG79" s="48"/>
      <c r="AH79" s="48"/>
      <c r="AI79" s="48"/>
    </row>
    <row r="80" spans="1:35" ht="15.75" customHeight="1" x14ac:dyDescent="0.2">
      <c r="A80" s="48"/>
      <c r="B80" s="48"/>
      <c r="C80" s="48"/>
      <c r="D80" s="48"/>
      <c r="E80" s="48"/>
      <c r="F80" s="48"/>
      <c r="G80" s="48"/>
      <c r="H80" s="48"/>
      <c r="I80" s="48"/>
      <c r="J80" s="48"/>
      <c r="K80" s="48"/>
      <c r="L80" s="48"/>
      <c r="M80" s="48"/>
      <c r="N80" s="48"/>
      <c r="O80" s="48"/>
      <c r="P80" s="48"/>
      <c r="Q80" s="48"/>
      <c r="R80" s="48"/>
      <c r="S80" s="48"/>
      <c r="T80" s="48"/>
      <c r="U80" s="48"/>
      <c r="V80" s="48"/>
      <c r="W80" s="48"/>
      <c r="X80" s="48"/>
      <c r="Y80" s="48"/>
      <c r="Z80" s="48"/>
      <c r="AA80" s="48"/>
      <c r="AB80" s="48"/>
      <c r="AC80" s="48"/>
      <c r="AD80" s="48"/>
      <c r="AE80" s="48"/>
      <c r="AF80" s="48"/>
      <c r="AG80" s="48"/>
      <c r="AH80" s="48"/>
      <c r="AI80" s="48"/>
    </row>
    <row r="81" spans="1:35" ht="15.75" customHeight="1" x14ac:dyDescent="0.2">
      <c r="A81" s="48"/>
      <c r="B81" s="48"/>
      <c r="C81" s="48"/>
      <c r="D81" s="48"/>
      <c r="E81" s="48"/>
      <c r="F81" s="48"/>
      <c r="G81" s="48"/>
      <c r="H81" s="48"/>
      <c r="I81" s="48"/>
      <c r="J81" s="48"/>
      <c r="K81" s="48"/>
      <c r="L81" s="48"/>
      <c r="M81" s="48"/>
      <c r="N81" s="48"/>
      <c r="O81" s="48"/>
      <c r="P81" s="48"/>
      <c r="Q81" s="48"/>
      <c r="R81" s="48"/>
      <c r="S81" s="48"/>
      <c r="T81" s="48"/>
      <c r="U81" s="48"/>
      <c r="V81" s="48"/>
      <c r="W81" s="48"/>
      <c r="X81" s="48"/>
      <c r="Y81" s="48"/>
      <c r="Z81" s="48"/>
      <c r="AA81" s="48"/>
      <c r="AB81" s="48"/>
      <c r="AC81" s="48"/>
      <c r="AD81" s="48"/>
      <c r="AE81" s="48"/>
      <c r="AF81" s="48"/>
      <c r="AG81" s="48"/>
      <c r="AH81" s="48"/>
      <c r="AI81" s="48"/>
    </row>
    <row r="82" spans="1:35" ht="15.75" customHeight="1" x14ac:dyDescent="0.2">
      <c r="A82" s="48"/>
      <c r="B82" s="48"/>
      <c r="C82" s="48"/>
      <c r="D82" s="48"/>
      <c r="E82" s="48"/>
      <c r="F82" s="48"/>
      <c r="G82" s="48"/>
      <c r="H82" s="48"/>
      <c r="I82" s="48"/>
      <c r="J82" s="48"/>
      <c r="K82" s="48"/>
      <c r="L82" s="48"/>
      <c r="M82" s="48"/>
      <c r="N82" s="48"/>
      <c r="O82" s="48"/>
      <c r="P82" s="48"/>
      <c r="Q82" s="48"/>
      <c r="R82" s="48"/>
      <c r="S82" s="48"/>
      <c r="T82" s="48"/>
      <c r="U82" s="48"/>
      <c r="V82" s="48"/>
      <c r="W82" s="48"/>
      <c r="X82" s="48"/>
      <c r="Y82" s="48"/>
      <c r="Z82" s="48"/>
      <c r="AA82" s="48"/>
      <c r="AB82" s="48"/>
      <c r="AC82" s="48"/>
      <c r="AD82" s="48"/>
      <c r="AE82" s="48"/>
      <c r="AF82" s="48"/>
      <c r="AG82" s="48"/>
      <c r="AH82" s="48"/>
      <c r="AI82" s="48"/>
    </row>
    <row r="83" spans="1:35" ht="15.75" customHeight="1" x14ac:dyDescent="0.2">
      <c r="A83" s="48"/>
      <c r="B83" s="48"/>
      <c r="C83" s="48"/>
      <c r="D83" s="48"/>
      <c r="E83" s="48"/>
      <c r="F83" s="48"/>
      <c r="G83" s="48"/>
      <c r="H83" s="48"/>
      <c r="I83" s="48"/>
      <c r="J83" s="48"/>
      <c r="K83" s="48"/>
      <c r="L83" s="48"/>
      <c r="M83" s="48"/>
      <c r="N83" s="48"/>
      <c r="O83" s="48"/>
      <c r="P83" s="48"/>
      <c r="Q83" s="48"/>
      <c r="R83" s="48"/>
      <c r="S83" s="48"/>
      <c r="T83" s="48"/>
      <c r="U83" s="48"/>
      <c r="V83" s="48"/>
      <c r="W83" s="48"/>
      <c r="X83" s="48"/>
      <c r="Y83" s="48"/>
      <c r="Z83" s="48"/>
      <c r="AA83" s="48"/>
      <c r="AB83" s="48"/>
      <c r="AC83" s="48"/>
      <c r="AD83" s="48"/>
      <c r="AE83" s="48"/>
      <c r="AF83" s="48"/>
      <c r="AG83" s="48"/>
      <c r="AH83" s="48"/>
      <c r="AI83" s="48"/>
    </row>
    <row r="84" spans="1:35" ht="15.75" customHeight="1" x14ac:dyDescent="0.2">
      <c r="A84" s="48"/>
      <c r="B84" s="48"/>
      <c r="C84" s="48"/>
      <c r="D84" s="48"/>
      <c r="E84" s="48"/>
      <c r="F84" s="48"/>
      <c r="G84" s="48"/>
      <c r="H84" s="48"/>
      <c r="I84" s="48"/>
      <c r="J84" s="48"/>
      <c r="K84" s="48"/>
      <c r="L84" s="48"/>
      <c r="M84" s="48"/>
      <c r="N84" s="48"/>
      <c r="O84" s="48"/>
      <c r="P84" s="48"/>
      <c r="Q84" s="48"/>
      <c r="R84" s="48"/>
      <c r="S84" s="48"/>
      <c r="T84" s="48"/>
      <c r="U84" s="48"/>
      <c r="V84" s="48"/>
      <c r="W84" s="48"/>
      <c r="X84" s="48"/>
      <c r="Y84" s="48"/>
      <c r="Z84" s="48"/>
      <c r="AA84" s="48"/>
      <c r="AB84" s="48"/>
      <c r="AC84" s="48"/>
      <c r="AD84" s="48"/>
      <c r="AE84" s="48"/>
      <c r="AF84" s="48"/>
      <c r="AG84" s="48"/>
      <c r="AH84" s="48"/>
      <c r="AI84" s="48"/>
    </row>
    <row r="85" spans="1:35" ht="15.75" customHeight="1" x14ac:dyDescent="0.2">
      <c r="A85" s="48"/>
      <c r="B85" s="48"/>
      <c r="C85" s="48"/>
      <c r="D85" s="48"/>
      <c r="E85" s="48"/>
      <c r="F85" s="48"/>
      <c r="G85" s="48"/>
      <c r="H85" s="48"/>
      <c r="I85" s="48"/>
      <c r="J85" s="48"/>
      <c r="K85" s="48"/>
      <c r="L85" s="48"/>
      <c r="M85" s="48"/>
      <c r="N85" s="48"/>
      <c r="O85" s="48"/>
      <c r="P85" s="48"/>
      <c r="Q85" s="48"/>
      <c r="R85" s="48"/>
      <c r="S85" s="48"/>
      <c r="T85" s="48"/>
      <c r="U85" s="48"/>
      <c r="V85" s="48"/>
      <c r="W85" s="48"/>
      <c r="X85" s="48"/>
      <c r="Y85" s="48"/>
      <c r="Z85" s="48"/>
      <c r="AA85" s="48"/>
      <c r="AB85" s="48"/>
      <c r="AC85" s="48"/>
      <c r="AD85" s="48"/>
      <c r="AE85" s="48"/>
      <c r="AF85" s="48"/>
      <c r="AG85" s="48"/>
      <c r="AH85" s="48"/>
      <c r="AI85" s="48"/>
    </row>
    <row r="86" spans="1:35" ht="15.75" customHeight="1" x14ac:dyDescent="0.2">
      <c r="A86" s="48"/>
      <c r="B86" s="48"/>
      <c r="C86" s="48"/>
      <c r="D86" s="48"/>
      <c r="E86" s="48"/>
      <c r="F86" s="48"/>
      <c r="G86" s="48"/>
      <c r="H86" s="48"/>
      <c r="I86" s="48"/>
      <c r="J86" s="48"/>
      <c r="K86" s="48"/>
      <c r="L86" s="48"/>
      <c r="M86" s="48"/>
      <c r="N86" s="48"/>
      <c r="O86" s="48"/>
      <c r="P86" s="48"/>
      <c r="Q86" s="48"/>
      <c r="R86" s="48"/>
      <c r="S86" s="48"/>
      <c r="T86" s="48"/>
      <c r="U86" s="48"/>
      <c r="V86" s="48"/>
      <c r="W86" s="48"/>
      <c r="X86" s="48"/>
      <c r="Y86" s="48"/>
      <c r="Z86" s="48"/>
      <c r="AA86" s="48"/>
      <c r="AB86" s="48"/>
      <c r="AC86" s="48"/>
      <c r="AD86" s="48"/>
      <c r="AE86" s="48"/>
      <c r="AF86" s="48"/>
      <c r="AG86" s="48"/>
      <c r="AH86" s="48"/>
      <c r="AI86" s="48"/>
    </row>
    <row r="87" spans="1:35" ht="15.75" customHeight="1" x14ac:dyDescent="0.2">
      <c r="A87" s="48"/>
      <c r="B87" s="48"/>
      <c r="C87" s="48"/>
      <c r="D87" s="48"/>
      <c r="E87" s="48"/>
      <c r="F87" s="48"/>
      <c r="G87" s="48"/>
      <c r="H87" s="48"/>
      <c r="I87" s="48"/>
      <c r="J87" s="48"/>
      <c r="K87" s="48"/>
      <c r="L87" s="48"/>
      <c r="M87" s="48"/>
      <c r="N87" s="48"/>
      <c r="O87" s="48"/>
      <c r="P87" s="48"/>
      <c r="Q87" s="48"/>
      <c r="R87" s="48"/>
      <c r="S87" s="48"/>
      <c r="T87" s="48"/>
      <c r="U87" s="48"/>
      <c r="V87" s="48"/>
      <c r="W87" s="48"/>
      <c r="X87" s="48"/>
      <c r="Y87" s="48"/>
      <c r="Z87" s="48"/>
      <c r="AA87" s="48"/>
      <c r="AB87" s="48"/>
      <c r="AC87" s="48"/>
      <c r="AD87" s="48"/>
      <c r="AE87" s="48"/>
      <c r="AF87" s="48"/>
      <c r="AG87" s="48"/>
      <c r="AH87" s="48"/>
      <c r="AI87" s="48"/>
    </row>
    <row r="88" spans="1:35" ht="15.75" customHeight="1" x14ac:dyDescent="0.2">
      <c r="A88" s="48"/>
      <c r="B88" s="48"/>
      <c r="C88" s="48"/>
      <c r="D88" s="48"/>
      <c r="E88" s="48"/>
      <c r="F88" s="48"/>
      <c r="G88" s="48"/>
      <c r="H88" s="48"/>
      <c r="I88" s="48"/>
      <c r="J88" s="48"/>
      <c r="K88" s="48"/>
      <c r="L88" s="48"/>
      <c r="M88" s="48"/>
      <c r="N88" s="48"/>
      <c r="O88" s="48"/>
      <c r="P88" s="48"/>
      <c r="Q88" s="48"/>
      <c r="R88" s="48"/>
      <c r="S88" s="48"/>
      <c r="T88" s="48"/>
      <c r="U88" s="48"/>
      <c r="V88" s="48"/>
      <c r="W88" s="48"/>
      <c r="X88" s="48"/>
      <c r="Y88" s="48"/>
      <c r="Z88" s="48"/>
      <c r="AA88" s="48"/>
      <c r="AB88" s="48"/>
      <c r="AC88" s="48"/>
      <c r="AD88" s="48"/>
      <c r="AE88" s="48"/>
      <c r="AF88" s="48"/>
      <c r="AG88" s="48"/>
      <c r="AH88" s="48"/>
      <c r="AI88" s="48"/>
    </row>
    <row r="89" spans="1:35" ht="15.75" customHeight="1" x14ac:dyDescent="0.2">
      <c r="A89" s="48"/>
      <c r="B89" s="48"/>
      <c r="C89" s="48"/>
      <c r="D89" s="48"/>
      <c r="E89" s="48"/>
      <c r="F89" s="48"/>
      <c r="G89" s="48"/>
      <c r="H89" s="48"/>
      <c r="I89" s="48"/>
      <c r="J89" s="48"/>
      <c r="K89" s="48"/>
      <c r="L89" s="48"/>
      <c r="M89" s="48"/>
      <c r="N89" s="48"/>
      <c r="O89" s="48"/>
      <c r="P89" s="48"/>
      <c r="Q89" s="48"/>
      <c r="R89" s="48"/>
      <c r="S89" s="48"/>
      <c r="T89" s="48"/>
      <c r="U89" s="48"/>
      <c r="V89" s="48"/>
      <c r="W89" s="48"/>
      <c r="X89" s="48"/>
      <c r="Y89" s="48"/>
      <c r="Z89" s="48"/>
      <c r="AA89" s="48"/>
      <c r="AB89" s="48"/>
      <c r="AC89" s="48"/>
      <c r="AD89" s="48"/>
      <c r="AE89" s="48"/>
      <c r="AF89" s="48"/>
      <c r="AG89" s="48"/>
      <c r="AH89" s="48"/>
      <c r="AI89" s="48"/>
    </row>
    <row r="90" spans="1:35" ht="15.75" customHeight="1" x14ac:dyDescent="0.2">
      <c r="A90" s="48"/>
      <c r="B90" s="48"/>
      <c r="C90" s="48"/>
      <c r="D90" s="48"/>
      <c r="E90" s="48"/>
      <c r="F90" s="48"/>
      <c r="G90" s="48"/>
      <c r="H90" s="48"/>
      <c r="I90" s="48"/>
      <c r="J90" s="48"/>
      <c r="K90" s="48"/>
      <c r="L90" s="48"/>
      <c r="M90" s="48"/>
      <c r="N90" s="48"/>
      <c r="O90" s="48"/>
      <c r="P90" s="48"/>
      <c r="Q90" s="48"/>
      <c r="R90" s="48"/>
      <c r="S90" s="48"/>
      <c r="T90" s="48"/>
      <c r="U90" s="48"/>
      <c r="V90" s="48"/>
      <c r="W90" s="48"/>
      <c r="X90" s="48"/>
      <c r="Y90" s="48"/>
      <c r="Z90" s="48"/>
      <c r="AA90" s="48"/>
      <c r="AB90" s="48"/>
      <c r="AC90" s="48"/>
      <c r="AD90" s="48"/>
      <c r="AE90" s="48"/>
      <c r="AF90" s="48"/>
      <c r="AG90" s="48"/>
      <c r="AH90" s="48"/>
      <c r="AI90" s="48"/>
    </row>
    <row r="91" spans="1:35" ht="15.75" customHeight="1" x14ac:dyDescent="0.2">
      <c r="A91" s="48"/>
      <c r="B91" s="48"/>
      <c r="C91" s="48"/>
      <c r="D91" s="48"/>
      <c r="E91" s="48"/>
      <c r="F91" s="48"/>
      <c r="G91" s="48"/>
      <c r="H91" s="48"/>
      <c r="I91" s="48"/>
      <c r="J91" s="48"/>
      <c r="K91" s="48"/>
      <c r="L91" s="48"/>
      <c r="M91" s="48"/>
      <c r="N91" s="48"/>
      <c r="O91" s="48"/>
      <c r="P91" s="48"/>
      <c r="Q91" s="48"/>
      <c r="R91" s="48"/>
      <c r="S91" s="48"/>
      <c r="T91" s="48"/>
      <c r="U91" s="48"/>
      <c r="V91" s="48"/>
      <c r="W91" s="48"/>
      <c r="X91" s="48"/>
      <c r="Y91" s="48"/>
      <c r="Z91" s="48"/>
      <c r="AA91" s="48"/>
      <c r="AB91" s="48"/>
      <c r="AC91" s="48"/>
      <c r="AD91" s="48"/>
      <c r="AE91" s="48"/>
      <c r="AF91" s="48"/>
      <c r="AG91" s="48"/>
      <c r="AH91" s="48"/>
      <c r="AI91" s="48"/>
    </row>
    <row r="92" spans="1:35" ht="15.75" customHeight="1" x14ac:dyDescent="0.2">
      <c r="A92" s="48"/>
      <c r="B92" s="48"/>
      <c r="C92" s="48"/>
      <c r="D92" s="48"/>
      <c r="E92" s="48"/>
      <c r="F92" s="48"/>
      <c r="G92" s="48"/>
      <c r="H92" s="48"/>
      <c r="I92" s="48"/>
      <c r="J92" s="48"/>
      <c r="K92" s="48"/>
      <c r="L92" s="48"/>
      <c r="M92" s="48"/>
      <c r="N92" s="48"/>
      <c r="O92" s="48"/>
      <c r="P92" s="48"/>
      <c r="Q92" s="48"/>
      <c r="R92" s="48"/>
      <c r="S92" s="48"/>
      <c r="T92" s="48"/>
      <c r="U92" s="48"/>
      <c r="V92" s="48"/>
      <c r="W92" s="48"/>
      <c r="X92" s="48"/>
      <c r="Y92" s="48"/>
      <c r="Z92" s="48"/>
      <c r="AA92" s="48"/>
      <c r="AB92" s="48"/>
      <c r="AC92" s="48"/>
      <c r="AD92" s="48"/>
      <c r="AE92" s="48"/>
      <c r="AF92" s="48"/>
      <c r="AG92" s="48"/>
      <c r="AH92" s="48"/>
      <c r="AI92" s="48"/>
    </row>
    <row r="93" spans="1:35" ht="15.75" customHeight="1" x14ac:dyDescent="0.2">
      <c r="A93" s="48"/>
      <c r="B93" s="48"/>
      <c r="C93" s="48"/>
      <c r="D93" s="48"/>
      <c r="E93" s="48"/>
      <c r="F93" s="48"/>
      <c r="G93" s="48"/>
      <c r="H93" s="48"/>
      <c r="I93" s="48"/>
      <c r="J93" s="48"/>
      <c r="K93" s="48"/>
      <c r="L93" s="48"/>
      <c r="M93" s="48"/>
      <c r="N93" s="48"/>
      <c r="O93" s="48"/>
      <c r="P93" s="48"/>
      <c r="Q93" s="48"/>
      <c r="R93" s="48"/>
      <c r="S93" s="48"/>
      <c r="T93" s="48"/>
      <c r="U93" s="48"/>
      <c r="V93" s="48"/>
      <c r="W93" s="48"/>
      <c r="X93" s="48"/>
      <c r="Y93" s="48"/>
      <c r="Z93" s="48"/>
      <c r="AA93" s="48"/>
      <c r="AB93" s="48"/>
      <c r="AC93" s="48"/>
      <c r="AD93" s="48"/>
      <c r="AE93" s="48"/>
      <c r="AF93" s="48"/>
      <c r="AG93" s="48"/>
      <c r="AH93" s="48"/>
      <c r="AI93" s="48"/>
    </row>
    <row r="94" spans="1:35" ht="15.75" customHeight="1" x14ac:dyDescent="0.2">
      <c r="A94" s="48"/>
      <c r="B94" s="48"/>
      <c r="C94" s="48"/>
      <c r="D94" s="48"/>
      <c r="E94" s="48"/>
      <c r="F94" s="48"/>
      <c r="G94" s="48"/>
      <c r="H94" s="48"/>
      <c r="I94" s="48"/>
      <c r="J94" s="48"/>
      <c r="K94" s="48"/>
      <c r="L94" s="48"/>
      <c r="M94" s="48"/>
      <c r="N94" s="48"/>
      <c r="O94" s="48"/>
      <c r="P94" s="48"/>
      <c r="Q94" s="48"/>
      <c r="R94" s="48"/>
      <c r="S94" s="48"/>
      <c r="T94" s="48"/>
      <c r="U94" s="48"/>
      <c r="V94" s="48"/>
      <c r="W94" s="48"/>
      <c r="X94" s="48"/>
      <c r="Y94" s="48"/>
      <c r="Z94" s="48"/>
      <c r="AA94" s="48"/>
      <c r="AB94" s="48"/>
      <c r="AC94" s="48"/>
      <c r="AD94" s="48"/>
      <c r="AE94" s="48"/>
      <c r="AF94" s="48"/>
      <c r="AG94" s="48"/>
      <c r="AH94" s="48"/>
      <c r="AI94" s="48"/>
    </row>
    <row r="95" spans="1:35" ht="15.75" customHeight="1" x14ac:dyDescent="0.2">
      <c r="A95" s="48"/>
      <c r="B95" s="48"/>
      <c r="C95" s="48"/>
      <c r="D95" s="48"/>
      <c r="E95" s="48"/>
      <c r="F95" s="48"/>
      <c r="G95" s="48"/>
      <c r="H95" s="48"/>
      <c r="I95" s="48"/>
      <c r="J95" s="48"/>
      <c r="K95" s="48"/>
      <c r="L95" s="48"/>
      <c r="M95" s="48"/>
      <c r="N95" s="48"/>
      <c r="O95" s="48"/>
      <c r="P95" s="48"/>
      <c r="Q95" s="48"/>
      <c r="R95" s="48"/>
      <c r="S95" s="48"/>
      <c r="T95" s="48"/>
      <c r="U95" s="48"/>
      <c r="V95" s="48"/>
      <c r="W95" s="48"/>
      <c r="X95" s="48"/>
      <c r="Y95" s="48"/>
      <c r="Z95" s="48"/>
      <c r="AA95" s="48"/>
      <c r="AB95" s="48"/>
      <c r="AC95" s="48"/>
      <c r="AD95" s="48"/>
      <c r="AE95" s="48"/>
      <c r="AF95" s="48"/>
      <c r="AG95" s="48"/>
      <c r="AH95" s="48"/>
      <c r="AI95" s="48"/>
    </row>
    <row r="96" spans="1:35" ht="15.75" customHeight="1" x14ac:dyDescent="0.2">
      <c r="A96" s="48"/>
      <c r="B96" s="48"/>
      <c r="C96" s="48"/>
      <c r="D96" s="48"/>
      <c r="E96" s="48"/>
      <c r="F96" s="48"/>
      <c r="G96" s="48"/>
      <c r="H96" s="48"/>
      <c r="I96" s="48"/>
      <c r="J96" s="48"/>
      <c r="K96" s="48"/>
      <c r="L96" s="48"/>
      <c r="M96" s="48"/>
      <c r="N96" s="48"/>
      <c r="O96" s="48"/>
      <c r="P96" s="48"/>
      <c r="Q96" s="48"/>
      <c r="R96" s="48"/>
      <c r="S96" s="48"/>
      <c r="T96" s="48"/>
      <c r="U96" s="48"/>
      <c r="V96" s="48"/>
      <c r="W96" s="48"/>
      <c r="X96" s="48"/>
      <c r="Y96" s="48"/>
      <c r="Z96" s="48"/>
      <c r="AA96" s="48"/>
      <c r="AB96" s="48"/>
      <c r="AC96" s="48"/>
      <c r="AD96" s="48"/>
      <c r="AE96" s="48"/>
      <c r="AF96" s="48"/>
      <c r="AG96" s="48"/>
      <c r="AH96" s="48"/>
      <c r="AI96" s="48"/>
    </row>
    <row r="97" spans="1:35" ht="15.75" customHeight="1" x14ac:dyDescent="0.2">
      <c r="A97" s="48"/>
      <c r="B97" s="48"/>
      <c r="C97" s="48"/>
      <c r="D97" s="48"/>
      <c r="E97" s="48"/>
      <c r="F97" s="48"/>
      <c r="G97" s="48"/>
      <c r="H97" s="48"/>
      <c r="I97" s="48"/>
      <c r="J97" s="48"/>
      <c r="K97" s="48"/>
      <c r="L97" s="48"/>
      <c r="M97" s="48"/>
      <c r="N97" s="48"/>
      <c r="O97" s="48"/>
      <c r="P97" s="48"/>
      <c r="Q97" s="48"/>
      <c r="R97" s="48"/>
      <c r="S97" s="48"/>
      <c r="T97" s="48"/>
      <c r="U97" s="48"/>
      <c r="V97" s="48"/>
      <c r="W97" s="48"/>
      <c r="X97" s="48"/>
      <c r="Y97" s="48"/>
      <c r="Z97" s="48"/>
      <c r="AA97" s="48"/>
      <c r="AB97" s="48"/>
      <c r="AC97" s="48"/>
      <c r="AD97" s="48"/>
      <c r="AE97" s="48"/>
      <c r="AF97" s="48"/>
      <c r="AG97" s="48"/>
      <c r="AH97" s="48"/>
      <c r="AI97" s="48"/>
    </row>
    <row r="98" spans="1:35" ht="15.75" customHeight="1" x14ac:dyDescent="0.2">
      <c r="A98" s="48"/>
      <c r="B98" s="48"/>
      <c r="C98" s="48"/>
      <c r="D98" s="48"/>
      <c r="E98" s="48"/>
      <c r="F98" s="48"/>
      <c r="G98" s="48"/>
      <c r="H98" s="48"/>
      <c r="I98" s="48"/>
      <c r="J98" s="48"/>
      <c r="K98" s="48"/>
      <c r="L98" s="48"/>
      <c r="M98" s="48"/>
      <c r="N98" s="48"/>
      <c r="O98" s="48"/>
      <c r="P98" s="48"/>
      <c r="Q98" s="48"/>
      <c r="R98" s="48"/>
      <c r="S98" s="48"/>
      <c r="T98" s="48"/>
      <c r="U98" s="48"/>
      <c r="V98" s="48"/>
      <c r="W98" s="48"/>
      <c r="X98" s="48"/>
      <c r="Y98" s="48"/>
      <c r="Z98" s="48"/>
      <c r="AA98" s="48"/>
      <c r="AB98" s="48"/>
      <c r="AC98" s="48"/>
      <c r="AD98" s="48"/>
      <c r="AE98" s="48"/>
      <c r="AF98" s="48"/>
      <c r="AG98" s="48"/>
      <c r="AH98" s="48"/>
      <c r="AI98" s="48"/>
    </row>
    <row r="99" spans="1:35" ht="15.75" customHeight="1" x14ac:dyDescent="0.2">
      <c r="A99" s="48"/>
      <c r="B99" s="48"/>
      <c r="C99" s="48"/>
      <c r="D99" s="48"/>
      <c r="E99" s="48"/>
      <c r="F99" s="48"/>
      <c r="G99" s="48"/>
      <c r="H99" s="48"/>
      <c r="I99" s="48"/>
      <c r="J99" s="48"/>
      <c r="K99" s="48"/>
      <c r="L99" s="48"/>
      <c r="M99" s="48"/>
      <c r="N99" s="48"/>
      <c r="O99" s="48"/>
      <c r="P99" s="48"/>
      <c r="Q99" s="48"/>
      <c r="R99" s="48"/>
      <c r="S99" s="48"/>
      <c r="T99" s="48"/>
      <c r="U99" s="48"/>
      <c r="V99" s="48"/>
      <c r="W99" s="48"/>
      <c r="X99" s="48"/>
      <c r="Y99" s="48"/>
      <c r="Z99" s="48"/>
      <c r="AA99" s="48"/>
      <c r="AB99" s="48"/>
      <c r="AC99" s="48"/>
      <c r="AD99" s="48"/>
      <c r="AE99" s="48"/>
      <c r="AF99" s="48"/>
      <c r="AG99" s="48"/>
      <c r="AH99" s="48"/>
      <c r="AI99" s="48"/>
    </row>
    <row r="100" spans="1:35" ht="15.75" customHeight="1" x14ac:dyDescent="0.2">
      <c r="A100" s="48"/>
      <c r="B100" s="48"/>
      <c r="C100" s="48"/>
      <c r="D100" s="48"/>
      <c r="E100" s="48"/>
      <c r="F100" s="48"/>
      <c r="G100" s="48"/>
      <c r="H100" s="48"/>
      <c r="I100" s="48"/>
      <c r="J100" s="48"/>
      <c r="K100" s="48"/>
      <c r="L100" s="48"/>
      <c r="M100" s="48"/>
      <c r="N100" s="48"/>
      <c r="O100" s="48"/>
      <c r="P100" s="48"/>
      <c r="Q100" s="48"/>
      <c r="R100" s="48"/>
      <c r="S100" s="48"/>
      <c r="T100" s="48"/>
      <c r="U100" s="48"/>
      <c r="V100" s="48"/>
      <c r="W100" s="48"/>
      <c r="X100" s="48"/>
      <c r="Y100" s="48"/>
      <c r="Z100" s="48"/>
      <c r="AA100" s="48"/>
      <c r="AB100" s="48"/>
      <c r="AC100" s="48"/>
      <c r="AD100" s="48"/>
      <c r="AE100" s="48"/>
      <c r="AF100" s="48"/>
      <c r="AG100" s="48"/>
      <c r="AH100" s="48"/>
      <c r="AI100" s="48"/>
    </row>
    <row r="101" spans="1:35" ht="15.75" customHeight="1" x14ac:dyDescent="0.2">
      <c r="A101" s="48"/>
      <c r="B101" s="48"/>
      <c r="C101" s="48"/>
      <c r="D101" s="48"/>
      <c r="E101" s="48"/>
      <c r="F101" s="48"/>
      <c r="G101" s="48"/>
      <c r="H101" s="48"/>
      <c r="I101" s="48"/>
      <c r="J101" s="48"/>
      <c r="K101" s="48"/>
      <c r="L101" s="48"/>
      <c r="M101" s="48"/>
      <c r="N101" s="48"/>
      <c r="O101" s="48"/>
      <c r="P101" s="48"/>
      <c r="Q101" s="48"/>
      <c r="R101" s="48"/>
      <c r="S101" s="48"/>
      <c r="T101" s="48"/>
      <c r="U101" s="48"/>
      <c r="V101" s="48"/>
      <c r="W101" s="48"/>
      <c r="X101" s="48"/>
      <c r="Y101" s="48"/>
      <c r="Z101" s="48"/>
      <c r="AA101" s="48"/>
      <c r="AB101" s="48"/>
      <c r="AC101" s="48"/>
      <c r="AD101" s="48"/>
      <c r="AE101" s="48"/>
      <c r="AF101" s="48"/>
      <c r="AG101" s="48"/>
      <c r="AH101" s="48"/>
      <c r="AI101" s="48"/>
    </row>
    <row r="102" spans="1:35" ht="15.75" customHeight="1" x14ac:dyDescent="0.2">
      <c r="A102" s="48"/>
      <c r="B102" s="48"/>
      <c r="C102" s="48"/>
      <c r="D102" s="48"/>
      <c r="E102" s="48"/>
      <c r="F102" s="48"/>
      <c r="G102" s="48"/>
      <c r="H102" s="48"/>
      <c r="I102" s="48"/>
      <c r="J102" s="48"/>
      <c r="K102" s="48"/>
      <c r="L102" s="48"/>
      <c r="M102" s="48"/>
      <c r="N102" s="48"/>
      <c r="O102" s="48"/>
      <c r="P102" s="48"/>
      <c r="Q102" s="48"/>
      <c r="R102" s="48"/>
      <c r="S102" s="48"/>
      <c r="T102" s="48"/>
      <c r="U102" s="48"/>
      <c r="V102" s="48"/>
      <c r="W102" s="48"/>
      <c r="X102" s="48"/>
      <c r="Y102" s="48"/>
      <c r="Z102" s="48"/>
      <c r="AA102" s="48"/>
      <c r="AB102" s="48"/>
      <c r="AC102" s="48"/>
      <c r="AD102" s="48"/>
      <c r="AE102" s="48"/>
      <c r="AF102" s="48"/>
      <c r="AG102" s="48"/>
      <c r="AH102" s="48"/>
      <c r="AI102" s="48"/>
    </row>
    <row r="103" spans="1:35" ht="15.75" customHeight="1" x14ac:dyDescent="0.2">
      <c r="A103" s="48"/>
      <c r="B103" s="48"/>
      <c r="C103" s="48"/>
      <c r="D103" s="48"/>
      <c r="E103" s="48"/>
      <c r="F103" s="48"/>
      <c r="G103" s="48"/>
      <c r="H103" s="48"/>
      <c r="I103" s="48"/>
      <c r="J103" s="48"/>
      <c r="K103" s="48"/>
      <c r="L103" s="48"/>
      <c r="M103" s="48"/>
      <c r="N103" s="48"/>
      <c r="O103" s="48"/>
      <c r="P103" s="48"/>
      <c r="Q103" s="48"/>
      <c r="R103" s="48"/>
      <c r="S103" s="48"/>
      <c r="T103" s="48"/>
      <c r="U103" s="48"/>
      <c r="V103" s="48"/>
      <c r="W103" s="48"/>
      <c r="X103" s="48"/>
      <c r="Y103" s="48"/>
      <c r="Z103" s="48"/>
      <c r="AA103" s="48"/>
      <c r="AB103" s="48"/>
      <c r="AC103" s="48"/>
      <c r="AD103" s="48"/>
      <c r="AE103" s="48"/>
      <c r="AF103" s="48"/>
      <c r="AG103" s="48"/>
      <c r="AH103" s="48"/>
      <c r="AI103" s="48"/>
    </row>
    <row r="104" spans="1:35" ht="15.75" customHeight="1" x14ac:dyDescent="0.2">
      <c r="A104" s="48"/>
      <c r="B104" s="48"/>
      <c r="C104" s="48"/>
      <c r="D104" s="48"/>
      <c r="E104" s="48"/>
      <c r="F104" s="48"/>
      <c r="G104" s="48"/>
      <c r="H104" s="48"/>
      <c r="I104" s="48"/>
      <c r="J104" s="48"/>
      <c r="K104" s="48"/>
      <c r="L104" s="48"/>
      <c r="M104" s="48"/>
      <c r="N104" s="48"/>
      <c r="O104" s="48"/>
      <c r="P104" s="48"/>
      <c r="Q104" s="48"/>
      <c r="R104" s="48"/>
      <c r="S104" s="48"/>
      <c r="T104" s="48"/>
      <c r="U104" s="48"/>
      <c r="V104" s="48"/>
      <c r="W104" s="48"/>
      <c r="X104" s="48"/>
      <c r="Y104" s="48"/>
      <c r="Z104" s="48"/>
      <c r="AA104" s="48"/>
      <c r="AB104" s="48"/>
      <c r="AC104" s="48"/>
      <c r="AD104" s="48"/>
      <c r="AE104" s="48"/>
      <c r="AF104" s="48"/>
      <c r="AG104" s="48"/>
      <c r="AH104" s="48"/>
      <c r="AI104" s="48"/>
    </row>
    <row r="105" spans="1:35" ht="15.75" customHeight="1" x14ac:dyDescent="0.2">
      <c r="A105" s="48"/>
      <c r="B105" s="48"/>
      <c r="C105" s="48"/>
      <c r="D105" s="48"/>
      <c r="E105" s="48"/>
      <c r="F105" s="48"/>
      <c r="G105" s="48"/>
      <c r="H105" s="48"/>
      <c r="I105" s="48"/>
      <c r="J105" s="48"/>
      <c r="K105" s="48"/>
      <c r="L105" s="48"/>
      <c r="M105" s="48"/>
      <c r="N105" s="48"/>
      <c r="O105" s="48"/>
      <c r="P105" s="48"/>
      <c r="Q105" s="48"/>
      <c r="R105" s="48"/>
      <c r="S105" s="48"/>
      <c r="T105" s="48"/>
      <c r="U105" s="48"/>
      <c r="V105" s="48"/>
      <c r="W105" s="48"/>
      <c r="X105" s="48"/>
      <c r="Y105" s="48"/>
      <c r="Z105" s="48"/>
      <c r="AA105" s="48"/>
      <c r="AB105" s="48"/>
      <c r="AC105" s="48"/>
      <c r="AD105" s="48"/>
      <c r="AE105" s="48"/>
      <c r="AF105" s="48"/>
      <c r="AG105" s="48"/>
      <c r="AH105" s="48"/>
      <c r="AI105" s="48"/>
    </row>
    <row r="106" spans="1:35" ht="15.75" customHeight="1" x14ac:dyDescent="0.2">
      <c r="A106" s="48"/>
      <c r="B106" s="48"/>
      <c r="C106" s="48"/>
      <c r="D106" s="48"/>
      <c r="E106" s="48"/>
      <c r="F106" s="48"/>
      <c r="G106" s="48"/>
      <c r="H106" s="48"/>
      <c r="I106" s="48"/>
      <c r="J106" s="48"/>
      <c r="K106" s="48"/>
      <c r="L106" s="48"/>
      <c r="M106" s="48"/>
      <c r="N106" s="48"/>
      <c r="O106" s="48"/>
      <c r="P106" s="48"/>
      <c r="Q106" s="48"/>
      <c r="R106" s="48"/>
      <c r="S106" s="48"/>
      <c r="T106" s="48"/>
      <c r="U106" s="48"/>
      <c r="V106" s="48"/>
      <c r="W106" s="48"/>
      <c r="X106" s="48"/>
      <c r="Y106" s="48"/>
      <c r="Z106" s="48"/>
      <c r="AA106" s="48"/>
      <c r="AB106" s="48"/>
      <c r="AC106" s="48"/>
      <c r="AD106" s="48"/>
      <c r="AE106" s="48"/>
      <c r="AF106" s="48"/>
      <c r="AG106" s="48"/>
      <c r="AH106" s="48"/>
      <c r="AI106" s="48"/>
    </row>
    <row r="107" spans="1:35" ht="15.75" customHeight="1" x14ac:dyDescent="0.2">
      <c r="A107" s="48"/>
      <c r="B107" s="48"/>
      <c r="C107" s="48"/>
      <c r="D107" s="48"/>
      <c r="E107" s="48"/>
      <c r="F107" s="48"/>
      <c r="G107" s="48"/>
      <c r="H107" s="48"/>
      <c r="I107" s="48"/>
      <c r="J107" s="48"/>
      <c r="K107" s="48"/>
      <c r="L107" s="48"/>
      <c r="M107" s="48"/>
      <c r="N107" s="48"/>
      <c r="O107" s="48"/>
      <c r="P107" s="48"/>
      <c r="Q107" s="48"/>
      <c r="R107" s="48"/>
      <c r="S107" s="48"/>
      <c r="T107" s="48"/>
      <c r="U107" s="48"/>
      <c r="V107" s="48"/>
      <c r="W107" s="48"/>
      <c r="X107" s="48"/>
      <c r="Y107" s="48"/>
      <c r="Z107" s="48"/>
      <c r="AA107" s="48"/>
      <c r="AB107" s="48"/>
      <c r="AC107" s="48"/>
      <c r="AD107" s="48"/>
      <c r="AE107" s="48"/>
      <c r="AF107" s="48"/>
      <c r="AG107" s="48"/>
      <c r="AH107" s="48"/>
      <c r="AI107" s="48"/>
    </row>
    <row r="108" spans="1:35" ht="15.75" customHeight="1" x14ac:dyDescent="0.2">
      <c r="A108" s="48"/>
      <c r="B108" s="48"/>
      <c r="C108" s="48"/>
      <c r="D108" s="48"/>
      <c r="E108" s="48"/>
      <c r="F108" s="48"/>
      <c r="G108" s="48"/>
      <c r="H108" s="48"/>
      <c r="I108" s="48"/>
      <c r="J108" s="48"/>
      <c r="K108" s="48"/>
      <c r="L108" s="48"/>
      <c r="M108" s="48"/>
      <c r="N108" s="48"/>
      <c r="O108" s="48"/>
      <c r="P108" s="48"/>
      <c r="Q108" s="48"/>
      <c r="R108" s="48"/>
      <c r="S108" s="48"/>
      <c r="T108" s="48"/>
      <c r="U108" s="48"/>
      <c r="V108" s="48"/>
      <c r="W108" s="48"/>
      <c r="X108" s="48"/>
      <c r="Y108" s="48"/>
      <c r="Z108" s="48"/>
      <c r="AA108" s="48"/>
      <c r="AB108" s="48"/>
      <c r="AC108" s="48"/>
      <c r="AD108" s="48"/>
      <c r="AE108" s="48"/>
      <c r="AF108" s="48"/>
      <c r="AG108" s="48"/>
      <c r="AH108" s="48"/>
      <c r="AI108" s="48"/>
    </row>
    <row r="109" spans="1:35" ht="15.75" customHeight="1" x14ac:dyDescent="0.2">
      <c r="A109" s="48"/>
      <c r="B109" s="48"/>
      <c r="C109" s="48"/>
      <c r="D109" s="48"/>
      <c r="E109" s="48"/>
      <c r="F109" s="48"/>
      <c r="G109" s="48"/>
      <c r="H109" s="48"/>
      <c r="I109" s="48"/>
      <c r="J109" s="48"/>
      <c r="K109" s="48"/>
      <c r="L109" s="48"/>
      <c r="M109" s="48"/>
      <c r="N109" s="48"/>
      <c r="O109" s="48"/>
      <c r="P109" s="48"/>
      <c r="Q109" s="48"/>
      <c r="R109" s="48"/>
      <c r="S109" s="48"/>
      <c r="T109" s="48"/>
      <c r="U109" s="48"/>
      <c r="V109" s="48"/>
      <c r="W109" s="48"/>
      <c r="X109" s="48"/>
      <c r="Y109" s="48"/>
      <c r="Z109" s="48"/>
      <c r="AA109" s="48"/>
      <c r="AB109" s="48"/>
      <c r="AC109" s="48"/>
      <c r="AD109" s="48"/>
      <c r="AE109" s="48"/>
      <c r="AF109" s="48"/>
      <c r="AG109" s="48"/>
      <c r="AH109" s="48"/>
      <c r="AI109" s="48"/>
    </row>
    <row r="110" spans="1:35" ht="15.75" customHeight="1" x14ac:dyDescent="0.2">
      <c r="A110" s="48"/>
      <c r="B110" s="48"/>
      <c r="C110" s="48"/>
      <c r="D110" s="48"/>
      <c r="E110" s="48"/>
      <c r="F110" s="48"/>
      <c r="G110" s="48"/>
      <c r="H110" s="48"/>
      <c r="I110" s="48"/>
      <c r="J110" s="48"/>
      <c r="K110" s="48"/>
      <c r="L110" s="48"/>
      <c r="M110" s="48"/>
      <c r="N110" s="48"/>
      <c r="O110" s="48"/>
      <c r="P110" s="48"/>
      <c r="Q110" s="48"/>
      <c r="R110" s="48"/>
      <c r="S110" s="48"/>
      <c r="T110" s="48"/>
      <c r="U110" s="48"/>
      <c r="V110" s="48"/>
      <c r="W110" s="48"/>
      <c r="X110" s="48"/>
      <c r="Y110" s="48"/>
      <c r="Z110" s="48"/>
      <c r="AA110" s="48"/>
      <c r="AB110" s="48"/>
      <c r="AC110" s="48"/>
      <c r="AD110" s="48"/>
      <c r="AE110" s="48"/>
      <c r="AF110" s="48"/>
      <c r="AG110" s="48"/>
      <c r="AH110" s="48"/>
      <c r="AI110" s="48"/>
    </row>
    <row r="111" spans="1:35" ht="15.75" customHeight="1" x14ac:dyDescent="0.2">
      <c r="A111" s="48"/>
      <c r="B111" s="48"/>
      <c r="C111" s="48"/>
      <c r="D111" s="48"/>
      <c r="E111" s="48"/>
      <c r="F111" s="48"/>
      <c r="G111" s="48"/>
      <c r="H111" s="48"/>
      <c r="I111" s="48"/>
      <c r="J111" s="48"/>
      <c r="K111" s="48"/>
      <c r="L111" s="48"/>
      <c r="M111" s="48"/>
      <c r="N111" s="48"/>
      <c r="O111" s="48"/>
      <c r="P111" s="48"/>
      <c r="Q111" s="48"/>
      <c r="R111" s="48"/>
      <c r="S111" s="48"/>
      <c r="T111" s="48"/>
      <c r="U111" s="48"/>
      <c r="V111" s="48"/>
      <c r="W111" s="48"/>
      <c r="X111" s="48"/>
      <c r="Y111" s="48"/>
      <c r="Z111" s="48"/>
      <c r="AA111" s="48"/>
      <c r="AB111" s="48"/>
      <c r="AC111" s="48"/>
      <c r="AD111" s="48"/>
      <c r="AE111" s="48"/>
      <c r="AF111" s="48"/>
      <c r="AG111" s="48"/>
      <c r="AH111" s="48"/>
      <c r="AI111" s="48"/>
    </row>
    <row r="112" spans="1:35" ht="15.75" customHeight="1" x14ac:dyDescent="0.2">
      <c r="A112" s="48"/>
      <c r="B112" s="48"/>
      <c r="C112" s="48"/>
      <c r="D112" s="48"/>
      <c r="E112" s="48"/>
      <c r="F112" s="48"/>
      <c r="G112" s="48"/>
      <c r="H112" s="48"/>
      <c r="I112" s="48"/>
      <c r="J112" s="48"/>
      <c r="K112" s="48"/>
      <c r="L112" s="48"/>
      <c r="M112" s="48"/>
      <c r="N112" s="48"/>
      <c r="O112" s="48"/>
      <c r="P112" s="48"/>
      <c r="Q112" s="48"/>
      <c r="R112" s="48"/>
      <c r="S112" s="48"/>
      <c r="T112" s="48"/>
      <c r="U112" s="48"/>
      <c r="V112" s="48"/>
      <c r="W112" s="48"/>
      <c r="X112" s="48"/>
      <c r="Y112" s="48"/>
      <c r="Z112" s="48"/>
      <c r="AA112" s="48"/>
      <c r="AB112" s="48"/>
      <c r="AC112" s="48"/>
      <c r="AD112" s="48"/>
      <c r="AE112" s="48"/>
      <c r="AF112" s="48"/>
      <c r="AG112" s="48"/>
      <c r="AH112" s="48"/>
      <c r="AI112" s="48"/>
    </row>
    <row r="113" spans="1:35" ht="15.75" customHeight="1" x14ac:dyDescent="0.2">
      <c r="A113" s="48"/>
      <c r="B113" s="48"/>
      <c r="C113" s="48"/>
      <c r="D113" s="48"/>
      <c r="E113" s="48"/>
      <c r="F113" s="48"/>
      <c r="G113" s="48"/>
      <c r="H113" s="48"/>
      <c r="I113" s="48"/>
      <c r="J113" s="48"/>
      <c r="K113" s="48"/>
      <c r="L113" s="48"/>
      <c r="M113" s="48"/>
      <c r="N113" s="48"/>
      <c r="O113" s="48"/>
      <c r="P113" s="48"/>
      <c r="Q113" s="48"/>
      <c r="R113" s="48"/>
      <c r="S113" s="48"/>
      <c r="T113" s="48"/>
      <c r="U113" s="48"/>
      <c r="V113" s="48"/>
      <c r="W113" s="48"/>
      <c r="X113" s="48"/>
      <c r="Y113" s="48"/>
      <c r="Z113" s="48"/>
      <c r="AA113" s="48"/>
      <c r="AB113" s="48"/>
      <c r="AC113" s="48"/>
      <c r="AD113" s="48"/>
      <c r="AE113" s="48"/>
      <c r="AF113" s="48"/>
      <c r="AG113" s="48"/>
      <c r="AH113" s="48"/>
      <c r="AI113" s="48"/>
    </row>
    <row r="114" spans="1:35" ht="15.75" customHeight="1" x14ac:dyDescent="0.2">
      <c r="A114" s="48"/>
      <c r="B114" s="48"/>
      <c r="C114" s="48"/>
      <c r="D114" s="48"/>
      <c r="E114" s="48"/>
      <c r="F114" s="48"/>
      <c r="G114" s="48"/>
      <c r="H114" s="48"/>
      <c r="I114" s="48"/>
      <c r="J114" s="48"/>
      <c r="K114" s="48"/>
      <c r="L114" s="48"/>
      <c r="M114" s="48"/>
      <c r="N114" s="48"/>
      <c r="O114" s="48"/>
      <c r="P114" s="48"/>
      <c r="Q114" s="48"/>
      <c r="R114" s="48"/>
      <c r="S114" s="48"/>
      <c r="T114" s="48"/>
      <c r="U114" s="48"/>
      <c r="V114" s="48"/>
      <c r="W114" s="48"/>
      <c r="X114" s="48"/>
      <c r="Y114" s="48"/>
      <c r="Z114" s="48"/>
      <c r="AA114" s="48"/>
      <c r="AB114" s="48"/>
      <c r="AC114" s="48"/>
      <c r="AD114" s="48"/>
      <c r="AE114" s="48"/>
      <c r="AF114" s="48"/>
      <c r="AG114" s="48"/>
      <c r="AH114" s="48"/>
      <c r="AI114" s="48"/>
    </row>
    <row r="115" spans="1:35" ht="15.75" customHeight="1" x14ac:dyDescent="0.2">
      <c r="A115" s="48"/>
      <c r="B115" s="48"/>
      <c r="C115" s="48"/>
      <c r="D115" s="48"/>
      <c r="E115" s="48"/>
      <c r="F115" s="48"/>
      <c r="G115" s="48"/>
      <c r="H115" s="48"/>
      <c r="I115" s="48"/>
      <c r="J115" s="48"/>
      <c r="K115" s="48"/>
      <c r="L115" s="48"/>
      <c r="M115" s="48"/>
      <c r="N115" s="48"/>
      <c r="O115" s="48"/>
      <c r="P115" s="48"/>
      <c r="Q115" s="48"/>
      <c r="R115" s="48"/>
      <c r="S115" s="48"/>
      <c r="T115" s="48"/>
      <c r="U115" s="48"/>
      <c r="V115" s="48"/>
      <c r="W115" s="48"/>
      <c r="X115" s="48"/>
      <c r="Y115" s="48"/>
      <c r="Z115" s="48"/>
      <c r="AA115" s="48"/>
      <c r="AB115" s="48"/>
      <c r="AC115" s="48"/>
      <c r="AD115" s="48"/>
      <c r="AE115" s="48"/>
      <c r="AF115" s="48"/>
      <c r="AG115" s="48"/>
      <c r="AH115" s="48"/>
      <c r="AI115" s="48"/>
    </row>
    <row r="116" spans="1:35" ht="15.75" customHeight="1" x14ac:dyDescent="0.2">
      <c r="A116" s="48"/>
      <c r="B116" s="48"/>
      <c r="C116" s="48"/>
      <c r="D116" s="48"/>
      <c r="E116" s="48"/>
      <c r="F116" s="48"/>
      <c r="G116" s="48"/>
      <c r="H116" s="48"/>
      <c r="I116" s="48"/>
      <c r="J116" s="48"/>
      <c r="K116" s="48"/>
      <c r="L116" s="48"/>
      <c r="M116" s="48"/>
      <c r="N116" s="48"/>
      <c r="O116" s="48"/>
      <c r="P116" s="48"/>
      <c r="Q116" s="48"/>
      <c r="R116" s="48"/>
      <c r="S116" s="48"/>
      <c r="T116" s="48"/>
      <c r="U116" s="48"/>
      <c r="V116" s="48"/>
      <c r="W116" s="48"/>
      <c r="X116" s="48"/>
      <c r="Y116" s="48"/>
      <c r="Z116" s="48"/>
      <c r="AA116" s="48"/>
      <c r="AB116" s="48"/>
      <c r="AC116" s="48"/>
      <c r="AD116" s="48"/>
      <c r="AE116" s="48"/>
      <c r="AF116" s="48"/>
      <c r="AG116" s="48"/>
      <c r="AH116" s="48"/>
      <c r="AI116" s="48"/>
    </row>
    <row r="117" spans="1:35" ht="15.75" customHeight="1" x14ac:dyDescent="0.2">
      <c r="A117" s="48"/>
      <c r="B117" s="48"/>
      <c r="C117" s="48"/>
      <c r="D117" s="48"/>
      <c r="E117" s="48"/>
      <c r="F117" s="48"/>
      <c r="G117" s="48"/>
      <c r="H117" s="48"/>
      <c r="I117" s="48"/>
      <c r="J117" s="48"/>
      <c r="K117" s="48"/>
      <c r="L117" s="48"/>
      <c r="M117" s="48"/>
      <c r="N117" s="48"/>
      <c r="O117" s="48"/>
      <c r="P117" s="48"/>
      <c r="Q117" s="48"/>
      <c r="R117" s="48"/>
      <c r="S117" s="48"/>
      <c r="T117" s="48"/>
      <c r="U117" s="48"/>
      <c r="V117" s="48"/>
      <c r="W117" s="48"/>
      <c r="X117" s="48"/>
      <c r="Y117" s="48"/>
      <c r="Z117" s="48"/>
      <c r="AA117" s="48"/>
      <c r="AB117" s="48"/>
      <c r="AC117" s="48"/>
      <c r="AD117" s="48"/>
      <c r="AE117" s="48"/>
      <c r="AF117" s="48"/>
      <c r="AG117" s="48"/>
      <c r="AH117" s="48"/>
      <c r="AI117" s="48"/>
    </row>
    <row r="118" spans="1:35" ht="15.75" customHeight="1" x14ac:dyDescent="0.2">
      <c r="A118" s="48"/>
      <c r="B118" s="48"/>
      <c r="C118" s="48"/>
      <c r="D118" s="48"/>
      <c r="E118" s="48"/>
      <c r="F118" s="48"/>
      <c r="G118" s="48"/>
      <c r="H118" s="48"/>
      <c r="I118" s="48"/>
      <c r="J118" s="48"/>
      <c r="K118" s="48"/>
      <c r="L118" s="48"/>
      <c r="M118" s="48"/>
      <c r="N118" s="48"/>
      <c r="O118" s="48"/>
      <c r="P118" s="48"/>
      <c r="Q118" s="48"/>
      <c r="R118" s="48"/>
      <c r="S118" s="48"/>
      <c r="T118" s="48"/>
      <c r="U118" s="48"/>
      <c r="V118" s="48"/>
      <c r="W118" s="48"/>
      <c r="X118" s="48"/>
      <c r="Y118" s="48"/>
      <c r="Z118" s="48"/>
      <c r="AA118" s="48"/>
      <c r="AB118" s="48"/>
      <c r="AC118" s="48"/>
      <c r="AD118" s="48"/>
      <c r="AE118" s="48"/>
      <c r="AF118" s="48"/>
      <c r="AG118" s="48"/>
      <c r="AH118" s="48"/>
      <c r="AI118" s="48"/>
    </row>
    <row r="119" spans="1:35" ht="15.75" customHeight="1" x14ac:dyDescent="0.2">
      <c r="A119" s="48"/>
      <c r="B119" s="48"/>
      <c r="C119" s="48"/>
      <c r="D119" s="48"/>
      <c r="E119" s="48"/>
      <c r="F119" s="48"/>
      <c r="G119" s="48"/>
      <c r="H119" s="48"/>
      <c r="I119" s="48"/>
      <c r="J119" s="48"/>
      <c r="K119" s="48"/>
      <c r="L119" s="48"/>
      <c r="M119" s="48"/>
      <c r="N119" s="48"/>
      <c r="O119" s="48"/>
      <c r="P119" s="48"/>
      <c r="Q119" s="48"/>
      <c r="R119" s="48"/>
      <c r="S119" s="48"/>
      <c r="T119" s="48"/>
      <c r="U119" s="48"/>
      <c r="V119" s="48"/>
      <c r="W119" s="48"/>
      <c r="X119" s="48"/>
      <c r="Y119" s="48"/>
      <c r="Z119" s="48"/>
      <c r="AA119" s="48"/>
      <c r="AB119" s="48"/>
      <c r="AC119" s="48"/>
      <c r="AD119" s="48"/>
      <c r="AE119" s="48"/>
      <c r="AF119" s="48"/>
      <c r="AG119" s="48"/>
      <c r="AH119" s="48"/>
      <c r="AI119" s="48"/>
    </row>
    <row r="120" spans="1:35" ht="15.75" customHeight="1" x14ac:dyDescent="0.2">
      <c r="A120" s="48"/>
      <c r="B120" s="48"/>
      <c r="C120" s="48"/>
      <c r="D120" s="48"/>
      <c r="E120" s="48"/>
      <c r="F120" s="48"/>
      <c r="G120" s="48"/>
      <c r="H120" s="48"/>
      <c r="I120" s="48"/>
      <c r="J120" s="48"/>
      <c r="K120" s="48"/>
      <c r="L120" s="48"/>
      <c r="M120" s="48"/>
      <c r="N120" s="48"/>
      <c r="O120" s="48"/>
      <c r="P120" s="48"/>
      <c r="Q120" s="48"/>
      <c r="R120" s="48"/>
      <c r="S120" s="48"/>
      <c r="T120" s="48"/>
      <c r="U120" s="48"/>
      <c r="V120" s="48"/>
      <c r="W120" s="48"/>
      <c r="X120" s="48"/>
      <c r="Y120" s="48"/>
      <c r="Z120" s="48"/>
      <c r="AA120" s="48"/>
      <c r="AB120" s="48"/>
      <c r="AC120" s="48"/>
      <c r="AD120" s="48"/>
      <c r="AE120" s="48"/>
      <c r="AF120" s="48"/>
      <c r="AG120" s="48"/>
      <c r="AH120" s="48"/>
      <c r="AI120" s="48"/>
    </row>
    <row r="121" spans="1:35" ht="15.75" customHeight="1" x14ac:dyDescent="0.2">
      <c r="A121" s="48"/>
      <c r="B121" s="48"/>
      <c r="C121" s="48"/>
      <c r="D121" s="48"/>
      <c r="E121" s="48"/>
      <c r="F121" s="48"/>
      <c r="G121" s="48"/>
      <c r="H121" s="48"/>
      <c r="I121" s="48"/>
      <c r="J121" s="48"/>
      <c r="K121" s="48"/>
      <c r="L121" s="48"/>
      <c r="M121" s="48"/>
      <c r="N121" s="48"/>
      <c r="O121" s="48"/>
      <c r="P121" s="48"/>
      <c r="Q121" s="48"/>
      <c r="R121" s="48"/>
      <c r="S121" s="48"/>
      <c r="T121" s="48"/>
      <c r="U121" s="48"/>
      <c r="V121" s="48"/>
      <c r="W121" s="48"/>
      <c r="X121" s="48"/>
      <c r="Y121" s="48"/>
      <c r="Z121" s="48"/>
      <c r="AA121" s="48"/>
      <c r="AB121" s="48"/>
      <c r="AC121" s="48"/>
      <c r="AD121" s="48"/>
      <c r="AE121" s="48"/>
      <c r="AF121" s="48"/>
      <c r="AG121" s="48"/>
      <c r="AH121" s="48"/>
      <c r="AI121" s="48"/>
    </row>
    <row r="122" spans="1:35" ht="15.75" customHeight="1" x14ac:dyDescent="0.2">
      <c r="A122" s="48"/>
      <c r="B122" s="48"/>
      <c r="C122" s="48"/>
      <c r="D122" s="48"/>
      <c r="E122" s="48"/>
      <c r="F122" s="48"/>
      <c r="G122" s="48"/>
      <c r="H122" s="48"/>
      <c r="I122" s="48"/>
      <c r="J122" s="48"/>
      <c r="K122" s="48"/>
      <c r="L122" s="48"/>
      <c r="M122" s="48"/>
      <c r="N122" s="48"/>
      <c r="O122" s="48"/>
      <c r="P122" s="48"/>
      <c r="Q122" s="48"/>
      <c r="R122" s="48"/>
      <c r="S122" s="48"/>
      <c r="T122" s="48"/>
      <c r="U122" s="48"/>
      <c r="V122" s="48"/>
      <c r="W122" s="48"/>
      <c r="X122" s="48"/>
      <c r="Y122" s="48"/>
      <c r="Z122" s="48"/>
      <c r="AA122" s="48"/>
      <c r="AB122" s="48"/>
      <c r="AC122" s="48"/>
      <c r="AD122" s="48"/>
      <c r="AE122" s="48"/>
      <c r="AF122" s="48"/>
      <c r="AG122" s="48"/>
      <c r="AH122" s="48"/>
      <c r="AI122" s="48"/>
    </row>
    <row r="123" spans="1:35" ht="15.75" customHeight="1" x14ac:dyDescent="0.2">
      <c r="A123" s="48"/>
      <c r="B123" s="48"/>
      <c r="C123" s="48"/>
      <c r="D123" s="48"/>
      <c r="E123" s="48"/>
      <c r="F123" s="48"/>
      <c r="G123" s="48"/>
      <c r="H123" s="48"/>
      <c r="I123" s="48"/>
      <c r="J123" s="48"/>
      <c r="K123" s="48"/>
      <c r="L123" s="48"/>
      <c r="M123" s="48"/>
      <c r="N123" s="48"/>
      <c r="O123" s="48"/>
      <c r="P123" s="48"/>
      <c r="Q123" s="48"/>
      <c r="R123" s="48"/>
      <c r="S123" s="48"/>
      <c r="T123" s="48"/>
      <c r="U123" s="48"/>
      <c r="V123" s="48"/>
      <c r="W123" s="48"/>
      <c r="X123" s="48"/>
      <c r="Y123" s="48"/>
      <c r="Z123" s="48"/>
      <c r="AA123" s="48"/>
      <c r="AB123" s="48"/>
      <c r="AC123" s="48"/>
      <c r="AD123" s="48"/>
      <c r="AE123" s="48"/>
      <c r="AF123" s="48"/>
      <c r="AG123" s="48"/>
      <c r="AH123" s="48"/>
      <c r="AI123" s="48"/>
    </row>
    <row r="124" spans="1:35" ht="15.75" customHeight="1" x14ac:dyDescent="0.2">
      <c r="A124" s="48"/>
      <c r="B124" s="48"/>
      <c r="C124" s="48"/>
      <c r="D124" s="48"/>
      <c r="E124" s="48"/>
      <c r="F124" s="48"/>
      <c r="G124" s="48"/>
      <c r="H124" s="48"/>
      <c r="I124" s="48"/>
      <c r="J124" s="48"/>
      <c r="K124" s="48"/>
      <c r="L124" s="48"/>
      <c r="M124" s="48"/>
      <c r="N124" s="48"/>
      <c r="O124" s="48"/>
      <c r="P124" s="48"/>
      <c r="Q124" s="48"/>
      <c r="R124" s="48"/>
      <c r="S124" s="48"/>
      <c r="T124" s="48"/>
      <c r="U124" s="48"/>
      <c r="V124" s="48"/>
      <c r="W124" s="48"/>
      <c r="X124" s="48"/>
      <c r="Y124" s="48"/>
      <c r="Z124" s="48"/>
      <c r="AA124" s="48"/>
      <c r="AB124" s="48"/>
      <c r="AC124" s="48"/>
      <c r="AD124" s="48"/>
      <c r="AE124" s="48"/>
      <c r="AF124" s="48"/>
      <c r="AG124" s="48"/>
      <c r="AH124" s="48"/>
      <c r="AI124" s="48"/>
    </row>
    <row r="125" spans="1:35" ht="15.75" customHeight="1" x14ac:dyDescent="0.2">
      <c r="A125" s="48"/>
      <c r="B125" s="48"/>
      <c r="C125" s="48"/>
      <c r="D125" s="48"/>
      <c r="E125" s="48"/>
      <c r="F125" s="48"/>
      <c r="G125" s="48"/>
      <c r="H125" s="48"/>
      <c r="I125" s="48"/>
      <c r="J125" s="48"/>
      <c r="K125" s="48"/>
      <c r="L125" s="48"/>
      <c r="M125" s="48"/>
      <c r="N125" s="48"/>
      <c r="O125" s="48"/>
      <c r="P125" s="48"/>
      <c r="Q125" s="48"/>
      <c r="R125" s="48"/>
      <c r="S125" s="48"/>
      <c r="T125" s="48"/>
      <c r="U125" s="48"/>
      <c r="V125" s="48"/>
      <c r="W125" s="48"/>
      <c r="X125" s="48"/>
      <c r="Y125" s="48"/>
      <c r="Z125" s="48"/>
      <c r="AA125" s="48"/>
      <c r="AB125" s="48"/>
      <c r="AC125" s="48"/>
      <c r="AD125" s="48"/>
      <c r="AE125" s="48"/>
      <c r="AF125" s="48"/>
      <c r="AG125" s="48"/>
      <c r="AH125" s="48"/>
      <c r="AI125" s="48"/>
    </row>
    <row r="126" spans="1:35" ht="15.75" customHeight="1" x14ac:dyDescent="0.2">
      <c r="A126" s="48"/>
      <c r="B126" s="48"/>
      <c r="C126" s="48"/>
      <c r="D126" s="48"/>
      <c r="E126" s="48"/>
      <c r="F126" s="48"/>
      <c r="G126" s="48"/>
      <c r="H126" s="48"/>
      <c r="I126" s="48"/>
      <c r="J126" s="48"/>
      <c r="K126" s="48"/>
      <c r="L126" s="48"/>
      <c r="M126" s="48"/>
      <c r="N126" s="48"/>
      <c r="O126" s="48"/>
      <c r="P126" s="48"/>
      <c r="Q126" s="48"/>
      <c r="R126" s="48"/>
      <c r="S126" s="48"/>
      <c r="T126" s="48"/>
      <c r="U126" s="48"/>
      <c r="V126" s="48"/>
      <c r="W126" s="48"/>
      <c r="X126" s="48"/>
      <c r="Y126" s="48"/>
      <c r="Z126" s="48"/>
      <c r="AA126" s="48"/>
      <c r="AB126" s="48"/>
      <c r="AC126" s="48"/>
      <c r="AD126" s="48"/>
      <c r="AE126" s="48"/>
      <c r="AF126" s="48"/>
      <c r="AG126" s="48"/>
      <c r="AH126" s="48"/>
      <c r="AI126" s="48"/>
    </row>
    <row r="127" spans="1:35" ht="15.75" customHeight="1" x14ac:dyDescent="0.2">
      <c r="A127" s="48"/>
      <c r="B127" s="48"/>
      <c r="C127" s="48"/>
      <c r="D127" s="48"/>
      <c r="E127" s="48"/>
      <c r="F127" s="48"/>
      <c r="G127" s="48"/>
      <c r="H127" s="48"/>
      <c r="I127" s="48"/>
      <c r="J127" s="48"/>
      <c r="K127" s="48"/>
      <c r="L127" s="48"/>
      <c r="M127" s="48"/>
      <c r="N127" s="48"/>
      <c r="O127" s="48"/>
      <c r="P127" s="48"/>
      <c r="Q127" s="48"/>
      <c r="R127" s="48"/>
      <c r="S127" s="48"/>
      <c r="T127" s="48"/>
      <c r="U127" s="48"/>
      <c r="V127" s="48"/>
      <c r="W127" s="48"/>
      <c r="X127" s="48"/>
      <c r="Y127" s="48"/>
      <c r="Z127" s="48"/>
      <c r="AA127" s="48"/>
      <c r="AB127" s="48"/>
      <c r="AC127" s="48"/>
      <c r="AD127" s="48"/>
      <c r="AE127" s="48"/>
      <c r="AF127" s="48"/>
      <c r="AG127" s="48"/>
      <c r="AH127" s="48"/>
      <c r="AI127" s="48"/>
    </row>
    <row r="128" spans="1:35" ht="15.75" customHeight="1" x14ac:dyDescent="0.2">
      <c r="A128" s="48"/>
      <c r="B128" s="48"/>
      <c r="C128" s="48"/>
      <c r="D128" s="48"/>
      <c r="E128" s="48"/>
      <c r="F128" s="48"/>
      <c r="G128" s="48"/>
      <c r="H128" s="48"/>
      <c r="I128" s="48"/>
      <c r="J128" s="48"/>
      <c r="K128" s="48"/>
      <c r="L128" s="48"/>
      <c r="M128" s="48"/>
      <c r="N128" s="48"/>
      <c r="O128" s="48"/>
      <c r="P128" s="48"/>
      <c r="Q128" s="48"/>
      <c r="R128" s="48"/>
      <c r="S128" s="48"/>
      <c r="T128" s="48"/>
      <c r="U128" s="48"/>
      <c r="V128" s="48"/>
      <c r="W128" s="48"/>
      <c r="X128" s="48"/>
      <c r="Y128" s="48"/>
      <c r="Z128" s="48"/>
      <c r="AA128" s="48"/>
      <c r="AB128" s="48"/>
      <c r="AC128" s="48"/>
      <c r="AD128" s="48"/>
      <c r="AE128" s="48"/>
      <c r="AF128" s="48"/>
      <c r="AG128" s="48"/>
      <c r="AH128" s="48"/>
      <c r="AI128" s="48"/>
    </row>
    <row r="129" spans="1:35" ht="15.75" customHeight="1" x14ac:dyDescent="0.2">
      <c r="A129" s="48"/>
      <c r="B129" s="48"/>
      <c r="C129" s="48"/>
      <c r="D129" s="48"/>
      <c r="E129" s="48"/>
      <c r="F129" s="48"/>
      <c r="G129" s="48"/>
      <c r="H129" s="48"/>
      <c r="I129" s="48"/>
      <c r="J129" s="48"/>
      <c r="K129" s="48"/>
      <c r="L129" s="48"/>
      <c r="M129" s="48"/>
      <c r="N129" s="48"/>
      <c r="O129" s="48"/>
      <c r="P129" s="48"/>
      <c r="Q129" s="48"/>
      <c r="R129" s="48"/>
      <c r="S129" s="48"/>
      <c r="T129" s="48"/>
      <c r="U129" s="48"/>
      <c r="V129" s="48"/>
      <c r="W129" s="48"/>
      <c r="X129" s="48"/>
      <c r="Y129" s="48"/>
      <c r="Z129" s="48"/>
      <c r="AA129" s="48"/>
      <c r="AB129" s="48"/>
      <c r="AC129" s="48"/>
      <c r="AD129" s="48"/>
      <c r="AE129" s="48"/>
      <c r="AF129" s="48"/>
      <c r="AG129" s="48"/>
      <c r="AH129" s="48"/>
      <c r="AI129" s="48"/>
    </row>
    <row r="130" spans="1:35" ht="15.75" customHeight="1" x14ac:dyDescent="0.2">
      <c r="A130" s="48"/>
      <c r="B130" s="48"/>
      <c r="C130" s="48"/>
      <c r="D130" s="48"/>
      <c r="E130" s="48"/>
      <c r="F130" s="48"/>
      <c r="G130" s="48"/>
      <c r="H130" s="48"/>
      <c r="I130" s="48"/>
      <c r="J130" s="48"/>
      <c r="K130" s="48"/>
      <c r="L130" s="48"/>
      <c r="M130" s="48"/>
      <c r="N130" s="48"/>
      <c r="O130" s="48"/>
      <c r="P130" s="48"/>
      <c r="Q130" s="48"/>
      <c r="R130" s="48"/>
      <c r="S130" s="48"/>
      <c r="T130" s="48"/>
      <c r="U130" s="48"/>
      <c r="V130" s="48"/>
      <c r="W130" s="48"/>
      <c r="X130" s="48"/>
      <c r="Y130" s="48"/>
      <c r="Z130" s="48"/>
      <c r="AA130" s="48"/>
      <c r="AB130" s="48"/>
      <c r="AC130" s="48"/>
      <c r="AD130" s="48"/>
      <c r="AE130" s="48"/>
      <c r="AF130" s="48"/>
      <c r="AG130" s="48"/>
      <c r="AH130" s="48"/>
      <c r="AI130" s="48"/>
    </row>
    <row r="131" spans="1:35" ht="15.75" customHeight="1" x14ac:dyDescent="0.2">
      <c r="A131" s="48"/>
      <c r="B131" s="48"/>
      <c r="C131" s="48"/>
      <c r="D131" s="48"/>
      <c r="E131" s="48"/>
      <c r="F131" s="48"/>
      <c r="G131" s="48"/>
      <c r="H131" s="48"/>
      <c r="I131" s="48"/>
      <c r="J131" s="48"/>
      <c r="K131" s="48"/>
      <c r="L131" s="48"/>
      <c r="M131" s="48"/>
      <c r="N131" s="48"/>
      <c r="O131" s="48"/>
      <c r="P131" s="48"/>
      <c r="Q131" s="48"/>
      <c r="R131" s="48"/>
      <c r="S131" s="48"/>
      <c r="T131" s="48"/>
      <c r="U131" s="48"/>
      <c r="V131" s="48"/>
      <c r="W131" s="48"/>
      <c r="X131" s="48"/>
      <c r="Y131" s="48"/>
      <c r="Z131" s="48"/>
      <c r="AA131" s="48"/>
      <c r="AB131" s="48"/>
      <c r="AC131" s="48"/>
      <c r="AD131" s="48"/>
      <c r="AE131" s="48"/>
      <c r="AF131" s="48"/>
      <c r="AG131" s="48"/>
      <c r="AH131" s="48"/>
      <c r="AI131" s="48"/>
    </row>
    <row r="132" spans="1:35" ht="15.75" customHeight="1" x14ac:dyDescent="0.2">
      <c r="A132" s="48"/>
      <c r="B132" s="48"/>
      <c r="C132" s="48"/>
      <c r="D132" s="48"/>
      <c r="E132" s="48"/>
      <c r="F132" s="48"/>
      <c r="G132" s="48"/>
      <c r="H132" s="48"/>
      <c r="I132" s="48"/>
      <c r="J132" s="48"/>
      <c r="K132" s="48"/>
      <c r="L132" s="48"/>
      <c r="M132" s="48"/>
      <c r="N132" s="48"/>
      <c r="O132" s="48"/>
      <c r="P132" s="48"/>
      <c r="Q132" s="48"/>
      <c r="R132" s="48"/>
      <c r="S132" s="48"/>
      <c r="T132" s="48"/>
      <c r="U132" s="48"/>
      <c r="V132" s="48"/>
      <c r="W132" s="48"/>
      <c r="X132" s="48"/>
      <c r="Y132" s="48"/>
      <c r="Z132" s="48"/>
      <c r="AA132" s="48"/>
      <c r="AB132" s="48"/>
      <c r="AC132" s="48"/>
      <c r="AD132" s="48"/>
      <c r="AE132" s="48"/>
      <c r="AF132" s="48"/>
      <c r="AG132" s="48"/>
      <c r="AH132" s="48"/>
      <c r="AI132" s="48"/>
    </row>
    <row r="133" spans="1:35" ht="15.75" customHeight="1" x14ac:dyDescent="0.2">
      <c r="A133" s="48"/>
      <c r="B133" s="48"/>
      <c r="C133" s="48"/>
      <c r="D133" s="48"/>
      <c r="E133" s="48"/>
      <c r="F133" s="48"/>
      <c r="G133" s="48"/>
      <c r="H133" s="48"/>
      <c r="I133" s="48"/>
      <c r="J133" s="48"/>
      <c r="K133" s="48"/>
      <c r="L133" s="48"/>
      <c r="M133" s="48"/>
      <c r="N133" s="48"/>
      <c r="O133" s="48"/>
      <c r="P133" s="48"/>
      <c r="Q133" s="48"/>
      <c r="R133" s="48"/>
      <c r="S133" s="48"/>
      <c r="T133" s="48"/>
      <c r="U133" s="48"/>
      <c r="V133" s="48"/>
      <c r="W133" s="48"/>
      <c r="X133" s="48"/>
      <c r="Y133" s="48"/>
      <c r="Z133" s="48"/>
      <c r="AA133" s="48"/>
      <c r="AB133" s="48"/>
      <c r="AC133" s="48"/>
      <c r="AD133" s="48"/>
      <c r="AE133" s="48"/>
      <c r="AF133" s="48"/>
      <c r="AG133" s="48"/>
      <c r="AH133" s="48"/>
      <c r="AI133" s="48"/>
    </row>
    <row r="134" spans="1:35" ht="15.75" customHeight="1" x14ac:dyDescent="0.2">
      <c r="A134" s="48"/>
      <c r="B134" s="48"/>
      <c r="C134" s="48"/>
      <c r="D134" s="48"/>
      <c r="E134" s="48"/>
      <c r="F134" s="48"/>
      <c r="G134" s="48"/>
      <c r="H134" s="48"/>
      <c r="I134" s="48"/>
      <c r="J134" s="48"/>
      <c r="K134" s="48"/>
      <c r="L134" s="48"/>
      <c r="M134" s="48"/>
      <c r="N134" s="48"/>
      <c r="O134" s="48"/>
      <c r="P134" s="48"/>
      <c r="Q134" s="48"/>
      <c r="R134" s="48"/>
      <c r="S134" s="48"/>
      <c r="T134" s="48"/>
      <c r="U134" s="48"/>
      <c r="V134" s="48"/>
      <c r="W134" s="48"/>
      <c r="X134" s="48"/>
      <c r="Y134" s="48"/>
      <c r="Z134" s="48"/>
      <c r="AA134" s="48"/>
      <c r="AB134" s="48"/>
      <c r="AC134" s="48"/>
      <c r="AD134" s="48"/>
      <c r="AE134" s="48"/>
      <c r="AF134" s="48"/>
      <c r="AG134" s="48"/>
      <c r="AH134" s="48"/>
      <c r="AI134" s="48"/>
    </row>
    <row r="135" spans="1:35" ht="15.75" customHeight="1" x14ac:dyDescent="0.2">
      <c r="A135" s="48"/>
      <c r="B135" s="48"/>
      <c r="C135" s="48"/>
      <c r="D135" s="48"/>
      <c r="E135" s="48"/>
      <c r="F135" s="48"/>
      <c r="G135" s="48"/>
      <c r="H135" s="48"/>
      <c r="I135" s="48"/>
      <c r="J135" s="48"/>
      <c r="K135" s="48"/>
      <c r="L135" s="48"/>
      <c r="M135" s="48"/>
      <c r="N135" s="48"/>
      <c r="O135" s="48"/>
      <c r="P135" s="48"/>
      <c r="Q135" s="48"/>
      <c r="R135" s="48"/>
      <c r="S135" s="48"/>
      <c r="T135" s="48"/>
      <c r="U135" s="48"/>
      <c r="V135" s="48"/>
      <c r="W135" s="48"/>
      <c r="X135" s="48"/>
      <c r="Y135" s="48"/>
      <c r="Z135" s="48"/>
      <c r="AA135" s="48"/>
      <c r="AB135" s="48"/>
      <c r="AC135" s="48"/>
      <c r="AD135" s="48"/>
      <c r="AE135" s="48"/>
      <c r="AF135" s="48"/>
      <c r="AG135" s="48"/>
      <c r="AH135" s="48"/>
      <c r="AI135" s="48"/>
    </row>
    <row r="136" spans="1:35" ht="15.75" customHeight="1" x14ac:dyDescent="0.2">
      <c r="A136" s="48"/>
      <c r="B136" s="48"/>
      <c r="C136" s="48"/>
      <c r="D136" s="48"/>
      <c r="E136" s="48"/>
      <c r="F136" s="48"/>
      <c r="G136" s="48"/>
      <c r="H136" s="48"/>
      <c r="I136" s="48"/>
      <c r="J136" s="48"/>
      <c r="K136" s="48"/>
      <c r="L136" s="48"/>
      <c r="M136" s="48"/>
      <c r="N136" s="48"/>
      <c r="O136" s="48"/>
      <c r="P136" s="48"/>
      <c r="Q136" s="48"/>
      <c r="R136" s="48"/>
      <c r="S136" s="48"/>
      <c r="T136" s="48"/>
      <c r="U136" s="48"/>
      <c r="V136" s="48"/>
      <c r="W136" s="48"/>
      <c r="X136" s="48"/>
      <c r="Y136" s="48"/>
      <c r="Z136" s="48"/>
      <c r="AA136" s="48"/>
      <c r="AB136" s="48"/>
      <c r="AC136" s="48"/>
      <c r="AD136" s="48"/>
      <c r="AE136" s="48"/>
      <c r="AF136" s="48"/>
      <c r="AG136" s="48"/>
      <c r="AH136" s="48"/>
      <c r="AI136" s="48"/>
    </row>
    <row r="137" spans="1:35" ht="15.75" customHeight="1" x14ac:dyDescent="0.2">
      <c r="A137" s="48"/>
      <c r="B137" s="48"/>
      <c r="C137" s="48"/>
      <c r="D137" s="48"/>
      <c r="E137" s="48"/>
      <c r="F137" s="48"/>
      <c r="G137" s="48"/>
      <c r="H137" s="48"/>
      <c r="I137" s="48"/>
      <c r="J137" s="48"/>
      <c r="K137" s="48"/>
      <c r="L137" s="48"/>
      <c r="M137" s="48"/>
      <c r="N137" s="48"/>
      <c r="O137" s="48"/>
      <c r="P137" s="48"/>
      <c r="Q137" s="48"/>
      <c r="R137" s="48"/>
      <c r="S137" s="48"/>
      <c r="T137" s="48"/>
      <c r="U137" s="48"/>
      <c r="V137" s="48"/>
      <c r="W137" s="48"/>
      <c r="X137" s="48"/>
      <c r="Y137" s="48"/>
      <c r="Z137" s="48"/>
      <c r="AA137" s="48"/>
      <c r="AB137" s="48"/>
      <c r="AC137" s="48"/>
      <c r="AD137" s="48"/>
      <c r="AE137" s="48"/>
      <c r="AF137" s="48"/>
      <c r="AG137" s="48"/>
      <c r="AH137" s="48"/>
      <c r="AI137" s="48"/>
    </row>
    <row r="138" spans="1:35" ht="15.75" customHeight="1" x14ac:dyDescent="0.2">
      <c r="A138" s="48"/>
      <c r="B138" s="48"/>
      <c r="C138" s="48"/>
      <c r="D138" s="48"/>
      <c r="E138" s="48"/>
      <c r="F138" s="48"/>
      <c r="G138" s="48"/>
      <c r="H138" s="48"/>
      <c r="I138" s="48"/>
      <c r="J138" s="48"/>
      <c r="K138" s="48"/>
      <c r="L138" s="48"/>
      <c r="M138" s="48"/>
      <c r="N138" s="48"/>
      <c r="O138" s="48"/>
      <c r="P138" s="48"/>
      <c r="Q138" s="48"/>
      <c r="R138" s="48"/>
      <c r="S138" s="48"/>
      <c r="T138" s="48"/>
      <c r="U138" s="48"/>
      <c r="V138" s="48"/>
      <c r="W138" s="48"/>
      <c r="X138" s="48"/>
      <c r="Y138" s="48"/>
      <c r="Z138" s="48"/>
      <c r="AA138" s="48"/>
      <c r="AB138" s="48"/>
      <c r="AC138" s="48"/>
      <c r="AD138" s="48"/>
      <c r="AE138" s="48"/>
      <c r="AF138" s="48"/>
      <c r="AG138" s="48"/>
      <c r="AH138" s="48"/>
      <c r="AI138" s="48"/>
    </row>
    <row r="139" spans="1:35" ht="15.75" customHeight="1" x14ac:dyDescent="0.2">
      <c r="A139" s="48"/>
      <c r="B139" s="48"/>
      <c r="C139" s="48"/>
      <c r="D139" s="48"/>
      <c r="E139" s="48"/>
      <c r="F139" s="48"/>
      <c r="G139" s="48"/>
      <c r="H139" s="48"/>
      <c r="I139" s="48"/>
      <c r="J139" s="48"/>
      <c r="K139" s="48"/>
      <c r="L139" s="48"/>
      <c r="M139" s="48"/>
      <c r="N139" s="48"/>
      <c r="O139" s="48"/>
      <c r="P139" s="48"/>
      <c r="Q139" s="48"/>
      <c r="R139" s="48"/>
      <c r="S139" s="48"/>
      <c r="T139" s="48"/>
      <c r="U139" s="48"/>
      <c r="V139" s="48"/>
      <c r="W139" s="48"/>
      <c r="X139" s="48"/>
      <c r="Y139" s="48"/>
      <c r="Z139" s="48"/>
      <c r="AA139" s="48"/>
      <c r="AB139" s="48"/>
      <c r="AC139" s="48"/>
      <c r="AD139" s="48"/>
      <c r="AE139" s="48"/>
      <c r="AF139" s="48"/>
      <c r="AG139" s="48"/>
      <c r="AH139" s="48"/>
      <c r="AI139" s="48"/>
    </row>
    <row r="140" spans="1:35" ht="15.75" customHeight="1" x14ac:dyDescent="0.2">
      <c r="A140" s="48"/>
      <c r="B140" s="48"/>
      <c r="C140" s="48"/>
      <c r="D140" s="48"/>
      <c r="E140" s="48"/>
      <c r="F140" s="48"/>
      <c r="G140" s="48"/>
      <c r="H140" s="48"/>
      <c r="I140" s="48"/>
      <c r="J140" s="48"/>
      <c r="K140" s="48"/>
      <c r="L140" s="48"/>
      <c r="M140" s="48"/>
      <c r="N140" s="48"/>
      <c r="O140" s="48"/>
      <c r="P140" s="48"/>
      <c r="Q140" s="48"/>
      <c r="R140" s="48"/>
      <c r="S140" s="48"/>
      <c r="T140" s="48"/>
      <c r="U140" s="48"/>
      <c r="V140" s="48"/>
      <c r="W140" s="48"/>
      <c r="X140" s="48"/>
      <c r="Y140" s="48"/>
      <c r="Z140" s="48"/>
      <c r="AA140" s="48"/>
      <c r="AB140" s="48"/>
      <c r="AC140" s="48"/>
      <c r="AD140" s="48"/>
      <c r="AE140" s="48"/>
      <c r="AF140" s="48"/>
      <c r="AG140" s="48"/>
      <c r="AH140" s="48"/>
      <c r="AI140" s="48"/>
    </row>
    <row r="141" spans="1:35" ht="15.75" customHeight="1" x14ac:dyDescent="0.2">
      <c r="A141" s="48"/>
      <c r="B141" s="48"/>
      <c r="C141" s="48"/>
      <c r="D141" s="48"/>
      <c r="E141" s="48"/>
      <c r="F141" s="48"/>
      <c r="G141" s="48"/>
      <c r="H141" s="48"/>
      <c r="I141" s="48"/>
      <c r="J141" s="48"/>
      <c r="K141" s="48"/>
      <c r="L141" s="48"/>
      <c r="M141" s="48"/>
      <c r="N141" s="48"/>
      <c r="O141" s="48"/>
      <c r="P141" s="48"/>
      <c r="Q141" s="48"/>
      <c r="R141" s="48"/>
      <c r="S141" s="48"/>
      <c r="T141" s="48"/>
      <c r="U141" s="48"/>
      <c r="V141" s="48"/>
      <c r="W141" s="48"/>
      <c r="X141" s="48"/>
      <c r="Y141" s="48"/>
      <c r="Z141" s="48"/>
      <c r="AA141" s="48"/>
      <c r="AB141" s="48"/>
      <c r="AC141" s="48"/>
      <c r="AD141" s="48"/>
      <c r="AE141" s="48"/>
      <c r="AF141" s="48"/>
      <c r="AG141" s="48"/>
      <c r="AH141" s="48"/>
      <c r="AI141" s="48"/>
    </row>
    <row r="142" spans="1:35" ht="15.75" customHeight="1" x14ac:dyDescent="0.2">
      <c r="A142" s="48"/>
      <c r="B142" s="48"/>
      <c r="C142" s="48"/>
      <c r="D142" s="48"/>
      <c r="E142" s="48"/>
      <c r="F142" s="48"/>
      <c r="G142" s="48"/>
      <c r="H142" s="48"/>
      <c r="I142" s="48"/>
      <c r="J142" s="48"/>
      <c r="K142" s="48"/>
      <c r="L142" s="48"/>
      <c r="M142" s="48"/>
      <c r="N142" s="48"/>
      <c r="O142" s="48"/>
      <c r="P142" s="48"/>
      <c r="Q142" s="48"/>
      <c r="R142" s="48"/>
      <c r="S142" s="48"/>
      <c r="T142" s="48"/>
      <c r="U142" s="48"/>
      <c r="V142" s="48"/>
      <c r="W142" s="48"/>
      <c r="X142" s="48"/>
      <c r="Y142" s="48"/>
      <c r="Z142" s="48"/>
      <c r="AA142" s="48"/>
      <c r="AB142" s="48"/>
      <c r="AC142" s="48"/>
      <c r="AD142" s="48"/>
      <c r="AE142" s="48"/>
      <c r="AF142" s="48"/>
      <c r="AG142" s="48"/>
      <c r="AH142" s="48"/>
      <c r="AI142" s="48"/>
    </row>
    <row r="143" spans="1:35" ht="15.75" customHeight="1" x14ac:dyDescent="0.2">
      <c r="A143" s="48"/>
      <c r="B143" s="48"/>
      <c r="C143" s="48"/>
      <c r="D143" s="48"/>
      <c r="E143" s="48"/>
      <c r="F143" s="48"/>
      <c r="G143" s="48"/>
      <c r="H143" s="48"/>
      <c r="I143" s="48"/>
      <c r="J143" s="48"/>
      <c r="K143" s="48"/>
      <c r="L143" s="48"/>
      <c r="M143" s="48"/>
      <c r="N143" s="48"/>
      <c r="O143" s="48"/>
      <c r="P143" s="48"/>
      <c r="Q143" s="48"/>
      <c r="R143" s="48"/>
      <c r="S143" s="48"/>
      <c r="T143" s="48"/>
      <c r="U143" s="48"/>
      <c r="V143" s="48"/>
      <c r="W143" s="48"/>
      <c r="X143" s="48"/>
      <c r="Y143" s="48"/>
      <c r="Z143" s="48"/>
      <c r="AA143" s="48"/>
      <c r="AB143" s="48"/>
      <c r="AC143" s="48"/>
      <c r="AD143" s="48"/>
      <c r="AE143" s="48"/>
      <c r="AF143" s="48"/>
      <c r="AG143" s="48"/>
      <c r="AH143" s="48"/>
      <c r="AI143" s="48"/>
    </row>
    <row r="144" spans="1:35" ht="15.75" customHeight="1" x14ac:dyDescent="0.2">
      <c r="A144" s="48"/>
      <c r="B144" s="48"/>
      <c r="C144" s="48"/>
      <c r="D144" s="48"/>
      <c r="E144" s="48"/>
      <c r="F144" s="48"/>
      <c r="G144" s="48"/>
      <c r="H144" s="48"/>
      <c r="I144" s="48"/>
      <c r="J144" s="48"/>
      <c r="K144" s="48"/>
      <c r="L144" s="48"/>
      <c r="M144" s="48"/>
      <c r="N144" s="48"/>
      <c r="O144" s="48"/>
      <c r="P144" s="48"/>
      <c r="Q144" s="48"/>
      <c r="R144" s="48"/>
      <c r="S144" s="48"/>
      <c r="T144" s="48"/>
      <c r="U144" s="48"/>
      <c r="V144" s="48"/>
      <c r="W144" s="48"/>
      <c r="X144" s="48"/>
      <c r="Y144" s="48"/>
      <c r="Z144" s="48"/>
      <c r="AA144" s="48"/>
      <c r="AB144" s="48"/>
      <c r="AC144" s="48"/>
      <c r="AD144" s="48"/>
      <c r="AE144" s="48"/>
      <c r="AF144" s="48"/>
      <c r="AG144" s="48"/>
      <c r="AH144" s="48"/>
      <c r="AI144" s="48"/>
    </row>
    <row r="145" spans="1:35" ht="15.75" customHeight="1" x14ac:dyDescent="0.2">
      <c r="A145" s="48"/>
      <c r="B145" s="48"/>
      <c r="C145" s="48"/>
      <c r="D145" s="48"/>
      <c r="E145" s="48"/>
      <c r="F145" s="48"/>
      <c r="G145" s="48"/>
      <c r="H145" s="48"/>
      <c r="I145" s="48"/>
      <c r="J145" s="48"/>
      <c r="K145" s="48"/>
      <c r="L145" s="48"/>
      <c r="M145" s="48"/>
      <c r="N145" s="48"/>
      <c r="O145" s="48"/>
      <c r="P145" s="48"/>
      <c r="Q145" s="48"/>
      <c r="R145" s="48"/>
      <c r="S145" s="48"/>
      <c r="T145" s="48"/>
      <c r="U145" s="48"/>
      <c r="V145" s="48"/>
      <c r="W145" s="48"/>
      <c r="X145" s="48"/>
      <c r="Y145" s="48"/>
      <c r="Z145" s="48"/>
      <c r="AA145" s="48"/>
      <c r="AB145" s="48"/>
      <c r="AC145" s="48"/>
      <c r="AD145" s="48"/>
      <c r="AE145" s="48"/>
      <c r="AF145" s="48"/>
      <c r="AG145" s="48"/>
      <c r="AH145" s="48"/>
      <c r="AI145" s="48"/>
    </row>
    <row r="146" spans="1:35" ht="15.75" customHeight="1" x14ac:dyDescent="0.2">
      <c r="A146" s="48"/>
      <c r="B146" s="48"/>
      <c r="C146" s="48"/>
      <c r="D146" s="48"/>
      <c r="E146" s="48"/>
      <c r="F146" s="48"/>
      <c r="G146" s="48"/>
      <c r="H146" s="48"/>
      <c r="I146" s="48"/>
      <c r="J146" s="48"/>
      <c r="K146" s="48"/>
      <c r="L146" s="48"/>
      <c r="M146" s="48"/>
      <c r="N146" s="48"/>
      <c r="O146" s="48"/>
      <c r="P146" s="48"/>
      <c r="Q146" s="48"/>
      <c r="R146" s="48"/>
      <c r="S146" s="48"/>
      <c r="T146" s="48"/>
      <c r="U146" s="48"/>
      <c r="V146" s="48"/>
      <c r="W146" s="48"/>
      <c r="X146" s="48"/>
      <c r="Y146" s="48"/>
      <c r="Z146" s="48"/>
      <c r="AA146" s="48"/>
      <c r="AB146" s="48"/>
      <c r="AC146" s="48"/>
      <c r="AD146" s="48"/>
      <c r="AE146" s="48"/>
      <c r="AF146" s="48"/>
      <c r="AG146" s="48"/>
      <c r="AH146" s="48"/>
      <c r="AI146" s="48"/>
    </row>
    <row r="147" spans="1:35" ht="15.75" customHeight="1" x14ac:dyDescent="0.2">
      <c r="A147" s="48"/>
      <c r="B147" s="48"/>
      <c r="C147" s="48"/>
      <c r="D147" s="48"/>
      <c r="E147" s="48"/>
      <c r="F147" s="48"/>
      <c r="G147" s="48"/>
      <c r="H147" s="48"/>
      <c r="I147" s="48"/>
      <c r="J147" s="48"/>
      <c r="K147" s="48"/>
      <c r="L147" s="48"/>
      <c r="M147" s="48"/>
      <c r="N147" s="48"/>
      <c r="O147" s="48"/>
      <c r="P147" s="48"/>
      <c r="Q147" s="48"/>
      <c r="R147" s="48"/>
      <c r="S147" s="48"/>
      <c r="T147" s="48"/>
      <c r="U147" s="48"/>
      <c r="V147" s="48"/>
      <c r="W147" s="48"/>
      <c r="X147" s="48"/>
      <c r="Y147" s="48"/>
      <c r="Z147" s="48"/>
      <c r="AA147" s="48"/>
      <c r="AB147" s="48"/>
      <c r="AC147" s="48"/>
      <c r="AD147" s="48"/>
      <c r="AE147" s="48"/>
      <c r="AF147" s="48"/>
      <c r="AG147" s="48"/>
      <c r="AH147" s="48"/>
      <c r="AI147" s="48"/>
    </row>
    <row r="148" spans="1:35" ht="15.75" customHeight="1" x14ac:dyDescent="0.2">
      <c r="A148" s="48"/>
      <c r="B148" s="48"/>
      <c r="C148" s="48"/>
      <c r="D148" s="48"/>
      <c r="E148" s="48"/>
      <c r="F148" s="48"/>
      <c r="G148" s="48"/>
      <c r="H148" s="48"/>
      <c r="I148" s="48"/>
      <c r="J148" s="48"/>
      <c r="K148" s="48"/>
      <c r="L148" s="48"/>
      <c r="M148" s="48"/>
      <c r="N148" s="48"/>
      <c r="O148" s="48"/>
      <c r="P148" s="48"/>
      <c r="Q148" s="48"/>
      <c r="R148" s="48"/>
      <c r="S148" s="48"/>
      <c r="T148" s="48"/>
      <c r="U148" s="48"/>
      <c r="V148" s="48"/>
      <c r="W148" s="48"/>
      <c r="X148" s="48"/>
      <c r="Y148" s="48"/>
      <c r="Z148" s="48"/>
      <c r="AA148" s="48"/>
      <c r="AB148" s="48"/>
      <c r="AC148" s="48"/>
      <c r="AD148" s="48"/>
      <c r="AE148" s="48"/>
      <c r="AF148" s="48"/>
      <c r="AG148" s="48"/>
      <c r="AH148" s="48"/>
      <c r="AI148" s="48"/>
    </row>
    <row r="149" spans="1:35" ht="15.75" customHeight="1" x14ac:dyDescent="0.2">
      <c r="A149" s="48"/>
      <c r="B149" s="48"/>
      <c r="C149" s="48"/>
      <c r="D149" s="48"/>
      <c r="E149" s="48"/>
      <c r="F149" s="48"/>
      <c r="G149" s="48"/>
      <c r="H149" s="48"/>
      <c r="I149" s="48"/>
      <c r="J149" s="48"/>
      <c r="K149" s="48"/>
      <c r="L149" s="48"/>
      <c r="M149" s="48"/>
      <c r="N149" s="48"/>
      <c r="O149" s="48"/>
      <c r="P149" s="48"/>
      <c r="Q149" s="48"/>
      <c r="R149" s="48"/>
      <c r="S149" s="48"/>
      <c r="T149" s="48"/>
      <c r="U149" s="48"/>
      <c r="V149" s="48"/>
      <c r="W149" s="48"/>
      <c r="X149" s="48"/>
      <c r="Y149" s="48"/>
      <c r="Z149" s="48"/>
      <c r="AA149" s="48"/>
      <c r="AB149" s="48"/>
      <c r="AC149" s="48"/>
      <c r="AD149" s="48"/>
      <c r="AE149" s="48"/>
      <c r="AF149" s="48"/>
      <c r="AG149" s="48"/>
      <c r="AH149" s="48"/>
      <c r="AI149" s="48"/>
    </row>
    <row r="150" spans="1:35" ht="15.75" customHeight="1" x14ac:dyDescent="0.2">
      <c r="A150" s="48"/>
      <c r="B150" s="48"/>
      <c r="C150" s="48"/>
      <c r="D150" s="48"/>
      <c r="E150" s="48"/>
      <c r="F150" s="48"/>
      <c r="G150" s="48"/>
      <c r="H150" s="48"/>
      <c r="I150" s="48"/>
      <c r="J150" s="48"/>
      <c r="K150" s="48"/>
      <c r="L150" s="48"/>
      <c r="M150" s="48"/>
      <c r="N150" s="48"/>
      <c r="O150" s="48"/>
      <c r="P150" s="48"/>
      <c r="Q150" s="48"/>
      <c r="R150" s="48"/>
      <c r="S150" s="48"/>
      <c r="T150" s="48"/>
      <c r="U150" s="48"/>
      <c r="V150" s="48"/>
      <c r="W150" s="48"/>
      <c r="X150" s="48"/>
      <c r="Y150" s="48"/>
      <c r="Z150" s="48"/>
      <c r="AA150" s="48"/>
      <c r="AB150" s="48"/>
      <c r="AC150" s="48"/>
      <c r="AD150" s="48"/>
      <c r="AE150" s="48"/>
      <c r="AF150" s="48"/>
      <c r="AG150" s="48"/>
      <c r="AH150" s="48"/>
      <c r="AI150" s="48"/>
    </row>
    <row r="151" spans="1:35" ht="15.75" customHeight="1" x14ac:dyDescent="0.2">
      <c r="A151" s="48"/>
      <c r="B151" s="48"/>
      <c r="C151" s="48"/>
      <c r="D151" s="48"/>
      <c r="E151" s="48"/>
      <c r="F151" s="48"/>
      <c r="G151" s="48"/>
      <c r="H151" s="48"/>
      <c r="I151" s="48"/>
      <c r="J151" s="48"/>
      <c r="K151" s="48"/>
      <c r="L151" s="48"/>
      <c r="M151" s="48"/>
      <c r="N151" s="48"/>
      <c r="O151" s="48"/>
      <c r="P151" s="48"/>
      <c r="Q151" s="48"/>
      <c r="R151" s="48"/>
      <c r="S151" s="48"/>
      <c r="T151" s="48"/>
      <c r="U151" s="48"/>
      <c r="V151" s="48"/>
      <c r="W151" s="48"/>
      <c r="X151" s="48"/>
      <c r="Y151" s="48"/>
      <c r="Z151" s="48"/>
      <c r="AA151" s="48"/>
      <c r="AB151" s="48"/>
      <c r="AC151" s="48"/>
      <c r="AD151" s="48"/>
      <c r="AE151" s="48"/>
      <c r="AF151" s="48"/>
      <c r="AG151" s="48"/>
      <c r="AH151" s="48"/>
      <c r="AI151" s="48"/>
    </row>
    <row r="152" spans="1:35" ht="15.75" customHeight="1" x14ac:dyDescent="0.2">
      <c r="A152" s="48"/>
      <c r="B152" s="48"/>
      <c r="C152" s="48"/>
      <c r="D152" s="48"/>
      <c r="E152" s="48"/>
      <c r="F152" s="48"/>
      <c r="G152" s="48"/>
      <c r="H152" s="48"/>
      <c r="I152" s="48"/>
      <c r="J152" s="48"/>
      <c r="K152" s="48"/>
      <c r="L152" s="48"/>
      <c r="M152" s="48"/>
      <c r="N152" s="48"/>
      <c r="O152" s="48"/>
      <c r="P152" s="48"/>
      <c r="Q152" s="48"/>
      <c r="R152" s="48"/>
      <c r="S152" s="48"/>
      <c r="T152" s="48"/>
      <c r="U152" s="48"/>
      <c r="V152" s="48"/>
      <c r="W152" s="48"/>
      <c r="X152" s="48"/>
      <c r="Y152" s="48"/>
      <c r="Z152" s="48"/>
      <c r="AA152" s="48"/>
      <c r="AB152" s="48"/>
      <c r="AC152" s="48"/>
      <c r="AD152" s="48"/>
      <c r="AE152" s="48"/>
      <c r="AF152" s="48"/>
      <c r="AG152" s="48"/>
      <c r="AH152" s="48"/>
      <c r="AI152" s="48"/>
    </row>
    <row r="153" spans="1:35" ht="15.75" customHeight="1" x14ac:dyDescent="0.2">
      <c r="A153" s="48"/>
      <c r="B153" s="48"/>
      <c r="C153" s="48"/>
      <c r="D153" s="48"/>
      <c r="E153" s="48"/>
      <c r="F153" s="48"/>
      <c r="G153" s="48"/>
      <c r="H153" s="48"/>
      <c r="I153" s="48"/>
      <c r="J153" s="48"/>
      <c r="K153" s="48"/>
      <c r="L153" s="48"/>
      <c r="M153" s="48"/>
      <c r="N153" s="48"/>
      <c r="O153" s="48"/>
      <c r="P153" s="48"/>
      <c r="Q153" s="48"/>
      <c r="R153" s="48"/>
      <c r="S153" s="48"/>
      <c r="T153" s="48"/>
      <c r="U153" s="48"/>
      <c r="V153" s="48"/>
      <c r="W153" s="48"/>
      <c r="X153" s="48"/>
      <c r="Y153" s="48"/>
      <c r="Z153" s="48"/>
      <c r="AA153" s="48"/>
      <c r="AB153" s="48"/>
      <c r="AC153" s="48"/>
      <c r="AD153" s="48"/>
      <c r="AE153" s="48"/>
      <c r="AF153" s="48"/>
      <c r="AG153" s="48"/>
      <c r="AH153" s="48"/>
      <c r="AI153" s="48"/>
    </row>
    <row r="154" spans="1:35" ht="15.75" customHeight="1" x14ac:dyDescent="0.2">
      <c r="A154" s="48"/>
      <c r="B154" s="48"/>
      <c r="C154" s="48"/>
      <c r="D154" s="48"/>
      <c r="E154" s="48"/>
      <c r="F154" s="48"/>
      <c r="G154" s="48"/>
      <c r="H154" s="48"/>
      <c r="I154" s="48"/>
      <c r="J154" s="48"/>
      <c r="K154" s="48"/>
      <c r="L154" s="48"/>
      <c r="M154" s="48"/>
      <c r="N154" s="48"/>
      <c r="O154" s="48"/>
      <c r="P154" s="48"/>
      <c r="Q154" s="48"/>
      <c r="R154" s="48"/>
      <c r="S154" s="48"/>
      <c r="T154" s="48"/>
      <c r="U154" s="48"/>
      <c r="V154" s="48"/>
      <c r="W154" s="48"/>
      <c r="X154" s="48"/>
      <c r="Y154" s="48"/>
      <c r="Z154" s="48"/>
      <c r="AA154" s="48"/>
      <c r="AB154" s="48"/>
      <c r="AC154" s="48"/>
      <c r="AD154" s="48"/>
      <c r="AE154" s="48"/>
      <c r="AF154" s="48"/>
      <c r="AG154" s="48"/>
      <c r="AH154" s="48"/>
      <c r="AI154" s="48"/>
    </row>
    <row r="155" spans="1:35" ht="15.75" customHeight="1" x14ac:dyDescent="0.2">
      <c r="A155" s="48"/>
      <c r="B155" s="48"/>
      <c r="C155" s="48"/>
      <c r="D155" s="48"/>
      <c r="E155" s="48"/>
      <c r="F155" s="48"/>
      <c r="G155" s="48"/>
      <c r="H155" s="48"/>
      <c r="I155" s="48"/>
      <c r="J155" s="48"/>
      <c r="K155" s="48"/>
      <c r="L155" s="48"/>
      <c r="M155" s="48"/>
      <c r="N155" s="48"/>
      <c r="O155" s="48"/>
      <c r="P155" s="48"/>
      <c r="Q155" s="48"/>
      <c r="R155" s="48"/>
      <c r="S155" s="48"/>
      <c r="T155" s="48"/>
      <c r="U155" s="48"/>
      <c r="V155" s="48"/>
      <c r="W155" s="48"/>
      <c r="X155" s="48"/>
      <c r="Y155" s="48"/>
      <c r="Z155" s="48"/>
      <c r="AA155" s="48"/>
      <c r="AB155" s="48"/>
      <c r="AC155" s="48"/>
      <c r="AD155" s="48"/>
      <c r="AE155" s="48"/>
      <c r="AF155" s="48"/>
      <c r="AG155" s="48"/>
      <c r="AH155" s="48"/>
      <c r="AI155" s="48"/>
    </row>
    <row r="156" spans="1:35" ht="15.75" customHeight="1" x14ac:dyDescent="0.2">
      <c r="A156" s="48"/>
      <c r="B156" s="48"/>
      <c r="C156" s="48"/>
      <c r="D156" s="48"/>
      <c r="E156" s="48"/>
      <c r="F156" s="48"/>
      <c r="G156" s="48"/>
      <c r="H156" s="48"/>
      <c r="I156" s="48"/>
      <c r="J156" s="48"/>
      <c r="K156" s="48"/>
      <c r="L156" s="48"/>
      <c r="M156" s="48"/>
      <c r="N156" s="48"/>
      <c r="O156" s="48"/>
      <c r="P156" s="48"/>
      <c r="Q156" s="48"/>
      <c r="R156" s="48"/>
      <c r="S156" s="48"/>
      <c r="T156" s="48"/>
      <c r="U156" s="48"/>
      <c r="V156" s="48"/>
      <c r="W156" s="48"/>
      <c r="X156" s="48"/>
      <c r="Y156" s="48"/>
      <c r="Z156" s="48"/>
      <c r="AA156" s="48"/>
      <c r="AB156" s="48"/>
      <c r="AC156" s="48"/>
      <c r="AD156" s="48"/>
      <c r="AE156" s="48"/>
      <c r="AF156" s="48"/>
      <c r="AG156" s="48"/>
      <c r="AH156" s="48"/>
      <c r="AI156" s="48"/>
    </row>
    <row r="157" spans="1:35" ht="15.75" customHeight="1" x14ac:dyDescent="0.2">
      <c r="A157" s="48"/>
      <c r="B157" s="48"/>
      <c r="C157" s="48"/>
      <c r="D157" s="48"/>
      <c r="E157" s="48"/>
      <c r="F157" s="48"/>
      <c r="G157" s="48"/>
      <c r="H157" s="48"/>
      <c r="I157" s="48"/>
      <c r="J157" s="48"/>
      <c r="K157" s="48"/>
      <c r="L157" s="48"/>
      <c r="M157" s="48"/>
      <c r="N157" s="48"/>
      <c r="O157" s="48"/>
      <c r="P157" s="48"/>
      <c r="Q157" s="48"/>
      <c r="R157" s="48"/>
      <c r="S157" s="48"/>
      <c r="T157" s="48"/>
      <c r="U157" s="48"/>
      <c r="V157" s="48"/>
      <c r="W157" s="48"/>
      <c r="X157" s="48"/>
      <c r="Y157" s="48"/>
      <c r="Z157" s="48"/>
      <c r="AA157" s="48"/>
      <c r="AB157" s="48"/>
      <c r="AC157" s="48"/>
      <c r="AD157" s="48"/>
      <c r="AE157" s="48"/>
      <c r="AF157" s="48"/>
      <c r="AG157" s="48"/>
      <c r="AH157" s="48"/>
      <c r="AI157" s="48"/>
    </row>
    <row r="158" spans="1:35" ht="15.75" customHeight="1" x14ac:dyDescent="0.2">
      <c r="A158" s="48"/>
      <c r="B158" s="48"/>
      <c r="C158" s="48"/>
      <c r="D158" s="48"/>
      <c r="E158" s="48"/>
      <c r="F158" s="48"/>
      <c r="G158" s="48"/>
      <c r="H158" s="48"/>
      <c r="I158" s="48"/>
      <c r="J158" s="48"/>
      <c r="K158" s="48"/>
      <c r="L158" s="48"/>
      <c r="M158" s="48"/>
      <c r="N158" s="48"/>
      <c r="O158" s="48"/>
      <c r="P158" s="48"/>
      <c r="Q158" s="48"/>
      <c r="R158" s="48"/>
      <c r="S158" s="48"/>
      <c r="T158" s="48"/>
      <c r="U158" s="48"/>
      <c r="V158" s="48"/>
      <c r="W158" s="48"/>
      <c r="X158" s="48"/>
      <c r="Y158" s="48"/>
      <c r="Z158" s="48"/>
      <c r="AA158" s="48"/>
      <c r="AB158" s="48"/>
      <c r="AC158" s="48"/>
      <c r="AD158" s="48"/>
      <c r="AE158" s="48"/>
      <c r="AF158" s="48"/>
      <c r="AG158" s="48"/>
      <c r="AH158" s="48"/>
      <c r="AI158" s="48"/>
    </row>
    <row r="159" spans="1:35" ht="15.75" customHeight="1" x14ac:dyDescent="0.2">
      <c r="A159" s="48"/>
      <c r="B159" s="48"/>
      <c r="C159" s="48"/>
      <c r="D159" s="48"/>
      <c r="E159" s="48"/>
      <c r="F159" s="48"/>
      <c r="G159" s="48"/>
      <c r="H159" s="48"/>
      <c r="I159" s="48"/>
      <c r="J159" s="48"/>
      <c r="K159" s="48"/>
      <c r="L159" s="48"/>
      <c r="M159" s="48"/>
      <c r="N159" s="48"/>
      <c r="O159" s="48"/>
      <c r="P159" s="48"/>
      <c r="Q159" s="48"/>
      <c r="R159" s="48"/>
      <c r="S159" s="48"/>
      <c r="T159" s="48"/>
      <c r="U159" s="48"/>
      <c r="V159" s="48"/>
      <c r="W159" s="48"/>
      <c r="X159" s="48"/>
      <c r="Y159" s="48"/>
      <c r="Z159" s="48"/>
      <c r="AA159" s="48"/>
      <c r="AB159" s="48"/>
      <c r="AC159" s="48"/>
      <c r="AD159" s="48"/>
      <c r="AE159" s="48"/>
      <c r="AF159" s="48"/>
      <c r="AG159" s="48"/>
      <c r="AH159" s="48"/>
      <c r="AI159" s="48"/>
    </row>
    <row r="160" spans="1:35" ht="15.75" customHeight="1" x14ac:dyDescent="0.2">
      <c r="A160" s="48"/>
      <c r="B160" s="48"/>
      <c r="C160" s="48"/>
      <c r="D160" s="48"/>
      <c r="E160" s="48"/>
      <c r="F160" s="48"/>
      <c r="G160" s="48"/>
      <c r="H160" s="48"/>
      <c r="I160" s="48"/>
      <c r="J160" s="48"/>
      <c r="K160" s="48"/>
      <c r="L160" s="48"/>
      <c r="M160" s="48"/>
      <c r="N160" s="48"/>
      <c r="O160" s="48"/>
      <c r="P160" s="48"/>
      <c r="Q160" s="48"/>
      <c r="R160" s="48"/>
      <c r="S160" s="48"/>
      <c r="T160" s="48"/>
      <c r="U160" s="48"/>
      <c r="V160" s="48"/>
      <c r="W160" s="48"/>
      <c r="X160" s="48"/>
      <c r="Y160" s="48"/>
      <c r="Z160" s="48"/>
      <c r="AA160" s="48"/>
      <c r="AB160" s="48"/>
      <c r="AC160" s="48"/>
      <c r="AD160" s="48"/>
      <c r="AE160" s="48"/>
      <c r="AF160" s="48"/>
      <c r="AG160" s="48"/>
      <c r="AH160" s="48"/>
      <c r="AI160" s="48"/>
    </row>
    <row r="161" spans="1:35" ht="15.75" customHeight="1" x14ac:dyDescent="0.2">
      <c r="A161" s="48"/>
      <c r="B161" s="48"/>
      <c r="C161" s="48"/>
      <c r="D161" s="48"/>
      <c r="E161" s="48"/>
      <c r="F161" s="48"/>
      <c r="G161" s="48"/>
      <c r="H161" s="48"/>
      <c r="I161" s="48"/>
      <c r="J161" s="48"/>
      <c r="K161" s="48"/>
      <c r="L161" s="48"/>
      <c r="M161" s="48"/>
      <c r="N161" s="48"/>
      <c r="O161" s="48"/>
      <c r="P161" s="48"/>
      <c r="Q161" s="48"/>
      <c r="R161" s="48"/>
      <c r="S161" s="48"/>
      <c r="T161" s="48"/>
      <c r="U161" s="48"/>
      <c r="V161" s="48"/>
      <c r="W161" s="48"/>
      <c r="X161" s="48"/>
      <c r="Y161" s="48"/>
      <c r="Z161" s="48"/>
      <c r="AA161" s="48"/>
      <c r="AB161" s="48"/>
      <c r="AC161" s="48"/>
      <c r="AD161" s="48"/>
      <c r="AE161" s="48"/>
      <c r="AF161" s="48"/>
      <c r="AG161" s="48"/>
      <c r="AH161" s="48"/>
      <c r="AI161" s="48"/>
    </row>
    <row r="162" spans="1:35" ht="15.75" customHeight="1" x14ac:dyDescent="0.2">
      <c r="A162" s="48"/>
      <c r="B162" s="48"/>
      <c r="C162" s="48"/>
      <c r="D162" s="48"/>
      <c r="E162" s="48"/>
      <c r="F162" s="48"/>
      <c r="G162" s="48"/>
      <c r="H162" s="48"/>
      <c r="I162" s="48"/>
      <c r="J162" s="48"/>
      <c r="K162" s="48"/>
      <c r="L162" s="48"/>
      <c r="M162" s="48"/>
      <c r="N162" s="48"/>
      <c r="O162" s="48"/>
      <c r="P162" s="48"/>
      <c r="Q162" s="48"/>
      <c r="R162" s="48"/>
      <c r="S162" s="48"/>
      <c r="T162" s="48"/>
      <c r="U162" s="48"/>
      <c r="V162" s="48"/>
      <c r="W162" s="48"/>
      <c r="X162" s="48"/>
      <c r="Y162" s="48"/>
      <c r="Z162" s="48"/>
      <c r="AA162" s="48"/>
      <c r="AB162" s="48"/>
      <c r="AC162" s="48"/>
      <c r="AD162" s="48"/>
      <c r="AE162" s="48"/>
      <c r="AF162" s="48"/>
      <c r="AG162" s="48"/>
      <c r="AH162" s="48"/>
      <c r="AI162" s="48"/>
    </row>
    <row r="163" spans="1:35" ht="15.75" customHeight="1" x14ac:dyDescent="0.2">
      <c r="A163" s="48"/>
      <c r="B163" s="48"/>
      <c r="C163" s="48"/>
      <c r="D163" s="48"/>
      <c r="E163" s="48"/>
      <c r="F163" s="48"/>
      <c r="G163" s="48"/>
      <c r="H163" s="48"/>
      <c r="I163" s="48"/>
      <c r="J163" s="48"/>
      <c r="K163" s="48"/>
      <c r="L163" s="48"/>
      <c r="M163" s="48"/>
      <c r="N163" s="48"/>
      <c r="O163" s="48"/>
      <c r="P163" s="48"/>
      <c r="Q163" s="48"/>
      <c r="R163" s="48"/>
      <c r="S163" s="48"/>
      <c r="T163" s="48"/>
      <c r="U163" s="48"/>
      <c r="V163" s="48"/>
      <c r="W163" s="48"/>
      <c r="X163" s="48"/>
      <c r="Y163" s="48"/>
      <c r="Z163" s="48"/>
      <c r="AA163" s="48"/>
      <c r="AB163" s="48"/>
      <c r="AC163" s="48"/>
      <c r="AD163" s="48"/>
      <c r="AE163" s="48"/>
      <c r="AF163" s="48"/>
      <c r="AG163" s="48"/>
      <c r="AH163" s="48"/>
      <c r="AI163" s="48"/>
    </row>
    <row r="164" spans="1:35" ht="15.75" customHeight="1" x14ac:dyDescent="0.2">
      <c r="A164" s="48"/>
      <c r="B164" s="48"/>
      <c r="C164" s="48"/>
      <c r="D164" s="48"/>
      <c r="E164" s="48"/>
      <c r="F164" s="48"/>
      <c r="G164" s="48"/>
      <c r="H164" s="48"/>
      <c r="I164" s="48"/>
      <c r="J164" s="48"/>
      <c r="K164" s="48"/>
      <c r="L164" s="48"/>
      <c r="M164" s="48"/>
      <c r="N164" s="48"/>
      <c r="O164" s="48"/>
      <c r="P164" s="48"/>
      <c r="Q164" s="48"/>
      <c r="R164" s="48"/>
      <c r="S164" s="48"/>
      <c r="T164" s="48"/>
      <c r="U164" s="48"/>
      <c r="V164" s="48"/>
      <c r="W164" s="48"/>
      <c r="X164" s="48"/>
      <c r="Y164" s="48"/>
      <c r="Z164" s="48"/>
      <c r="AA164" s="48"/>
      <c r="AB164" s="48"/>
      <c r="AC164" s="48"/>
      <c r="AD164" s="48"/>
      <c r="AE164" s="48"/>
      <c r="AF164" s="48"/>
      <c r="AG164" s="48"/>
      <c r="AH164" s="48"/>
      <c r="AI164" s="48"/>
    </row>
    <row r="165" spans="1:35" ht="15.75" customHeight="1" x14ac:dyDescent="0.2">
      <c r="A165" s="48"/>
      <c r="B165" s="48"/>
      <c r="C165" s="48"/>
      <c r="D165" s="48"/>
      <c r="E165" s="48"/>
      <c r="F165" s="48"/>
      <c r="G165" s="48"/>
      <c r="H165" s="48"/>
      <c r="I165" s="48"/>
      <c r="J165" s="48"/>
      <c r="K165" s="48"/>
      <c r="L165" s="48"/>
      <c r="M165" s="48"/>
      <c r="N165" s="48"/>
      <c r="O165" s="48"/>
      <c r="P165" s="48"/>
      <c r="Q165" s="48"/>
      <c r="R165" s="48"/>
      <c r="S165" s="48"/>
      <c r="T165" s="48"/>
      <c r="U165" s="48"/>
      <c r="V165" s="48"/>
      <c r="W165" s="48"/>
      <c r="X165" s="48"/>
      <c r="Y165" s="48"/>
      <c r="Z165" s="48"/>
      <c r="AA165" s="48"/>
      <c r="AB165" s="48"/>
      <c r="AC165" s="48"/>
      <c r="AD165" s="48"/>
      <c r="AE165" s="48"/>
      <c r="AF165" s="48"/>
      <c r="AG165" s="48"/>
      <c r="AH165" s="48"/>
      <c r="AI165" s="48"/>
    </row>
    <row r="166" spans="1:35" ht="15.75" customHeight="1" x14ac:dyDescent="0.2">
      <c r="A166" s="48"/>
      <c r="B166" s="48"/>
      <c r="C166" s="48"/>
      <c r="D166" s="48"/>
      <c r="E166" s="48"/>
      <c r="F166" s="48"/>
      <c r="G166" s="48"/>
      <c r="H166" s="48"/>
      <c r="I166" s="48"/>
      <c r="J166" s="48"/>
      <c r="K166" s="48"/>
      <c r="L166" s="48"/>
      <c r="M166" s="48"/>
      <c r="N166" s="48"/>
      <c r="O166" s="48"/>
      <c r="P166" s="48"/>
      <c r="Q166" s="48"/>
      <c r="R166" s="48"/>
      <c r="S166" s="48"/>
      <c r="T166" s="48"/>
      <c r="U166" s="48"/>
      <c r="V166" s="48"/>
      <c r="W166" s="48"/>
      <c r="X166" s="48"/>
      <c r="Y166" s="48"/>
      <c r="Z166" s="48"/>
      <c r="AA166" s="48"/>
      <c r="AB166" s="48"/>
      <c r="AC166" s="48"/>
      <c r="AD166" s="48"/>
      <c r="AE166" s="48"/>
      <c r="AF166" s="48"/>
      <c r="AG166" s="48"/>
      <c r="AH166" s="48"/>
      <c r="AI166" s="48"/>
    </row>
    <row r="167" spans="1:35" ht="15.75" customHeight="1" x14ac:dyDescent="0.2">
      <c r="A167" s="48"/>
      <c r="B167" s="48"/>
      <c r="C167" s="48"/>
      <c r="D167" s="48"/>
      <c r="E167" s="48"/>
      <c r="F167" s="48"/>
      <c r="G167" s="48"/>
      <c r="H167" s="48"/>
      <c r="I167" s="48"/>
      <c r="J167" s="48"/>
      <c r="K167" s="48"/>
      <c r="L167" s="48"/>
      <c r="M167" s="48"/>
      <c r="N167" s="48"/>
      <c r="O167" s="48"/>
      <c r="P167" s="48"/>
      <c r="Q167" s="48"/>
      <c r="R167" s="48"/>
      <c r="S167" s="48"/>
      <c r="T167" s="48"/>
      <c r="U167" s="48"/>
      <c r="V167" s="48"/>
      <c r="W167" s="48"/>
      <c r="X167" s="48"/>
      <c r="Y167" s="48"/>
      <c r="Z167" s="48"/>
      <c r="AA167" s="48"/>
      <c r="AB167" s="48"/>
      <c r="AC167" s="48"/>
      <c r="AD167" s="48"/>
      <c r="AE167" s="48"/>
      <c r="AF167" s="48"/>
      <c r="AG167" s="48"/>
      <c r="AH167" s="48"/>
      <c r="AI167" s="48"/>
    </row>
    <row r="168" spans="1:35" ht="15.75" customHeight="1" x14ac:dyDescent="0.2">
      <c r="A168" s="48"/>
      <c r="B168" s="48"/>
      <c r="C168" s="48"/>
      <c r="D168" s="48"/>
      <c r="E168" s="48"/>
      <c r="F168" s="48"/>
      <c r="G168" s="48"/>
      <c r="H168" s="48"/>
      <c r="I168" s="48"/>
      <c r="J168" s="48"/>
      <c r="K168" s="48"/>
      <c r="L168" s="48"/>
      <c r="M168" s="48"/>
      <c r="N168" s="48"/>
      <c r="O168" s="48"/>
      <c r="P168" s="48"/>
      <c r="Q168" s="48"/>
      <c r="R168" s="48"/>
      <c r="S168" s="48"/>
      <c r="T168" s="48"/>
      <c r="U168" s="48"/>
      <c r="V168" s="48"/>
      <c r="W168" s="48"/>
      <c r="X168" s="48"/>
      <c r="Y168" s="48"/>
      <c r="Z168" s="48"/>
      <c r="AA168" s="48"/>
      <c r="AB168" s="48"/>
      <c r="AC168" s="48"/>
      <c r="AD168" s="48"/>
      <c r="AE168" s="48"/>
      <c r="AF168" s="48"/>
      <c r="AG168" s="48"/>
      <c r="AH168" s="48"/>
      <c r="AI168" s="48"/>
    </row>
    <row r="169" spans="1:35" ht="15.75" customHeight="1" x14ac:dyDescent="0.2">
      <c r="A169" s="48"/>
      <c r="B169" s="48"/>
      <c r="C169" s="48"/>
      <c r="D169" s="48"/>
      <c r="E169" s="48"/>
      <c r="F169" s="48"/>
      <c r="G169" s="48"/>
      <c r="H169" s="48"/>
      <c r="I169" s="48"/>
      <c r="J169" s="48"/>
      <c r="K169" s="48"/>
      <c r="L169" s="48"/>
      <c r="M169" s="48"/>
      <c r="N169" s="48"/>
      <c r="O169" s="48"/>
      <c r="P169" s="48"/>
      <c r="Q169" s="48"/>
      <c r="R169" s="48"/>
      <c r="S169" s="48"/>
      <c r="T169" s="48"/>
      <c r="U169" s="48"/>
      <c r="V169" s="48"/>
      <c r="W169" s="48"/>
      <c r="X169" s="48"/>
      <c r="Y169" s="48"/>
      <c r="Z169" s="48"/>
      <c r="AA169" s="48"/>
      <c r="AB169" s="48"/>
      <c r="AC169" s="48"/>
      <c r="AD169" s="48"/>
      <c r="AE169" s="48"/>
      <c r="AF169" s="48"/>
      <c r="AG169" s="48"/>
      <c r="AH169" s="48"/>
      <c r="AI169" s="48"/>
    </row>
    <row r="170" spans="1:35" ht="15.75" customHeight="1" x14ac:dyDescent="0.2">
      <c r="A170" s="48"/>
      <c r="B170" s="48"/>
      <c r="C170" s="48"/>
      <c r="D170" s="48"/>
      <c r="E170" s="48"/>
      <c r="F170" s="48"/>
      <c r="G170" s="48"/>
      <c r="H170" s="48"/>
      <c r="I170" s="48"/>
      <c r="J170" s="48"/>
      <c r="K170" s="48"/>
      <c r="L170" s="48"/>
      <c r="M170" s="48"/>
      <c r="N170" s="48"/>
      <c r="O170" s="48"/>
      <c r="P170" s="48"/>
      <c r="Q170" s="48"/>
      <c r="R170" s="48"/>
      <c r="S170" s="48"/>
      <c r="T170" s="48"/>
      <c r="U170" s="48"/>
      <c r="V170" s="48"/>
      <c r="W170" s="48"/>
      <c r="X170" s="48"/>
      <c r="Y170" s="48"/>
      <c r="Z170" s="48"/>
      <c r="AA170" s="48"/>
      <c r="AB170" s="48"/>
      <c r="AC170" s="48"/>
      <c r="AD170" s="48"/>
      <c r="AE170" s="48"/>
      <c r="AF170" s="48"/>
      <c r="AG170" s="48"/>
      <c r="AH170" s="48"/>
      <c r="AI170" s="48"/>
    </row>
    <row r="171" spans="1:35" ht="15.75" customHeight="1" x14ac:dyDescent="0.2">
      <c r="A171" s="48"/>
      <c r="B171" s="48"/>
      <c r="C171" s="48"/>
      <c r="D171" s="48"/>
      <c r="E171" s="48"/>
      <c r="F171" s="48"/>
      <c r="G171" s="48"/>
      <c r="H171" s="48"/>
      <c r="I171" s="48"/>
      <c r="J171" s="48"/>
      <c r="K171" s="48"/>
      <c r="L171" s="48"/>
      <c r="M171" s="48"/>
      <c r="N171" s="48"/>
      <c r="O171" s="48"/>
      <c r="P171" s="48"/>
      <c r="Q171" s="48"/>
      <c r="R171" s="48"/>
      <c r="S171" s="48"/>
      <c r="T171" s="48"/>
      <c r="U171" s="48"/>
      <c r="V171" s="48"/>
      <c r="W171" s="48"/>
      <c r="X171" s="48"/>
      <c r="Y171" s="48"/>
      <c r="Z171" s="48"/>
      <c r="AA171" s="48"/>
      <c r="AB171" s="48"/>
      <c r="AC171" s="48"/>
      <c r="AD171" s="48"/>
      <c r="AE171" s="48"/>
      <c r="AF171" s="48"/>
      <c r="AG171" s="48"/>
      <c r="AH171" s="48"/>
      <c r="AI171" s="48"/>
    </row>
    <row r="172" spans="1:35" ht="15.75" customHeight="1" x14ac:dyDescent="0.2">
      <c r="A172" s="48"/>
      <c r="B172" s="48"/>
      <c r="C172" s="48"/>
      <c r="D172" s="48"/>
      <c r="E172" s="48"/>
      <c r="F172" s="48"/>
      <c r="G172" s="48"/>
      <c r="H172" s="48"/>
      <c r="I172" s="48"/>
      <c r="J172" s="48"/>
      <c r="K172" s="48"/>
      <c r="L172" s="48"/>
      <c r="M172" s="48"/>
      <c r="N172" s="48"/>
      <c r="O172" s="48"/>
      <c r="P172" s="48"/>
      <c r="Q172" s="48"/>
      <c r="R172" s="48"/>
      <c r="S172" s="48"/>
      <c r="T172" s="48"/>
      <c r="U172" s="48"/>
      <c r="V172" s="48"/>
      <c r="W172" s="48"/>
      <c r="X172" s="48"/>
      <c r="Y172" s="48"/>
      <c r="Z172" s="48"/>
      <c r="AA172" s="48"/>
      <c r="AB172" s="48"/>
      <c r="AC172" s="48"/>
      <c r="AD172" s="48"/>
      <c r="AE172" s="48"/>
      <c r="AF172" s="48"/>
      <c r="AG172" s="48"/>
      <c r="AH172" s="48"/>
      <c r="AI172" s="48"/>
    </row>
    <row r="173" spans="1:35" ht="15.75" customHeight="1" x14ac:dyDescent="0.2">
      <c r="A173" s="48"/>
      <c r="B173" s="48"/>
      <c r="C173" s="48"/>
      <c r="D173" s="48"/>
      <c r="E173" s="48"/>
      <c r="F173" s="48"/>
      <c r="G173" s="48"/>
      <c r="H173" s="48"/>
      <c r="I173" s="48"/>
      <c r="J173" s="48"/>
      <c r="K173" s="48"/>
      <c r="L173" s="48"/>
      <c r="M173" s="48"/>
      <c r="N173" s="48"/>
      <c r="O173" s="48"/>
      <c r="P173" s="48"/>
      <c r="Q173" s="48"/>
      <c r="R173" s="48"/>
      <c r="S173" s="48"/>
      <c r="T173" s="48"/>
      <c r="U173" s="48"/>
      <c r="V173" s="48"/>
      <c r="W173" s="48"/>
      <c r="X173" s="48"/>
      <c r="Y173" s="48"/>
      <c r="Z173" s="48"/>
      <c r="AA173" s="48"/>
      <c r="AB173" s="48"/>
      <c r="AC173" s="48"/>
      <c r="AD173" s="48"/>
      <c r="AE173" s="48"/>
      <c r="AF173" s="48"/>
      <c r="AG173" s="48"/>
      <c r="AH173" s="48"/>
      <c r="AI173" s="48"/>
    </row>
    <row r="174" spans="1:35" ht="15.75" customHeight="1" x14ac:dyDescent="0.2">
      <c r="A174" s="48"/>
      <c r="B174" s="48"/>
      <c r="C174" s="48"/>
      <c r="D174" s="48"/>
      <c r="E174" s="48"/>
      <c r="F174" s="48"/>
      <c r="G174" s="48"/>
      <c r="H174" s="48"/>
      <c r="I174" s="48"/>
      <c r="J174" s="48"/>
      <c r="K174" s="48"/>
      <c r="L174" s="48"/>
      <c r="M174" s="48"/>
      <c r="N174" s="48"/>
      <c r="O174" s="48"/>
      <c r="P174" s="48"/>
      <c r="Q174" s="48"/>
      <c r="R174" s="48"/>
      <c r="S174" s="48"/>
      <c r="T174" s="48"/>
      <c r="U174" s="48"/>
      <c r="V174" s="48"/>
      <c r="W174" s="48"/>
      <c r="X174" s="48"/>
      <c r="Y174" s="48"/>
      <c r="Z174" s="48"/>
      <c r="AA174" s="48"/>
      <c r="AB174" s="48"/>
      <c r="AC174" s="48"/>
      <c r="AD174" s="48"/>
      <c r="AE174" s="48"/>
      <c r="AF174" s="48"/>
      <c r="AG174" s="48"/>
      <c r="AH174" s="48"/>
      <c r="AI174" s="48"/>
    </row>
    <row r="175" spans="1:35" ht="15.75" customHeight="1" x14ac:dyDescent="0.2">
      <c r="A175" s="48"/>
      <c r="B175" s="48"/>
      <c r="C175" s="48"/>
      <c r="D175" s="48"/>
      <c r="E175" s="48"/>
      <c r="F175" s="48"/>
      <c r="G175" s="48"/>
      <c r="H175" s="48"/>
      <c r="I175" s="48"/>
      <c r="J175" s="48"/>
      <c r="K175" s="48"/>
      <c r="L175" s="48"/>
      <c r="M175" s="48"/>
      <c r="N175" s="48"/>
      <c r="O175" s="48"/>
      <c r="P175" s="48"/>
      <c r="Q175" s="48"/>
      <c r="R175" s="48"/>
      <c r="S175" s="48"/>
      <c r="T175" s="48"/>
      <c r="U175" s="48"/>
      <c r="V175" s="48"/>
      <c r="W175" s="48"/>
      <c r="X175" s="48"/>
      <c r="Y175" s="48"/>
      <c r="Z175" s="48"/>
      <c r="AA175" s="48"/>
      <c r="AB175" s="48"/>
      <c r="AC175" s="48"/>
      <c r="AD175" s="48"/>
      <c r="AE175" s="48"/>
      <c r="AF175" s="48"/>
      <c r="AG175" s="48"/>
      <c r="AH175" s="48"/>
      <c r="AI175" s="48"/>
    </row>
    <row r="176" spans="1:35" ht="15.75" customHeight="1" x14ac:dyDescent="0.2">
      <c r="A176" s="48"/>
      <c r="B176" s="48"/>
      <c r="C176" s="48"/>
      <c r="D176" s="48"/>
      <c r="E176" s="48"/>
      <c r="F176" s="48"/>
      <c r="G176" s="48"/>
      <c r="H176" s="48"/>
      <c r="I176" s="48"/>
      <c r="J176" s="48"/>
      <c r="K176" s="48"/>
      <c r="L176" s="48"/>
      <c r="M176" s="48"/>
      <c r="N176" s="48"/>
      <c r="O176" s="48"/>
      <c r="P176" s="48"/>
      <c r="Q176" s="48"/>
      <c r="R176" s="48"/>
      <c r="S176" s="48"/>
      <c r="T176" s="48"/>
      <c r="U176" s="48"/>
      <c r="V176" s="48"/>
      <c r="W176" s="48"/>
      <c r="X176" s="48"/>
      <c r="Y176" s="48"/>
      <c r="Z176" s="48"/>
      <c r="AA176" s="48"/>
      <c r="AB176" s="48"/>
      <c r="AC176" s="48"/>
      <c r="AD176" s="48"/>
      <c r="AE176" s="48"/>
      <c r="AF176" s="48"/>
      <c r="AG176" s="48"/>
      <c r="AH176" s="48"/>
      <c r="AI176" s="48"/>
    </row>
    <row r="177" spans="1:35" ht="15.75" customHeight="1" x14ac:dyDescent="0.2">
      <c r="A177" s="48"/>
      <c r="B177" s="48"/>
      <c r="C177" s="48"/>
      <c r="D177" s="48"/>
      <c r="E177" s="48"/>
      <c r="F177" s="48"/>
      <c r="G177" s="48"/>
      <c r="H177" s="48"/>
      <c r="I177" s="48"/>
      <c r="J177" s="48"/>
      <c r="K177" s="48"/>
      <c r="L177" s="48"/>
      <c r="M177" s="48"/>
      <c r="N177" s="48"/>
      <c r="O177" s="48"/>
      <c r="P177" s="48"/>
      <c r="Q177" s="48"/>
      <c r="R177" s="48"/>
      <c r="S177" s="48"/>
      <c r="T177" s="48"/>
      <c r="U177" s="48"/>
      <c r="V177" s="48"/>
      <c r="W177" s="48"/>
      <c r="X177" s="48"/>
      <c r="Y177" s="48"/>
      <c r="Z177" s="48"/>
      <c r="AA177" s="48"/>
      <c r="AB177" s="48"/>
      <c r="AC177" s="48"/>
      <c r="AD177" s="48"/>
      <c r="AE177" s="48"/>
      <c r="AF177" s="48"/>
      <c r="AG177" s="48"/>
      <c r="AH177" s="48"/>
      <c r="AI177" s="48"/>
    </row>
    <row r="178" spans="1:35" ht="15.75" customHeight="1" x14ac:dyDescent="0.2">
      <c r="A178" s="48"/>
      <c r="B178" s="48"/>
      <c r="C178" s="48"/>
      <c r="D178" s="48"/>
      <c r="E178" s="48"/>
      <c r="F178" s="48"/>
      <c r="G178" s="48"/>
      <c r="H178" s="48"/>
      <c r="I178" s="48"/>
      <c r="J178" s="48"/>
      <c r="K178" s="48"/>
      <c r="L178" s="48"/>
      <c r="M178" s="48"/>
      <c r="N178" s="48"/>
      <c r="O178" s="48"/>
      <c r="P178" s="48"/>
      <c r="Q178" s="48"/>
      <c r="R178" s="48"/>
      <c r="S178" s="48"/>
      <c r="T178" s="48"/>
      <c r="U178" s="48"/>
      <c r="V178" s="48"/>
      <c r="W178" s="48"/>
      <c r="X178" s="48"/>
      <c r="Y178" s="48"/>
      <c r="Z178" s="48"/>
      <c r="AA178" s="48"/>
      <c r="AB178" s="48"/>
      <c r="AC178" s="48"/>
      <c r="AD178" s="48"/>
      <c r="AE178" s="48"/>
      <c r="AF178" s="48"/>
      <c r="AG178" s="48"/>
      <c r="AH178" s="48"/>
      <c r="AI178" s="48"/>
    </row>
    <row r="179" spans="1:35" ht="15.75" customHeight="1" x14ac:dyDescent="0.2">
      <c r="A179" s="48"/>
      <c r="B179" s="48"/>
      <c r="C179" s="48"/>
      <c r="D179" s="48"/>
      <c r="E179" s="48"/>
      <c r="F179" s="48"/>
      <c r="G179" s="48"/>
      <c r="H179" s="48"/>
      <c r="I179" s="48"/>
      <c r="J179" s="48"/>
      <c r="K179" s="48"/>
      <c r="L179" s="48"/>
      <c r="M179" s="48"/>
      <c r="N179" s="48"/>
      <c r="O179" s="48"/>
      <c r="P179" s="48"/>
      <c r="Q179" s="48"/>
      <c r="R179" s="48"/>
      <c r="S179" s="48"/>
      <c r="T179" s="48"/>
      <c r="U179" s="48"/>
      <c r="V179" s="48"/>
      <c r="W179" s="48"/>
      <c r="X179" s="48"/>
      <c r="Y179" s="48"/>
      <c r="Z179" s="48"/>
      <c r="AA179" s="48"/>
      <c r="AB179" s="48"/>
      <c r="AC179" s="48"/>
      <c r="AD179" s="48"/>
      <c r="AE179" s="48"/>
      <c r="AF179" s="48"/>
      <c r="AG179" s="48"/>
      <c r="AH179" s="48"/>
      <c r="AI179" s="48"/>
    </row>
    <row r="180" spans="1:35" ht="15.75" customHeight="1" x14ac:dyDescent="0.2">
      <c r="A180" s="48"/>
      <c r="B180" s="48"/>
      <c r="C180" s="48"/>
      <c r="D180" s="48"/>
      <c r="E180" s="48"/>
      <c r="F180" s="48"/>
      <c r="G180" s="48"/>
      <c r="H180" s="48"/>
      <c r="I180" s="48"/>
      <c r="J180" s="48"/>
      <c r="K180" s="48"/>
      <c r="L180" s="48"/>
      <c r="M180" s="48"/>
      <c r="N180" s="48"/>
      <c r="O180" s="48"/>
      <c r="P180" s="48"/>
      <c r="Q180" s="48"/>
      <c r="R180" s="48"/>
      <c r="S180" s="48"/>
      <c r="T180" s="48"/>
      <c r="U180" s="48"/>
      <c r="V180" s="48"/>
      <c r="W180" s="48"/>
      <c r="X180" s="48"/>
      <c r="Y180" s="48"/>
      <c r="Z180" s="48"/>
      <c r="AA180" s="48"/>
      <c r="AB180" s="48"/>
      <c r="AC180" s="48"/>
      <c r="AD180" s="48"/>
      <c r="AE180" s="48"/>
      <c r="AF180" s="48"/>
      <c r="AG180" s="48"/>
      <c r="AH180" s="48"/>
      <c r="AI180" s="48"/>
    </row>
    <row r="181" spans="1:35" ht="15.75" customHeight="1" x14ac:dyDescent="0.2">
      <c r="A181" s="48"/>
      <c r="B181" s="48"/>
      <c r="C181" s="48"/>
      <c r="D181" s="48"/>
      <c r="E181" s="48"/>
      <c r="F181" s="48"/>
      <c r="G181" s="48"/>
      <c r="H181" s="48"/>
      <c r="I181" s="48"/>
      <c r="J181" s="48"/>
      <c r="K181" s="48"/>
      <c r="L181" s="48"/>
      <c r="M181" s="48"/>
      <c r="N181" s="48"/>
      <c r="O181" s="48"/>
      <c r="P181" s="48"/>
      <c r="Q181" s="48"/>
      <c r="R181" s="48"/>
      <c r="S181" s="48"/>
      <c r="T181" s="48"/>
      <c r="U181" s="48"/>
      <c r="V181" s="48"/>
      <c r="W181" s="48"/>
      <c r="X181" s="48"/>
      <c r="Y181" s="48"/>
      <c r="Z181" s="48"/>
      <c r="AA181" s="48"/>
      <c r="AB181" s="48"/>
      <c r="AC181" s="48"/>
      <c r="AD181" s="48"/>
      <c r="AE181" s="48"/>
      <c r="AF181" s="48"/>
      <c r="AG181" s="48"/>
      <c r="AH181" s="48"/>
      <c r="AI181" s="48"/>
    </row>
    <row r="182" spans="1:35" ht="15.75" customHeight="1" x14ac:dyDescent="0.2">
      <c r="A182" s="48"/>
      <c r="B182" s="48"/>
      <c r="C182" s="48"/>
      <c r="D182" s="48"/>
      <c r="E182" s="48"/>
      <c r="F182" s="48"/>
      <c r="G182" s="48"/>
      <c r="H182" s="48"/>
      <c r="I182" s="48"/>
      <c r="J182" s="48"/>
      <c r="K182" s="48"/>
      <c r="L182" s="48"/>
      <c r="M182" s="48"/>
      <c r="N182" s="48"/>
      <c r="O182" s="48"/>
      <c r="P182" s="48"/>
      <c r="Q182" s="48"/>
      <c r="R182" s="48"/>
      <c r="S182" s="48"/>
      <c r="T182" s="48"/>
      <c r="U182" s="48"/>
      <c r="V182" s="48"/>
      <c r="W182" s="48"/>
      <c r="X182" s="48"/>
      <c r="Y182" s="48"/>
      <c r="Z182" s="48"/>
      <c r="AA182" s="48"/>
      <c r="AB182" s="48"/>
      <c r="AC182" s="48"/>
      <c r="AD182" s="48"/>
      <c r="AE182" s="48"/>
      <c r="AF182" s="48"/>
      <c r="AG182" s="48"/>
      <c r="AH182" s="48"/>
      <c r="AI182" s="48"/>
    </row>
    <row r="183" spans="1:35" ht="15.75" customHeight="1" x14ac:dyDescent="0.2">
      <c r="A183" s="48"/>
      <c r="B183" s="48"/>
      <c r="C183" s="48"/>
      <c r="D183" s="48"/>
      <c r="E183" s="48"/>
      <c r="F183" s="48"/>
      <c r="G183" s="48"/>
      <c r="H183" s="48"/>
      <c r="I183" s="48"/>
      <c r="J183" s="48"/>
      <c r="K183" s="48"/>
      <c r="L183" s="48"/>
      <c r="M183" s="48"/>
      <c r="N183" s="48"/>
      <c r="O183" s="48"/>
      <c r="P183" s="48"/>
      <c r="Q183" s="48"/>
      <c r="R183" s="48"/>
      <c r="S183" s="48"/>
      <c r="T183" s="48"/>
      <c r="U183" s="48"/>
      <c r="V183" s="48"/>
      <c r="W183" s="48"/>
      <c r="X183" s="48"/>
      <c r="Y183" s="48"/>
      <c r="Z183" s="48"/>
      <c r="AA183" s="48"/>
      <c r="AB183" s="48"/>
      <c r="AC183" s="48"/>
      <c r="AD183" s="48"/>
      <c r="AE183" s="48"/>
      <c r="AF183" s="48"/>
      <c r="AG183" s="48"/>
      <c r="AH183" s="48"/>
      <c r="AI183" s="48"/>
    </row>
    <row r="184" spans="1:35" ht="15.75" customHeight="1" x14ac:dyDescent="0.2">
      <c r="A184" s="48"/>
      <c r="B184" s="48"/>
      <c r="C184" s="48"/>
      <c r="D184" s="48"/>
      <c r="E184" s="48"/>
      <c r="F184" s="48"/>
      <c r="G184" s="48"/>
      <c r="H184" s="48"/>
      <c r="I184" s="48"/>
      <c r="J184" s="48"/>
      <c r="K184" s="48"/>
      <c r="L184" s="48"/>
      <c r="M184" s="48"/>
      <c r="N184" s="48"/>
      <c r="O184" s="48"/>
      <c r="P184" s="48"/>
      <c r="Q184" s="48"/>
      <c r="R184" s="48"/>
      <c r="S184" s="48"/>
      <c r="T184" s="48"/>
      <c r="U184" s="48"/>
      <c r="V184" s="48"/>
      <c r="W184" s="48"/>
      <c r="X184" s="48"/>
      <c r="Y184" s="48"/>
      <c r="Z184" s="48"/>
      <c r="AA184" s="48"/>
      <c r="AB184" s="48"/>
      <c r="AC184" s="48"/>
      <c r="AD184" s="48"/>
      <c r="AE184" s="48"/>
      <c r="AF184" s="48"/>
      <c r="AG184" s="48"/>
      <c r="AH184" s="48"/>
      <c r="AI184" s="48"/>
    </row>
    <row r="185" spans="1:35" ht="15.75" customHeight="1" x14ac:dyDescent="0.2">
      <c r="A185" s="48"/>
      <c r="B185" s="48"/>
      <c r="C185" s="48"/>
      <c r="D185" s="48"/>
      <c r="E185" s="48"/>
      <c r="F185" s="48"/>
      <c r="G185" s="48"/>
      <c r="H185" s="48"/>
      <c r="I185" s="48"/>
      <c r="J185" s="48"/>
      <c r="K185" s="48"/>
      <c r="L185" s="48"/>
      <c r="M185" s="48"/>
      <c r="N185" s="48"/>
      <c r="O185" s="48"/>
      <c r="P185" s="48"/>
      <c r="Q185" s="48"/>
      <c r="R185" s="48"/>
      <c r="S185" s="48"/>
      <c r="T185" s="48"/>
      <c r="U185" s="48"/>
      <c r="V185" s="48"/>
      <c r="W185" s="48"/>
      <c r="X185" s="48"/>
      <c r="Y185" s="48"/>
      <c r="Z185" s="48"/>
      <c r="AA185" s="48"/>
      <c r="AB185" s="48"/>
      <c r="AC185" s="48"/>
      <c r="AD185" s="48"/>
      <c r="AE185" s="48"/>
      <c r="AF185" s="48"/>
      <c r="AG185" s="48"/>
      <c r="AH185" s="48"/>
      <c r="AI185" s="48"/>
    </row>
    <row r="186" spans="1:35" ht="15.75" customHeight="1" x14ac:dyDescent="0.2">
      <c r="A186" s="48"/>
      <c r="B186" s="48"/>
      <c r="C186" s="48"/>
      <c r="D186" s="48"/>
      <c r="E186" s="48"/>
      <c r="F186" s="48"/>
      <c r="G186" s="48"/>
      <c r="H186" s="48"/>
      <c r="I186" s="48"/>
      <c r="J186" s="48"/>
      <c r="K186" s="48"/>
      <c r="L186" s="48"/>
      <c r="M186" s="48"/>
      <c r="N186" s="48"/>
      <c r="O186" s="48"/>
      <c r="P186" s="48"/>
      <c r="Q186" s="48"/>
      <c r="R186" s="48"/>
      <c r="S186" s="48"/>
      <c r="T186" s="48"/>
      <c r="U186" s="48"/>
      <c r="V186" s="48"/>
      <c r="W186" s="48"/>
      <c r="X186" s="48"/>
      <c r="Y186" s="48"/>
      <c r="Z186" s="48"/>
      <c r="AA186" s="48"/>
      <c r="AB186" s="48"/>
      <c r="AC186" s="48"/>
      <c r="AD186" s="48"/>
      <c r="AE186" s="48"/>
      <c r="AF186" s="48"/>
      <c r="AG186" s="48"/>
      <c r="AH186" s="48"/>
      <c r="AI186" s="48"/>
    </row>
    <row r="187" spans="1:35" ht="15.75" customHeight="1" x14ac:dyDescent="0.2">
      <c r="A187" s="48"/>
      <c r="B187" s="48"/>
      <c r="C187" s="48"/>
      <c r="D187" s="48"/>
      <c r="E187" s="48"/>
      <c r="F187" s="48"/>
      <c r="G187" s="48"/>
      <c r="H187" s="48"/>
      <c r="I187" s="48"/>
      <c r="J187" s="48"/>
      <c r="K187" s="48"/>
      <c r="L187" s="48"/>
      <c r="M187" s="48"/>
      <c r="N187" s="48"/>
      <c r="O187" s="48"/>
      <c r="P187" s="48"/>
      <c r="Q187" s="48"/>
      <c r="R187" s="48"/>
      <c r="S187" s="48"/>
      <c r="T187" s="48"/>
      <c r="U187" s="48"/>
      <c r="V187" s="48"/>
      <c r="W187" s="48"/>
      <c r="X187" s="48"/>
      <c r="Y187" s="48"/>
      <c r="Z187" s="48"/>
      <c r="AA187" s="48"/>
      <c r="AB187" s="48"/>
      <c r="AC187" s="48"/>
      <c r="AD187" s="48"/>
      <c r="AE187" s="48"/>
      <c r="AF187" s="48"/>
      <c r="AG187" s="48"/>
      <c r="AH187" s="48"/>
      <c r="AI187" s="48"/>
    </row>
    <row r="188" spans="1:35" ht="15.75" customHeight="1" x14ac:dyDescent="0.2">
      <c r="A188" s="48"/>
      <c r="B188" s="48"/>
      <c r="C188" s="48"/>
      <c r="D188" s="48"/>
      <c r="E188" s="48"/>
      <c r="F188" s="48"/>
      <c r="G188" s="48"/>
      <c r="H188" s="48"/>
      <c r="I188" s="48"/>
      <c r="J188" s="48"/>
      <c r="K188" s="48"/>
      <c r="L188" s="48"/>
      <c r="M188" s="48"/>
      <c r="N188" s="48"/>
      <c r="O188" s="48"/>
      <c r="P188" s="48"/>
      <c r="Q188" s="48"/>
      <c r="R188" s="48"/>
      <c r="S188" s="48"/>
      <c r="T188" s="48"/>
      <c r="U188" s="48"/>
      <c r="V188" s="48"/>
      <c r="W188" s="48"/>
      <c r="X188" s="48"/>
      <c r="Y188" s="48"/>
      <c r="Z188" s="48"/>
      <c r="AA188" s="48"/>
      <c r="AB188" s="48"/>
      <c r="AC188" s="48"/>
      <c r="AD188" s="48"/>
      <c r="AE188" s="48"/>
      <c r="AF188" s="48"/>
      <c r="AG188" s="48"/>
      <c r="AH188" s="48"/>
      <c r="AI188" s="48"/>
    </row>
    <row r="189" spans="1:35" ht="15.75" customHeight="1" x14ac:dyDescent="0.2">
      <c r="A189" s="48"/>
      <c r="B189" s="48"/>
      <c r="C189" s="48"/>
      <c r="D189" s="48"/>
      <c r="E189" s="48"/>
      <c r="F189" s="48"/>
      <c r="G189" s="48"/>
      <c r="H189" s="48"/>
      <c r="I189" s="48"/>
      <c r="J189" s="48"/>
      <c r="K189" s="48"/>
      <c r="L189" s="48"/>
      <c r="M189" s="48"/>
      <c r="N189" s="48"/>
      <c r="O189" s="48"/>
      <c r="P189" s="48"/>
      <c r="Q189" s="48"/>
      <c r="R189" s="48"/>
      <c r="S189" s="48"/>
      <c r="T189" s="48"/>
      <c r="U189" s="48"/>
      <c r="V189" s="48"/>
      <c r="W189" s="48"/>
      <c r="X189" s="48"/>
      <c r="Y189" s="48"/>
      <c r="Z189" s="48"/>
      <c r="AA189" s="48"/>
      <c r="AB189" s="48"/>
      <c r="AC189" s="48"/>
      <c r="AD189" s="48"/>
      <c r="AE189" s="48"/>
      <c r="AF189" s="48"/>
      <c r="AG189" s="48"/>
      <c r="AH189" s="48"/>
      <c r="AI189" s="48"/>
    </row>
    <row r="190" spans="1:35" ht="15.75" customHeight="1" x14ac:dyDescent="0.2">
      <c r="A190" s="48"/>
      <c r="B190" s="48"/>
      <c r="C190" s="48"/>
      <c r="D190" s="48"/>
      <c r="E190" s="48"/>
      <c r="F190" s="48"/>
      <c r="G190" s="48"/>
      <c r="H190" s="48"/>
      <c r="I190" s="48"/>
      <c r="J190" s="48"/>
      <c r="K190" s="48"/>
      <c r="L190" s="48"/>
      <c r="M190" s="48"/>
      <c r="N190" s="48"/>
      <c r="O190" s="48"/>
      <c r="P190" s="48"/>
      <c r="Q190" s="48"/>
      <c r="R190" s="48"/>
      <c r="S190" s="48"/>
      <c r="T190" s="48"/>
      <c r="U190" s="48"/>
      <c r="V190" s="48"/>
      <c r="W190" s="48"/>
      <c r="X190" s="48"/>
      <c r="Y190" s="48"/>
      <c r="Z190" s="48"/>
      <c r="AA190" s="48"/>
      <c r="AB190" s="48"/>
      <c r="AC190" s="48"/>
      <c r="AD190" s="48"/>
      <c r="AE190" s="48"/>
      <c r="AF190" s="48"/>
      <c r="AG190" s="48"/>
      <c r="AH190" s="48"/>
      <c r="AI190" s="48"/>
    </row>
    <row r="191" spans="1:35" ht="15.75" customHeight="1" x14ac:dyDescent="0.2">
      <c r="A191" s="48"/>
      <c r="B191" s="48"/>
      <c r="C191" s="48"/>
      <c r="D191" s="48"/>
      <c r="E191" s="48"/>
      <c r="F191" s="48"/>
      <c r="G191" s="48"/>
      <c r="H191" s="48"/>
      <c r="I191" s="48"/>
      <c r="J191" s="48"/>
      <c r="K191" s="48"/>
      <c r="L191" s="48"/>
      <c r="M191" s="48"/>
      <c r="N191" s="48"/>
      <c r="O191" s="48"/>
      <c r="P191" s="48"/>
      <c r="Q191" s="48"/>
      <c r="R191" s="48"/>
      <c r="S191" s="48"/>
      <c r="T191" s="48"/>
      <c r="U191" s="48"/>
      <c r="V191" s="48"/>
      <c r="W191" s="48"/>
      <c r="X191" s="48"/>
      <c r="Y191" s="48"/>
      <c r="Z191" s="48"/>
      <c r="AA191" s="48"/>
      <c r="AB191" s="48"/>
      <c r="AC191" s="48"/>
      <c r="AD191" s="48"/>
      <c r="AE191" s="48"/>
      <c r="AF191" s="48"/>
      <c r="AG191" s="48"/>
      <c r="AH191" s="48"/>
      <c r="AI191" s="48"/>
    </row>
    <row r="192" spans="1:35" ht="15.75" customHeight="1" x14ac:dyDescent="0.2">
      <c r="A192" s="48"/>
      <c r="B192" s="48"/>
      <c r="C192" s="48"/>
      <c r="D192" s="48"/>
      <c r="E192" s="48"/>
      <c r="F192" s="48"/>
      <c r="G192" s="48"/>
      <c r="H192" s="48"/>
      <c r="I192" s="48"/>
      <c r="J192" s="48"/>
      <c r="K192" s="48"/>
      <c r="L192" s="48"/>
      <c r="M192" s="48"/>
      <c r="N192" s="48"/>
      <c r="O192" s="48"/>
      <c r="P192" s="48"/>
      <c r="Q192" s="48"/>
      <c r="R192" s="48"/>
      <c r="S192" s="48"/>
      <c r="T192" s="48"/>
      <c r="U192" s="48"/>
      <c r="V192" s="48"/>
      <c r="W192" s="48"/>
      <c r="X192" s="48"/>
      <c r="Y192" s="48"/>
      <c r="Z192" s="48"/>
      <c r="AA192" s="48"/>
      <c r="AB192" s="48"/>
      <c r="AC192" s="48"/>
      <c r="AD192" s="48"/>
      <c r="AE192" s="48"/>
      <c r="AF192" s="48"/>
      <c r="AG192" s="48"/>
      <c r="AH192" s="48"/>
      <c r="AI192" s="48"/>
    </row>
    <row r="193" spans="1:35" ht="15.75" customHeight="1" x14ac:dyDescent="0.2">
      <c r="A193" s="48"/>
      <c r="B193" s="48"/>
      <c r="C193" s="48"/>
      <c r="D193" s="48"/>
      <c r="E193" s="48"/>
      <c r="F193" s="48"/>
      <c r="G193" s="48"/>
      <c r="H193" s="48"/>
      <c r="I193" s="48"/>
      <c r="J193" s="48"/>
      <c r="K193" s="48"/>
      <c r="L193" s="48"/>
      <c r="M193" s="48"/>
      <c r="N193" s="48"/>
      <c r="O193" s="48"/>
      <c r="P193" s="48"/>
      <c r="Q193" s="48"/>
      <c r="R193" s="48"/>
      <c r="S193" s="48"/>
      <c r="T193" s="48"/>
      <c r="U193" s="48"/>
      <c r="V193" s="48"/>
      <c r="W193" s="48"/>
      <c r="X193" s="48"/>
      <c r="Y193" s="48"/>
      <c r="Z193" s="48"/>
      <c r="AA193" s="48"/>
      <c r="AB193" s="48"/>
      <c r="AC193" s="48"/>
      <c r="AD193" s="48"/>
      <c r="AE193" s="48"/>
      <c r="AF193" s="48"/>
      <c r="AG193" s="48"/>
      <c r="AH193" s="48"/>
      <c r="AI193" s="48"/>
    </row>
    <row r="194" spans="1:35" ht="15.75" customHeight="1" x14ac:dyDescent="0.2">
      <c r="A194" s="48"/>
      <c r="B194" s="48"/>
      <c r="C194" s="48"/>
      <c r="D194" s="48"/>
      <c r="E194" s="48"/>
      <c r="F194" s="48"/>
      <c r="G194" s="48"/>
      <c r="H194" s="48"/>
      <c r="I194" s="48"/>
      <c r="J194" s="48"/>
      <c r="K194" s="48"/>
      <c r="L194" s="48"/>
      <c r="M194" s="48"/>
      <c r="N194" s="48"/>
      <c r="O194" s="48"/>
      <c r="P194" s="48"/>
      <c r="Q194" s="48"/>
      <c r="R194" s="48"/>
      <c r="S194" s="48"/>
      <c r="T194" s="48"/>
      <c r="U194" s="48"/>
      <c r="V194" s="48"/>
      <c r="W194" s="48"/>
      <c r="X194" s="48"/>
      <c r="Y194" s="48"/>
      <c r="Z194" s="48"/>
      <c r="AA194" s="48"/>
      <c r="AB194" s="48"/>
      <c r="AC194" s="48"/>
      <c r="AD194" s="48"/>
      <c r="AE194" s="48"/>
      <c r="AF194" s="48"/>
      <c r="AG194" s="48"/>
      <c r="AH194" s="48"/>
      <c r="AI194" s="48"/>
    </row>
    <row r="195" spans="1:35" ht="15.75" customHeight="1" x14ac:dyDescent="0.2">
      <c r="A195" s="48"/>
      <c r="B195" s="48"/>
      <c r="C195" s="48"/>
      <c r="D195" s="48"/>
      <c r="E195" s="48"/>
      <c r="F195" s="48"/>
      <c r="G195" s="48"/>
      <c r="H195" s="48"/>
      <c r="I195" s="48"/>
      <c r="J195" s="48"/>
      <c r="K195" s="48"/>
      <c r="L195" s="48"/>
      <c r="M195" s="48"/>
      <c r="N195" s="48"/>
      <c r="O195" s="48"/>
      <c r="P195" s="48"/>
      <c r="Q195" s="48"/>
      <c r="R195" s="48"/>
      <c r="S195" s="48"/>
      <c r="T195" s="48"/>
      <c r="U195" s="48"/>
      <c r="V195" s="48"/>
      <c r="W195" s="48"/>
      <c r="X195" s="48"/>
      <c r="Y195" s="48"/>
      <c r="Z195" s="48"/>
      <c r="AA195" s="48"/>
      <c r="AB195" s="48"/>
      <c r="AC195" s="48"/>
      <c r="AD195" s="48"/>
      <c r="AE195" s="48"/>
      <c r="AF195" s="48"/>
      <c r="AG195" s="48"/>
      <c r="AH195" s="48"/>
      <c r="AI195" s="48"/>
    </row>
    <row r="196" spans="1:35" ht="15.75" customHeight="1" x14ac:dyDescent="0.2">
      <c r="A196" s="48"/>
      <c r="B196" s="48"/>
      <c r="C196" s="48"/>
      <c r="D196" s="48"/>
      <c r="E196" s="48"/>
      <c r="F196" s="48"/>
      <c r="G196" s="48"/>
      <c r="H196" s="48"/>
      <c r="I196" s="48"/>
      <c r="J196" s="48"/>
      <c r="K196" s="48"/>
      <c r="L196" s="48"/>
      <c r="M196" s="48"/>
      <c r="N196" s="48"/>
      <c r="O196" s="48"/>
      <c r="P196" s="48"/>
      <c r="Q196" s="48"/>
      <c r="R196" s="48"/>
      <c r="S196" s="48"/>
      <c r="T196" s="48"/>
      <c r="U196" s="48"/>
      <c r="V196" s="48"/>
      <c r="W196" s="48"/>
      <c r="X196" s="48"/>
      <c r="Y196" s="48"/>
      <c r="Z196" s="48"/>
      <c r="AA196" s="48"/>
      <c r="AB196" s="48"/>
      <c r="AC196" s="48"/>
      <c r="AD196" s="48"/>
      <c r="AE196" s="48"/>
      <c r="AF196" s="48"/>
      <c r="AG196" s="48"/>
      <c r="AH196" s="48"/>
      <c r="AI196" s="48"/>
    </row>
    <row r="197" spans="1:35" ht="15.75" customHeight="1" x14ac:dyDescent="0.2">
      <c r="A197" s="48"/>
      <c r="B197" s="48"/>
      <c r="C197" s="48"/>
      <c r="D197" s="48"/>
      <c r="E197" s="48"/>
      <c r="F197" s="48"/>
      <c r="G197" s="48"/>
      <c r="H197" s="48"/>
      <c r="I197" s="48"/>
      <c r="J197" s="48"/>
      <c r="K197" s="48"/>
      <c r="L197" s="48"/>
      <c r="M197" s="48"/>
      <c r="N197" s="48"/>
      <c r="O197" s="48"/>
      <c r="P197" s="48"/>
      <c r="Q197" s="48"/>
      <c r="R197" s="48"/>
      <c r="S197" s="48"/>
      <c r="T197" s="48"/>
      <c r="U197" s="48"/>
      <c r="V197" s="48"/>
      <c r="W197" s="48"/>
      <c r="X197" s="48"/>
      <c r="Y197" s="48"/>
      <c r="Z197" s="48"/>
      <c r="AA197" s="48"/>
      <c r="AB197" s="48"/>
      <c r="AC197" s="48"/>
      <c r="AD197" s="48"/>
      <c r="AE197" s="48"/>
      <c r="AF197" s="48"/>
      <c r="AG197" s="48"/>
      <c r="AH197" s="48"/>
      <c r="AI197" s="48"/>
    </row>
    <row r="198" spans="1:35" ht="15.75" customHeight="1" x14ac:dyDescent="0.2">
      <c r="A198" s="48"/>
      <c r="B198" s="48"/>
      <c r="C198" s="48"/>
      <c r="D198" s="48"/>
      <c r="E198" s="48"/>
      <c r="F198" s="48"/>
      <c r="G198" s="48"/>
      <c r="H198" s="48"/>
      <c r="I198" s="48"/>
      <c r="J198" s="48"/>
      <c r="K198" s="48"/>
      <c r="L198" s="48"/>
      <c r="M198" s="48"/>
      <c r="N198" s="48"/>
      <c r="O198" s="48"/>
      <c r="P198" s="48"/>
      <c r="Q198" s="48"/>
      <c r="R198" s="48"/>
      <c r="S198" s="48"/>
      <c r="T198" s="48"/>
      <c r="U198" s="48"/>
      <c r="V198" s="48"/>
      <c r="W198" s="48"/>
      <c r="X198" s="48"/>
      <c r="Y198" s="48"/>
      <c r="Z198" s="48"/>
      <c r="AA198" s="48"/>
      <c r="AB198" s="48"/>
      <c r="AC198" s="48"/>
      <c r="AD198" s="48"/>
      <c r="AE198" s="48"/>
      <c r="AF198" s="48"/>
      <c r="AG198" s="48"/>
      <c r="AH198" s="48"/>
      <c r="AI198" s="48"/>
    </row>
    <row r="199" spans="1:35" ht="15.75" customHeight="1" x14ac:dyDescent="0.2">
      <c r="A199" s="48"/>
      <c r="B199" s="48"/>
      <c r="C199" s="48"/>
      <c r="D199" s="48"/>
      <c r="E199" s="48"/>
      <c r="F199" s="48"/>
      <c r="G199" s="48"/>
      <c r="H199" s="48"/>
      <c r="I199" s="48"/>
      <c r="J199" s="48"/>
      <c r="K199" s="48"/>
      <c r="L199" s="48"/>
      <c r="M199" s="48"/>
      <c r="N199" s="48"/>
      <c r="O199" s="48"/>
      <c r="P199" s="48"/>
      <c r="Q199" s="48"/>
      <c r="R199" s="48"/>
      <c r="S199" s="48"/>
      <c r="T199" s="48"/>
      <c r="U199" s="48"/>
      <c r="V199" s="48"/>
      <c r="W199" s="48"/>
      <c r="X199" s="48"/>
      <c r="Y199" s="48"/>
      <c r="Z199" s="48"/>
      <c r="AA199" s="48"/>
      <c r="AB199" s="48"/>
      <c r="AC199" s="48"/>
      <c r="AD199" s="48"/>
      <c r="AE199" s="48"/>
      <c r="AF199" s="48"/>
      <c r="AG199" s="48"/>
      <c r="AH199" s="48"/>
      <c r="AI199" s="48"/>
    </row>
    <row r="200" spans="1:35" ht="15.75" customHeight="1" x14ac:dyDescent="0.2">
      <c r="A200" s="48"/>
      <c r="B200" s="48"/>
      <c r="C200" s="48"/>
      <c r="D200" s="48"/>
      <c r="E200" s="48"/>
      <c r="F200" s="48"/>
      <c r="G200" s="48"/>
      <c r="H200" s="48"/>
      <c r="I200" s="48"/>
      <c r="J200" s="48"/>
      <c r="K200" s="48"/>
      <c r="L200" s="48"/>
      <c r="M200" s="48"/>
      <c r="N200" s="48"/>
      <c r="O200" s="48"/>
      <c r="P200" s="48"/>
      <c r="Q200" s="48"/>
      <c r="R200" s="48"/>
      <c r="S200" s="48"/>
      <c r="T200" s="48"/>
      <c r="U200" s="48"/>
      <c r="V200" s="48"/>
      <c r="W200" s="48"/>
      <c r="X200" s="48"/>
      <c r="Y200" s="48"/>
      <c r="Z200" s="48"/>
      <c r="AA200" s="48"/>
      <c r="AB200" s="48"/>
      <c r="AC200" s="48"/>
      <c r="AD200" s="48"/>
      <c r="AE200" s="48"/>
      <c r="AF200" s="48"/>
      <c r="AG200" s="48"/>
      <c r="AH200" s="48"/>
      <c r="AI200" s="48"/>
    </row>
    <row r="201" spans="1:35" ht="15.75" customHeight="1" x14ac:dyDescent="0.2">
      <c r="A201" s="48"/>
      <c r="B201" s="48"/>
      <c r="C201" s="48"/>
      <c r="D201" s="48"/>
      <c r="E201" s="48"/>
      <c r="F201" s="48"/>
      <c r="G201" s="48"/>
      <c r="H201" s="48"/>
      <c r="I201" s="48"/>
      <c r="J201" s="48"/>
      <c r="K201" s="48"/>
      <c r="L201" s="48"/>
      <c r="M201" s="48"/>
      <c r="N201" s="48"/>
      <c r="O201" s="48"/>
      <c r="P201" s="48"/>
      <c r="Q201" s="48"/>
      <c r="R201" s="48"/>
      <c r="S201" s="48"/>
      <c r="T201" s="48"/>
      <c r="U201" s="48"/>
      <c r="V201" s="48"/>
      <c r="W201" s="48"/>
      <c r="X201" s="48"/>
      <c r="Y201" s="48"/>
      <c r="Z201" s="48"/>
      <c r="AA201" s="48"/>
      <c r="AB201" s="48"/>
      <c r="AC201" s="48"/>
      <c r="AD201" s="48"/>
      <c r="AE201" s="48"/>
      <c r="AF201" s="48"/>
      <c r="AG201" s="48"/>
      <c r="AH201" s="48"/>
      <c r="AI201" s="48"/>
    </row>
    <row r="202" spans="1:35" ht="15.75" customHeight="1" x14ac:dyDescent="0.2">
      <c r="A202" s="48"/>
      <c r="B202" s="48"/>
      <c r="C202" s="48"/>
      <c r="D202" s="48"/>
      <c r="E202" s="48"/>
      <c r="F202" s="48"/>
      <c r="G202" s="48"/>
      <c r="H202" s="48"/>
      <c r="I202" s="48"/>
      <c r="J202" s="48"/>
      <c r="K202" s="48"/>
      <c r="L202" s="48"/>
      <c r="M202" s="48"/>
      <c r="N202" s="48"/>
      <c r="O202" s="48"/>
      <c r="P202" s="48"/>
      <c r="Q202" s="48"/>
      <c r="R202" s="48"/>
      <c r="S202" s="48"/>
      <c r="T202" s="48"/>
      <c r="U202" s="48"/>
      <c r="V202" s="48"/>
      <c r="W202" s="48"/>
      <c r="X202" s="48"/>
      <c r="Y202" s="48"/>
      <c r="Z202" s="48"/>
      <c r="AA202" s="48"/>
      <c r="AB202" s="48"/>
      <c r="AC202" s="48"/>
      <c r="AD202" s="48"/>
      <c r="AE202" s="48"/>
      <c r="AF202" s="48"/>
      <c r="AG202" s="48"/>
      <c r="AH202" s="48"/>
      <c r="AI202" s="48"/>
    </row>
    <row r="203" spans="1:35" ht="15.75" customHeight="1" x14ac:dyDescent="0.2">
      <c r="A203" s="48"/>
      <c r="B203" s="48"/>
      <c r="C203" s="48"/>
      <c r="D203" s="48"/>
      <c r="E203" s="48"/>
      <c r="F203" s="48"/>
      <c r="G203" s="48"/>
      <c r="H203" s="48"/>
      <c r="I203" s="48"/>
      <c r="J203" s="48"/>
      <c r="K203" s="48"/>
      <c r="L203" s="48"/>
      <c r="M203" s="48"/>
      <c r="N203" s="48"/>
      <c r="O203" s="48"/>
      <c r="P203" s="48"/>
      <c r="Q203" s="48"/>
      <c r="R203" s="48"/>
      <c r="S203" s="48"/>
      <c r="T203" s="48"/>
      <c r="U203" s="48"/>
      <c r="V203" s="48"/>
      <c r="W203" s="48"/>
      <c r="X203" s="48"/>
      <c r="Y203" s="48"/>
      <c r="Z203" s="48"/>
      <c r="AA203" s="48"/>
      <c r="AB203" s="48"/>
      <c r="AC203" s="48"/>
      <c r="AD203" s="48"/>
      <c r="AE203" s="48"/>
      <c r="AF203" s="48"/>
      <c r="AG203" s="48"/>
      <c r="AH203" s="48"/>
      <c r="AI203" s="48"/>
    </row>
    <row r="204" spans="1:35" ht="15.75" customHeight="1" x14ac:dyDescent="0.2">
      <c r="A204" s="48"/>
      <c r="B204" s="48"/>
      <c r="C204" s="48"/>
      <c r="D204" s="48"/>
      <c r="E204" s="48"/>
      <c r="F204" s="48"/>
      <c r="G204" s="48"/>
      <c r="H204" s="48"/>
      <c r="I204" s="48"/>
      <c r="J204" s="48"/>
      <c r="K204" s="48"/>
      <c r="L204" s="48"/>
      <c r="M204" s="48"/>
      <c r="N204" s="48"/>
      <c r="O204" s="48"/>
      <c r="P204" s="48"/>
      <c r="Q204" s="48"/>
      <c r="R204" s="48"/>
      <c r="S204" s="48"/>
      <c r="T204" s="48"/>
      <c r="U204" s="48"/>
      <c r="V204" s="48"/>
      <c r="W204" s="48"/>
      <c r="X204" s="48"/>
      <c r="Y204" s="48"/>
      <c r="Z204" s="48"/>
      <c r="AA204" s="48"/>
      <c r="AB204" s="48"/>
      <c r="AC204" s="48"/>
      <c r="AD204" s="48"/>
      <c r="AE204" s="48"/>
      <c r="AF204" s="48"/>
      <c r="AG204" s="48"/>
      <c r="AH204" s="48"/>
      <c r="AI204" s="48"/>
    </row>
    <row r="205" spans="1:35" ht="15.75" customHeight="1" x14ac:dyDescent="0.2">
      <c r="A205" s="48"/>
      <c r="B205" s="48"/>
      <c r="C205" s="48"/>
      <c r="D205" s="48"/>
      <c r="E205" s="48"/>
      <c r="F205" s="48"/>
      <c r="G205" s="48"/>
      <c r="H205" s="48"/>
      <c r="I205" s="48"/>
      <c r="J205" s="48"/>
      <c r="K205" s="48"/>
      <c r="L205" s="48"/>
      <c r="M205" s="48"/>
      <c r="N205" s="48"/>
      <c r="O205" s="48"/>
      <c r="P205" s="48"/>
      <c r="Q205" s="48"/>
      <c r="R205" s="48"/>
      <c r="S205" s="48"/>
      <c r="T205" s="48"/>
      <c r="U205" s="48"/>
      <c r="V205" s="48"/>
      <c r="W205" s="48"/>
      <c r="X205" s="48"/>
      <c r="Y205" s="48"/>
      <c r="Z205" s="48"/>
      <c r="AA205" s="48"/>
      <c r="AB205" s="48"/>
      <c r="AC205" s="48"/>
      <c r="AD205" s="48"/>
      <c r="AE205" s="48"/>
      <c r="AF205" s="48"/>
      <c r="AG205" s="48"/>
      <c r="AH205" s="48"/>
      <c r="AI205" s="48"/>
    </row>
    <row r="206" spans="1:35" ht="15.75" customHeight="1" x14ac:dyDescent="0.2">
      <c r="A206" s="48"/>
      <c r="B206" s="48"/>
      <c r="C206" s="48"/>
      <c r="D206" s="48"/>
      <c r="E206" s="48"/>
      <c r="F206" s="48"/>
      <c r="G206" s="48"/>
      <c r="H206" s="48"/>
      <c r="I206" s="48"/>
      <c r="J206" s="48"/>
      <c r="K206" s="48"/>
      <c r="L206" s="48"/>
      <c r="M206" s="48"/>
      <c r="N206" s="48"/>
      <c r="O206" s="48"/>
      <c r="P206" s="48"/>
      <c r="Q206" s="48"/>
      <c r="R206" s="48"/>
      <c r="S206" s="48"/>
      <c r="T206" s="48"/>
      <c r="U206" s="48"/>
      <c r="V206" s="48"/>
      <c r="W206" s="48"/>
      <c r="X206" s="48"/>
      <c r="Y206" s="48"/>
      <c r="Z206" s="48"/>
      <c r="AA206" s="48"/>
      <c r="AB206" s="48"/>
      <c r="AC206" s="48"/>
      <c r="AD206" s="48"/>
      <c r="AE206" s="48"/>
      <c r="AF206" s="48"/>
      <c r="AG206" s="48"/>
      <c r="AH206" s="48"/>
      <c r="AI206" s="48"/>
    </row>
    <row r="207" spans="1:35" ht="15.75" customHeight="1" x14ac:dyDescent="0.2">
      <c r="A207" s="48"/>
      <c r="B207" s="48"/>
      <c r="C207" s="48"/>
      <c r="D207" s="48"/>
      <c r="E207" s="48"/>
      <c r="F207" s="48"/>
      <c r="G207" s="48"/>
      <c r="H207" s="48"/>
      <c r="I207" s="48"/>
      <c r="J207" s="48"/>
      <c r="K207" s="48"/>
      <c r="L207" s="48"/>
      <c r="M207" s="48"/>
      <c r="N207" s="48"/>
      <c r="O207" s="48"/>
      <c r="P207" s="48"/>
      <c r="Q207" s="48"/>
      <c r="R207" s="48"/>
      <c r="S207" s="48"/>
      <c r="T207" s="48"/>
      <c r="U207" s="48"/>
      <c r="V207" s="48"/>
      <c r="W207" s="48"/>
      <c r="X207" s="48"/>
      <c r="Y207" s="48"/>
      <c r="Z207" s="48"/>
      <c r="AA207" s="48"/>
      <c r="AB207" s="48"/>
      <c r="AC207" s="48"/>
      <c r="AD207" s="48"/>
      <c r="AE207" s="48"/>
      <c r="AF207" s="48"/>
      <c r="AG207" s="48"/>
      <c r="AH207" s="48"/>
      <c r="AI207" s="48"/>
    </row>
    <row r="208" spans="1:35" ht="15.75" customHeight="1" x14ac:dyDescent="0.2">
      <c r="A208" s="48"/>
      <c r="B208" s="48"/>
      <c r="C208" s="48"/>
      <c r="D208" s="48"/>
      <c r="E208" s="48"/>
      <c r="F208" s="48"/>
      <c r="G208" s="48"/>
      <c r="H208" s="48"/>
      <c r="I208" s="48"/>
      <c r="J208" s="48"/>
      <c r="K208" s="48"/>
      <c r="L208" s="48"/>
      <c r="M208" s="48"/>
      <c r="N208" s="48"/>
      <c r="O208" s="48"/>
      <c r="P208" s="48"/>
      <c r="Q208" s="48"/>
      <c r="R208" s="48"/>
      <c r="S208" s="48"/>
      <c r="T208" s="48"/>
      <c r="U208" s="48"/>
      <c r="V208" s="48"/>
      <c r="W208" s="48"/>
      <c r="X208" s="48"/>
      <c r="Y208" s="48"/>
      <c r="Z208" s="48"/>
      <c r="AA208" s="48"/>
      <c r="AB208" s="48"/>
      <c r="AC208" s="48"/>
      <c r="AD208" s="48"/>
      <c r="AE208" s="48"/>
      <c r="AF208" s="48"/>
      <c r="AG208" s="48"/>
      <c r="AH208" s="48"/>
      <c r="AI208" s="48"/>
    </row>
    <row r="209" spans="1:35" ht="15.75" customHeight="1" x14ac:dyDescent="0.2">
      <c r="A209" s="48"/>
      <c r="B209" s="48"/>
      <c r="C209" s="48"/>
      <c r="D209" s="48"/>
      <c r="E209" s="48"/>
      <c r="F209" s="48"/>
      <c r="G209" s="48"/>
      <c r="H209" s="48"/>
      <c r="I209" s="48"/>
      <c r="J209" s="48"/>
      <c r="K209" s="48"/>
      <c r="L209" s="48"/>
      <c r="M209" s="48"/>
      <c r="N209" s="48"/>
      <c r="O209" s="48"/>
      <c r="P209" s="48"/>
      <c r="Q209" s="48"/>
      <c r="R209" s="48"/>
      <c r="S209" s="48"/>
      <c r="T209" s="48"/>
      <c r="U209" s="48"/>
      <c r="V209" s="48"/>
      <c r="W209" s="48"/>
      <c r="X209" s="48"/>
      <c r="Y209" s="48"/>
      <c r="Z209" s="48"/>
      <c r="AA209" s="48"/>
      <c r="AB209" s="48"/>
      <c r="AC209" s="48"/>
      <c r="AD209" s="48"/>
      <c r="AE209" s="48"/>
      <c r="AF209" s="48"/>
      <c r="AG209" s="48"/>
      <c r="AH209" s="48"/>
      <c r="AI209" s="48"/>
    </row>
    <row r="210" spans="1:35" ht="15.75" customHeight="1" x14ac:dyDescent="0.2">
      <c r="A210" s="48"/>
      <c r="B210" s="48"/>
      <c r="C210" s="48"/>
      <c r="D210" s="48"/>
      <c r="E210" s="48"/>
      <c r="F210" s="48"/>
      <c r="G210" s="48"/>
      <c r="H210" s="48"/>
      <c r="I210" s="48"/>
      <c r="J210" s="48"/>
      <c r="K210" s="48"/>
      <c r="L210" s="48"/>
      <c r="M210" s="48"/>
      <c r="N210" s="48"/>
      <c r="O210" s="48"/>
      <c r="P210" s="48"/>
      <c r="Q210" s="48"/>
      <c r="R210" s="48"/>
      <c r="S210" s="48"/>
      <c r="T210" s="48"/>
      <c r="U210" s="48"/>
      <c r="V210" s="48"/>
      <c r="W210" s="48"/>
      <c r="X210" s="48"/>
      <c r="Y210" s="48"/>
      <c r="Z210" s="48"/>
      <c r="AA210" s="48"/>
      <c r="AB210" s="48"/>
      <c r="AC210" s="48"/>
      <c r="AD210" s="48"/>
      <c r="AE210" s="48"/>
      <c r="AF210" s="48"/>
      <c r="AG210" s="48"/>
      <c r="AH210" s="48"/>
      <c r="AI210" s="48"/>
    </row>
    <row r="211" spans="1:35" ht="15.75" customHeight="1" x14ac:dyDescent="0.2">
      <c r="A211" s="48"/>
      <c r="B211" s="48"/>
      <c r="C211" s="48"/>
      <c r="D211" s="48"/>
      <c r="E211" s="48"/>
      <c r="F211" s="48"/>
      <c r="G211" s="48"/>
      <c r="H211" s="48"/>
      <c r="I211" s="48"/>
      <c r="J211" s="48"/>
      <c r="K211" s="48"/>
      <c r="L211" s="48"/>
      <c r="M211" s="48"/>
      <c r="N211" s="48"/>
      <c r="O211" s="48"/>
      <c r="P211" s="48"/>
      <c r="Q211" s="48"/>
      <c r="R211" s="48"/>
      <c r="S211" s="48"/>
      <c r="T211" s="48"/>
      <c r="U211" s="48"/>
      <c r="V211" s="48"/>
      <c r="W211" s="48"/>
      <c r="X211" s="48"/>
      <c r="Y211" s="48"/>
      <c r="Z211" s="48"/>
      <c r="AA211" s="48"/>
      <c r="AB211" s="48"/>
      <c r="AC211" s="48"/>
      <c r="AD211" s="48"/>
      <c r="AE211" s="48"/>
      <c r="AF211" s="48"/>
      <c r="AG211" s="48"/>
      <c r="AH211" s="48"/>
      <c r="AI211" s="48"/>
    </row>
    <row r="212" spans="1:35" ht="15.75" customHeight="1" x14ac:dyDescent="0.2">
      <c r="A212" s="48"/>
      <c r="B212" s="48"/>
      <c r="C212" s="48"/>
      <c r="D212" s="48"/>
      <c r="E212" s="48"/>
      <c r="F212" s="48"/>
      <c r="G212" s="48"/>
      <c r="H212" s="48"/>
      <c r="I212" s="48"/>
      <c r="J212" s="48"/>
      <c r="K212" s="48"/>
      <c r="L212" s="48"/>
      <c r="M212" s="48"/>
      <c r="N212" s="48"/>
      <c r="O212" s="48"/>
      <c r="P212" s="48"/>
      <c r="Q212" s="48"/>
      <c r="R212" s="48"/>
      <c r="S212" s="48"/>
      <c r="T212" s="48"/>
      <c r="U212" s="48"/>
      <c r="V212" s="48"/>
      <c r="W212" s="48"/>
      <c r="X212" s="48"/>
      <c r="Y212" s="48"/>
      <c r="Z212" s="48"/>
      <c r="AA212" s="48"/>
      <c r="AB212" s="48"/>
      <c r="AC212" s="48"/>
      <c r="AD212" s="48"/>
      <c r="AE212" s="48"/>
      <c r="AF212" s="48"/>
      <c r="AG212" s="48"/>
      <c r="AH212" s="48"/>
      <c r="AI212" s="48"/>
    </row>
    <row r="213" spans="1:35" ht="15.75" customHeight="1" x14ac:dyDescent="0.2">
      <c r="A213" s="48"/>
      <c r="B213" s="48"/>
      <c r="C213" s="48"/>
      <c r="D213" s="48"/>
      <c r="E213" s="48"/>
      <c r="F213" s="48"/>
      <c r="G213" s="48"/>
      <c r="H213" s="48"/>
      <c r="I213" s="48"/>
      <c r="J213" s="48"/>
      <c r="K213" s="48"/>
      <c r="L213" s="48"/>
      <c r="M213" s="48"/>
      <c r="N213" s="48"/>
      <c r="O213" s="48"/>
      <c r="P213" s="48"/>
      <c r="Q213" s="48"/>
      <c r="R213" s="48"/>
      <c r="S213" s="48"/>
      <c r="T213" s="48"/>
      <c r="U213" s="48"/>
      <c r="V213" s="48"/>
      <c r="W213" s="48"/>
      <c r="X213" s="48"/>
      <c r="Y213" s="48"/>
      <c r="Z213" s="48"/>
      <c r="AA213" s="48"/>
      <c r="AB213" s="48"/>
      <c r="AC213" s="48"/>
      <c r="AD213" s="48"/>
      <c r="AE213" s="48"/>
      <c r="AF213" s="48"/>
      <c r="AG213" s="48"/>
      <c r="AH213" s="48"/>
      <c r="AI213" s="48"/>
    </row>
    <row r="214" spans="1:35" ht="15.75" customHeight="1" x14ac:dyDescent="0.2">
      <c r="A214" s="48"/>
      <c r="B214" s="48"/>
      <c r="C214" s="48"/>
      <c r="D214" s="48"/>
      <c r="E214" s="48"/>
      <c r="F214" s="48"/>
      <c r="G214" s="48"/>
      <c r="H214" s="48"/>
      <c r="I214" s="48"/>
      <c r="J214" s="48"/>
      <c r="K214" s="48"/>
      <c r="L214" s="48"/>
      <c r="M214" s="48"/>
      <c r="N214" s="48"/>
      <c r="O214" s="48"/>
      <c r="P214" s="48"/>
      <c r="Q214" s="48"/>
      <c r="R214" s="48"/>
      <c r="S214" s="48"/>
      <c r="T214" s="48"/>
      <c r="U214" s="48"/>
      <c r="V214" s="48"/>
      <c r="W214" s="48"/>
      <c r="X214" s="48"/>
      <c r="Y214" s="48"/>
      <c r="Z214" s="48"/>
      <c r="AA214" s="48"/>
      <c r="AB214" s="48"/>
      <c r="AC214" s="48"/>
      <c r="AD214" s="48"/>
      <c r="AE214" s="48"/>
      <c r="AF214" s="48"/>
      <c r="AG214" s="48"/>
      <c r="AH214" s="48"/>
      <c r="AI214" s="48"/>
    </row>
    <row r="215" spans="1:35" ht="15.75" customHeight="1" x14ac:dyDescent="0.2">
      <c r="A215" s="48"/>
      <c r="B215" s="48"/>
      <c r="C215" s="48"/>
      <c r="D215" s="48"/>
      <c r="E215" s="48"/>
      <c r="F215" s="48"/>
      <c r="G215" s="48"/>
      <c r="H215" s="48"/>
      <c r="I215" s="48"/>
      <c r="J215" s="48"/>
      <c r="K215" s="48"/>
      <c r="L215" s="48"/>
      <c r="M215" s="48"/>
      <c r="N215" s="48"/>
      <c r="O215" s="48"/>
      <c r="P215" s="48"/>
      <c r="Q215" s="48"/>
      <c r="R215" s="48"/>
      <c r="S215" s="48"/>
      <c r="T215" s="48"/>
      <c r="U215" s="48"/>
      <c r="V215" s="48"/>
      <c r="W215" s="48"/>
      <c r="X215" s="48"/>
      <c r="Y215" s="48"/>
      <c r="Z215" s="48"/>
      <c r="AA215" s="48"/>
      <c r="AB215" s="48"/>
      <c r="AC215" s="48"/>
      <c r="AD215" s="48"/>
      <c r="AE215" s="48"/>
      <c r="AF215" s="48"/>
      <c r="AG215" s="48"/>
      <c r="AH215" s="48"/>
      <c r="AI215" s="48"/>
    </row>
    <row r="216" spans="1:35" ht="15.75" customHeight="1" x14ac:dyDescent="0.2">
      <c r="A216" s="48"/>
      <c r="B216" s="48"/>
      <c r="C216" s="48"/>
      <c r="D216" s="48"/>
      <c r="E216" s="48"/>
      <c r="F216" s="48"/>
      <c r="G216" s="48"/>
      <c r="H216" s="48"/>
      <c r="I216" s="48"/>
      <c r="J216" s="48"/>
      <c r="K216" s="48"/>
      <c r="L216" s="48"/>
      <c r="M216" s="48"/>
      <c r="N216" s="48"/>
      <c r="O216" s="48"/>
      <c r="P216" s="48"/>
      <c r="Q216" s="48"/>
      <c r="R216" s="48"/>
      <c r="S216" s="48"/>
      <c r="T216" s="48"/>
      <c r="U216" s="48"/>
      <c r="V216" s="48"/>
      <c r="W216" s="48"/>
      <c r="X216" s="48"/>
      <c r="Y216" s="48"/>
      <c r="Z216" s="48"/>
      <c r="AA216" s="48"/>
      <c r="AB216" s="48"/>
      <c r="AC216" s="48"/>
      <c r="AD216" s="48"/>
      <c r="AE216" s="48"/>
      <c r="AF216" s="48"/>
      <c r="AG216" s="48"/>
      <c r="AH216" s="48"/>
      <c r="AI216" s="48"/>
    </row>
    <row r="217" spans="1:35" ht="15.75" customHeight="1" x14ac:dyDescent="0.2">
      <c r="A217" s="48"/>
      <c r="B217" s="48"/>
      <c r="C217" s="48"/>
      <c r="D217" s="48"/>
      <c r="E217" s="48"/>
      <c r="F217" s="48"/>
      <c r="G217" s="48"/>
      <c r="H217" s="48"/>
      <c r="I217" s="48"/>
      <c r="J217" s="48"/>
      <c r="K217" s="48"/>
      <c r="L217" s="48"/>
      <c r="M217" s="48"/>
      <c r="N217" s="48"/>
      <c r="O217" s="48"/>
      <c r="P217" s="48"/>
      <c r="Q217" s="48"/>
      <c r="R217" s="48"/>
      <c r="S217" s="48"/>
      <c r="T217" s="48"/>
      <c r="U217" s="48"/>
      <c r="V217" s="48"/>
      <c r="W217" s="48"/>
      <c r="X217" s="48"/>
      <c r="Y217" s="48"/>
      <c r="Z217" s="48"/>
      <c r="AA217" s="48"/>
      <c r="AB217" s="48"/>
      <c r="AC217" s="48"/>
      <c r="AD217" s="48"/>
      <c r="AE217" s="48"/>
      <c r="AF217" s="48"/>
      <c r="AG217" s="48"/>
      <c r="AH217" s="48"/>
      <c r="AI217" s="48"/>
    </row>
    <row r="218" spans="1:35" ht="15.75" customHeight="1" x14ac:dyDescent="0.2">
      <c r="A218" s="48"/>
      <c r="B218" s="48"/>
      <c r="C218" s="48"/>
      <c r="D218" s="48"/>
      <c r="E218" s="48"/>
      <c r="F218" s="48"/>
      <c r="G218" s="48"/>
      <c r="H218" s="48"/>
      <c r="I218" s="48"/>
      <c r="J218" s="48"/>
      <c r="K218" s="48"/>
      <c r="L218" s="48"/>
      <c r="M218" s="48"/>
      <c r="N218" s="48"/>
      <c r="O218" s="48"/>
      <c r="P218" s="48"/>
      <c r="Q218" s="48"/>
      <c r="R218" s="48"/>
      <c r="S218" s="48"/>
      <c r="T218" s="48"/>
      <c r="U218" s="48"/>
      <c r="V218" s="48"/>
      <c r="W218" s="48"/>
      <c r="X218" s="48"/>
      <c r="Y218" s="48"/>
      <c r="Z218" s="48"/>
      <c r="AA218" s="48"/>
      <c r="AB218" s="48"/>
      <c r="AC218" s="48"/>
      <c r="AD218" s="48"/>
      <c r="AE218" s="48"/>
      <c r="AF218" s="48"/>
      <c r="AG218" s="48"/>
      <c r="AH218" s="48"/>
      <c r="AI218" s="48"/>
    </row>
    <row r="219" spans="1:35" ht="15.75" customHeight="1" x14ac:dyDescent="0.2">
      <c r="A219" s="48"/>
      <c r="B219" s="48"/>
      <c r="C219" s="48"/>
      <c r="D219" s="48"/>
      <c r="E219" s="48"/>
      <c r="F219" s="48"/>
      <c r="G219" s="48"/>
      <c r="H219" s="48"/>
      <c r="I219" s="48"/>
      <c r="J219" s="48"/>
      <c r="K219" s="48"/>
      <c r="L219" s="48"/>
      <c r="M219" s="48"/>
      <c r="N219" s="48"/>
      <c r="O219" s="48"/>
      <c r="P219" s="48"/>
      <c r="Q219" s="48"/>
      <c r="R219" s="48"/>
      <c r="S219" s="48"/>
      <c r="T219" s="48"/>
      <c r="U219" s="48"/>
      <c r="V219" s="48"/>
      <c r="W219" s="48"/>
      <c r="X219" s="48"/>
      <c r="Y219" s="48"/>
      <c r="Z219" s="48"/>
      <c r="AA219" s="48"/>
      <c r="AB219" s="48"/>
      <c r="AC219" s="48"/>
      <c r="AD219" s="48"/>
      <c r="AE219" s="48"/>
      <c r="AF219" s="48"/>
      <c r="AG219" s="48"/>
      <c r="AH219" s="48"/>
      <c r="AI219" s="48"/>
    </row>
    <row r="220" spans="1:35" ht="15.75" customHeight="1" x14ac:dyDescent="0.2">
      <c r="A220" s="48"/>
      <c r="B220" s="48"/>
      <c r="C220" s="48"/>
      <c r="D220" s="48"/>
      <c r="E220" s="48"/>
      <c r="F220" s="48"/>
      <c r="G220" s="48"/>
      <c r="H220" s="48"/>
      <c r="I220" s="48"/>
      <c r="J220" s="48"/>
      <c r="K220" s="48"/>
      <c r="L220" s="48"/>
      <c r="M220" s="48"/>
      <c r="N220" s="48"/>
      <c r="O220" s="48"/>
      <c r="P220" s="48"/>
      <c r="Q220" s="48"/>
      <c r="R220" s="48"/>
      <c r="S220" s="48"/>
      <c r="T220" s="48"/>
      <c r="U220" s="48"/>
      <c r="V220" s="48"/>
      <c r="W220" s="48"/>
      <c r="X220" s="48"/>
      <c r="Y220" s="48"/>
      <c r="Z220" s="48"/>
      <c r="AA220" s="48"/>
      <c r="AB220" s="48"/>
      <c r="AC220" s="48"/>
      <c r="AD220" s="48"/>
      <c r="AE220" s="48"/>
      <c r="AF220" s="48"/>
      <c r="AG220" s="48"/>
      <c r="AH220" s="48"/>
      <c r="AI220" s="48"/>
    </row>
    <row r="221" spans="1:35" ht="15.75" customHeight="1" x14ac:dyDescent="0.2"/>
    <row r="222" spans="1:35" ht="15.75" customHeight="1" x14ac:dyDescent="0.2"/>
    <row r="223" spans="1:35" ht="15.75" customHeight="1" x14ac:dyDescent="0.2"/>
    <row r="224" spans="1:35"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3">
    <mergeCell ref="F1:H2"/>
    <mergeCell ref="B4:B5"/>
    <mergeCell ref="B6:B8"/>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AA1000"/>
  <sheetViews>
    <sheetView workbookViewId="0"/>
  </sheetViews>
  <sheetFormatPr defaultColWidth="12.5703125" defaultRowHeight="15" customHeight="1" x14ac:dyDescent="0.2"/>
  <cols>
    <col min="1" max="6" width="12.5703125" customWidth="1"/>
    <col min="25" max="25" width="9.28515625" customWidth="1"/>
    <col min="26" max="26" width="23.42578125" customWidth="1"/>
  </cols>
  <sheetData>
    <row r="1" spans="1:27" ht="15.75" customHeight="1" x14ac:dyDescent="0.2">
      <c r="A1" s="192"/>
      <c r="B1" s="192"/>
      <c r="C1" s="299" t="s">
        <v>55</v>
      </c>
      <c r="D1" s="300"/>
      <c r="E1" s="303" t="s">
        <v>7</v>
      </c>
      <c r="F1" s="300"/>
      <c r="G1" s="304"/>
      <c r="H1" s="193">
        <f>VLOOKUP(E1,Z:AA,2,0)</f>
        <v>12817</v>
      </c>
      <c r="I1" s="192"/>
      <c r="J1" s="192"/>
      <c r="K1" s="192"/>
      <c r="L1" s="192"/>
      <c r="M1" s="192"/>
      <c r="N1" s="192"/>
      <c r="O1" s="192"/>
      <c r="P1" s="192"/>
      <c r="Q1" s="192"/>
      <c r="R1" s="192"/>
      <c r="S1" s="192"/>
      <c r="T1" s="192"/>
      <c r="U1" s="192"/>
      <c r="V1" s="192"/>
      <c r="W1" s="192"/>
      <c r="X1" s="192"/>
      <c r="Y1" s="194"/>
      <c r="Z1" s="194"/>
      <c r="AA1" s="194"/>
    </row>
    <row r="2" spans="1:27" ht="15.75" customHeight="1" x14ac:dyDescent="0.2">
      <c r="A2" s="192"/>
      <c r="B2" s="192"/>
      <c r="C2" s="301"/>
      <c r="D2" s="302"/>
      <c r="E2" s="302"/>
      <c r="F2" s="302"/>
      <c r="G2" s="305"/>
      <c r="H2" s="193"/>
      <c r="I2" s="192"/>
      <c r="J2" s="192"/>
      <c r="K2" s="192"/>
      <c r="L2" s="192"/>
      <c r="M2" s="192"/>
      <c r="N2" s="192"/>
      <c r="O2" s="192"/>
      <c r="P2" s="192"/>
      <c r="Q2" s="192"/>
      <c r="R2" s="192"/>
      <c r="S2" s="192"/>
      <c r="T2" s="192"/>
      <c r="U2" s="192"/>
      <c r="V2" s="192"/>
      <c r="W2" s="192"/>
      <c r="X2" s="192"/>
      <c r="Y2" s="194"/>
      <c r="Z2" s="194"/>
      <c r="AA2" s="194"/>
    </row>
    <row r="3" spans="1:27" ht="15.75" customHeight="1" x14ac:dyDescent="0.2">
      <c r="A3" s="192"/>
      <c r="B3" s="192"/>
      <c r="C3" s="192"/>
      <c r="D3" s="192"/>
      <c r="E3" s="192"/>
      <c r="F3" s="192"/>
      <c r="G3" s="192"/>
      <c r="H3" s="193"/>
      <c r="I3" s="192"/>
      <c r="J3" s="192"/>
      <c r="K3" s="192"/>
      <c r="L3" s="192"/>
      <c r="M3" s="192"/>
      <c r="N3" s="192"/>
      <c r="O3" s="192"/>
      <c r="P3" s="192"/>
      <c r="Q3" s="192"/>
      <c r="R3" s="192"/>
      <c r="S3" s="192"/>
      <c r="T3" s="192"/>
      <c r="U3" s="192"/>
      <c r="V3" s="192"/>
      <c r="W3" s="192"/>
      <c r="X3" s="192"/>
      <c r="Y3" s="194"/>
      <c r="Z3" s="194"/>
      <c r="AA3" s="194"/>
    </row>
    <row r="4" spans="1:27" ht="15.75" customHeight="1" x14ac:dyDescent="0.2">
      <c r="A4" s="192"/>
      <c r="B4" s="192"/>
      <c r="C4" s="192"/>
      <c r="D4" s="192"/>
      <c r="E4" s="192"/>
      <c r="F4" s="192"/>
      <c r="G4" s="192"/>
      <c r="H4" s="193"/>
      <c r="I4" s="192"/>
      <c r="J4" s="192"/>
      <c r="K4" s="192"/>
      <c r="L4" s="192"/>
      <c r="M4" s="192"/>
      <c r="N4" s="192"/>
      <c r="O4" s="192"/>
      <c r="P4" s="192"/>
      <c r="Q4" s="192"/>
      <c r="R4" s="192"/>
      <c r="S4" s="192"/>
      <c r="T4" s="192"/>
      <c r="U4" s="192"/>
      <c r="V4" s="192"/>
      <c r="W4" s="192"/>
      <c r="X4" s="192"/>
      <c r="Y4" s="194"/>
      <c r="Z4" s="194"/>
      <c r="AA4" s="194"/>
    </row>
    <row r="5" spans="1:27" ht="15.75" customHeight="1" x14ac:dyDescent="0.2">
      <c r="A5" s="192"/>
      <c r="B5" s="192"/>
      <c r="C5" s="192"/>
      <c r="D5" s="192"/>
      <c r="E5" s="192"/>
      <c r="F5" s="192"/>
      <c r="G5" s="192"/>
      <c r="H5" s="193"/>
      <c r="I5" s="192"/>
      <c r="J5" s="192"/>
      <c r="K5" s="192"/>
      <c r="L5" s="192"/>
      <c r="M5" s="192"/>
      <c r="N5" s="192"/>
      <c r="O5" s="192"/>
      <c r="P5" s="192"/>
      <c r="Q5" s="192"/>
      <c r="R5" s="192"/>
      <c r="S5" s="192"/>
      <c r="T5" s="192"/>
      <c r="U5" s="192"/>
      <c r="V5" s="192"/>
      <c r="W5" s="192"/>
      <c r="X5" s="192"/>
      <c r="Y5" s="194"/>
      <c r="Z5" s="194"/>
      <c r="AA5" s="194"/>
    </row>
    <row r="6" spans="1:27" ht="15.75" customHeight="1" x14ac:dyDescent="0.2">
      <c r="A6" s="192"/>
      <c r="B6" s="192"/>
      <c r="C6" s="192"/>
      <c r="D6" s="192"/>
      <c r="E6" s="192"/>
      <c r="F6" s="192"/>
      <c r="G6" s="192"/>
      <c r="H6" s="193"/>
      <c r="I6" s="192"/>
      <c r="J6" s="192"/>
      <c r="K6" s="192"/>
      <c r="L6" s="192"/>
      <c r="M6" s="192"/>
      <c r="N6" s="192"/>
      <c r="O6" s="192"/>
      <c r="P6" s="192"/>
      <c r="Q6" s="192"/>
      <c r="R6" s="192"/>
      <c r="S6" s="192"/>
      <c r="T6" s="192"/>
      <c r="U6" s="192"/>
      <c r="V6" s="192"/>
      <c r="W6" s="192"/>
      <c r="X6" s="192"/>
      <c r="Y6" s="194"/>
      <c r="Z6" s="194"/>
      <c r="AA6" s="194"/>
    </row>
    <row r="7" spans="1:27" ht="15.75" customHeight="1" x14ac:dyDescent="0.2">
      <c r="A7" s="192"/>
      <c r="B7" s="192"/>
      <c r="C7" s="192"/>
      <c r="D7" s="192"/>
      <c r="E7" s="192"/>
      <c r="F7" s="192"/>
      <c r="G7" s="192"/>
      <c r="H7" s="193"/>
      <c r="I7" s="192"/>
      <c r="J7" s="192"/>
      <c r="K7" s="192"/>
      <c r="L7" s="192"/>
      <c r="M7" s="192"/>
      <c r="N7" s="192"/>
      <c r="O7" s="192"/>
      <c r="P7" s="192"/>
      <c r="Q7" s="192"/>
      <c r="R7" s="192"/>
      <c r="S7" s="192"/>
      <c r="T7" s="192"/>
      <c r="U7" s="192"/>
      <c r="V7" s="192"/>
      <c r="W7" s="192"/>
      <c r="X7" s="192"/>
      <c r="Y7" s="194"/>
      <c r="Z7" s="195" t="s">
        <v>6</v>
      </c>
      <c r="AA7" s="195">
        <v>12819</v>
      </c>
    </row>
    <row r="8" spans="1:27" ht="15.75" customHeight="1" x14ac:dyDescent="0.2">
      <c r="A8" s="192"/>
      <c r="B8" s="192"/>
      <c r="C8" s="192"/>
      <c r="D8" s="192"/>
      <c r="E8" s="192"/>
      <c r="F8" s="192"/>
      <c r="G8" s="192"/>
      <c r="H8" s="193"/>
      <c r="I8" s="192"/>
      <c r="J8" s="192"/>
      <c r="K8" s="192"/>
      <c r="L8" s="192"/>
      <c r="M8" s="192"/>
      <c r="N8" s="192"/>
      <c r="O8" s="192"/>
      <c r="P8" s="192"/>
      <c r="Q8" s="192"/>
      <c r="R8" s="192"/>
      <c r="S8" s="192"/>
      <c r="T8" s="192"/>
      <c r="U8" s="192"/>
      <c r="V8" s="192"/>
      <c r="W8" s="192"/>
      <c r="X8" s="192"/>
      <c r="Y8" s="194"/>
      <c r="Z8" s="195" t="s">
        <v>7</v>
      </c>
      <c r="AA8" s="195">
        <v>12817</v>
      </c>
    </row>
    <row r="9" spans="1:27" ht="15.75" customHeight="1" x14ac:dyDescent="0.2">
      <c r="A9" s="192"/>
      <c r="B9" s="192"/>
      <c r="C9" s="192"/>
      <c r="D9" s="192"/>
      <c r="E9" s="192"/>
      <c r="F9" s="192"/>
      <c r="G9" s="192"/>
      <c r="H9" s="193"/>
      <c r="I9" s="192"/>
      <c r="J9" s="192"/>
      <c r="K9" s="192"/>
      <c r="L9" s="192"/>
      <c r="M9" s="192"/>
      <c r="N9" s="192"/>
      <c r="O9" s="192"/>
      <c r="P9" s="192"/>
      <c r="Q9" s="192"/>
      <c r="R9" s="192"/>
      <c r="S9" s="192"/>
      <c r="T9" s="192"/>
      <c r="U9" s="192"/>
      <c r="V9" s="192"/>
      <c r="W9" s="192"/>
      <c r="X9" s="192"/>
      <c r="Y9" s="194"/>
      <c r="Z9" s="195" t="s">
        <v>8</v>
      </c>
      <c r="AA9" s="195">
        <v>12818</v>
      </c>
    </row>
    <row r="10" spans="1:27" ht="15.75" customHeight="1" x14ac:dyDescent="0.2">
      <c r="A10" s="192"/>
      <c r="B10" s="192"/>
      <c r="C10" s="192"/>
      <c r="D10" s="192"/>
      <c r="E10" s="192"/>
      <c r="F10" s="192"/>
      <c r="G10" s="192"/>
      <c r="H10" s="193"/>
      <c r="I10" s="192"/>
      <c r="J10" s="192"/>
      <c r="K10" s="192"/>
      <c r="L10" s="192"/>
      <c r="M10" s="192"/>
      <c r="N10" s="192"/>
      <c r="O10" s="192"/>
      <c r="P10" s="192"/>
      <c r="Q10" s="192"/>
      <c r="R10" s="192"/>
      <c r="S10" s="192"/>
      <c r="T10" s="192"/>
      <c r="U10" s="192"/>
      <c r="V10" s="192"/>
      <c r="W10" s="192"/>
      <c r="X10" s="192"/>
      <c r="Y10" s="194"/>
      <c r="Z10" s="195" t="s">
        <v>12</v>
      </c>
      <c r="AA10" s="195">
        <v>13579</v>
      </c>
    </row>
    <row r="11" spans="1:27" ht="15.75" customHeight="1" x14ac:dyDescent="0.2">
      <c r="A11" s="192"/>
      <c r="B11" s="192"/>
      <c r="C11" s="192"/>
      <c r="D11" s="192"/>
      <c r="E11" s="192"/>
      <c r="F11" s="192"/>
      <c r="G11" s="192"/>
      <c r="H11" s="193"/>
      <c r="I11" s="192"/>
      <c r="J11" s="192"/>
      <c r="K11" s="192"/>
      <c r="L11" s="192"/>
      <c r="M11" s="192"/>
      <c r="N11" s="192"/>
      <c r="O11" s="192"/>
      <c r="P11" s="192"/>
      <c r="Q11" s="192"/>
      <c r="R11" s="192"/>
      <c r="S11" s="192"/>
      <c r="T11" s="192"/>
      <c r="U11" s="192"/>
      <c r="V11" s="192"/>
      <c r="W11" s="192"/>
      <c r="X11" s="192"/>
      <c r="Y11" s="194"/>
      <c r="Z11" s="195" t="s">
        <v>11</v>
      </c>
      <c r="AA11" s="195">
        <v>13578</v>
      </c>
    </row>
    <row r="12" spans="1:27" ht="15.75" customHeight="1" x14ac:dyDescent="0.2">
      <c r="A12" s="192"/>
      <c r="B12" s="192"/>
      <c r="C12" s="192"/>
      <c r="D12" s="192"/>
      <c r="E12" s="192"/>
      <c r="F12" s="192"/>
      <c r="G12" s="192"/>
      <c r="H12" s="193"/>
      <c r="I12" s="192"/>
      <c r="J12" s="192"/>
      <c r="K12" s="192"/>
      <c r="L12" s="192"/>
      <c r="M12" s="192"/>
      <c r="N12" s="192"/>
      <c r="O12" s="192"/>
      <c r="P12" s="192"/>
      <c r="Q12" s="192"/>
      <c r="R12" s="192"/>
      <c r="S12" s="192"/>
      <c r="T12" s="192"/>
      <c r="U12" s="192"/>
      <c r="V12" s="192"/>
      <c r="W12" s="192"/>
      <c r="X12" s="192"/>
      <c r="Y12" s="194"/>
      <c r="Z12" s="194"/>
      <c r="AA12" s="194"/>
    </row>
    <row r="13" spans="1:27" ht="15.75" customHeight="1" x14ac:dyDescent="0.2">
      <c r="A13" s="192"/>
      <c r="B13" s="192"/>
      <c r="C13" s="192"/>
      <c r="D13" s="192"/>
      <c r="E13" s="192"/>
      <c r="F13" s="192"/>
      <c r="G13" s="192"/>
      <c r="H13" s="193"/>
      <c r="I13" s="192"/>
      <c r="J13" s="192"/>
      <c r="K13" s="192"/>
      <c r="L13" s="192"/>
      <c r="M13" s="192"/>
      <c r="N13" s="192"/>
      <c r="O13" s="192"/>
      <c r="P13" s="192"/>
      <c r="Q13" s="192"/>
      <c r="R13" s="192"/>
      <c r="S13" s="192"/>
      <c r="T13" s="192"/>
      <c r="U13" s="192"/>
      <c r="V13" s="192"/>
      <c r="W13" s="192"/>
      <c r="X13" s="192"/>
      <c r="Y13" s="194"/>
      <c r="Z13" s="194"/>
      <c r="AA13" s="194"/>
    </row>
    <row r="14" spans="1:27" ht="15.75" customHeight="1" x14ac:dyDescent="0.2">
      <c r="A14" s="192"/>
      <c r="B14" s="192"/>
      <c r="C14" s="192"/>
      <c r="D14" s="192"/>
      <c r="E14" s="192"/>
      <c r="F14" s="192"/>
      <c r="G14" s="192"/>
      <c r="H14" s="193"/>
      <c r="I14" s="192"/>
      <c r="J14" s="192"/>
      <c r="K14" s="192"/>
      <c r="L14" s="192"/>
      <c r="M14" s="192"/>
      <c r="N14" s="192"/>
      <c r="O14" s="192"/>
      <c r="P14" s="192"/>
      <c r="Q14" s="192"/>
      <c r="R14" s="192"/>
      <c r="S14" s="192"/>
      <c r="T14" s="192"/>
      <c r="U14" s="192"/>
      <c r="V14" s="192"/>
      <c r="W14" s="192"/>
      <c r="X14" s="192"/>
      <c r="Y14" s="194"/>
      <c r="Z14" s="194"/>
      <c r="AA14" s="194"/>
    </row>
    <row r="15" spans="1:27" ht="15.75" customHeight="1" x14ac:dyDescent="0.2">
      <c r="A15" s="192"/>
      <c r="B15" s="192"/>
      <c r="C15" s="192"/>
      <c r="D15" s="192"/>
      <c r="E15" s="192"/>
      <c r="F15" s="192"/>
      <c r="G15" s="192"/>
      <c r="H15" s="193"/>
      <c r="I15" s="192"/>
      <c r="J15" s="192"/>
      <c r="K15" s="192"/>
      <c r="L15" s="192"/>
      <c r="M15" s="192"/>
      <c r="N15" s="192"/>
      <c r="O15" s="192"/>
      <c r="P15" s="192"/>
      <c r="Q15" s="192"/>
      <c r="R15" s="192"/>
      <c r="S15" s="192"/>
      <c r="T15" s="192"/>
      <c r="U15" s="192"/>
      <c r="V15" s="192"/>
      <c r="W15" s="192"/>
      <c r="X15" s="192"/>
      <c r="Y15" s="194"/>
      <c r="Z15" s="194"/>
      <c r="AA15" s="194"/>
    </row>
    <row r="16" spans="1:27" ht="15.75" customHeight="1" x14ac:dyDescent="0.2">
      <c r="A16" s="192"/>
      <c r="B16" s="192"/>
      <c r="C16" s="192"/>
      <c r="D16" s="192"/>
      <c r="E16" s="192"/>
      <c r="F16" s="192"/>
      <c r="G16" s="192"/>
      <c r="H16" s="193"/>
      <c r="I16" s="192"/>
      <c r="J16" s="192"/>
      <c r="K16" s="192"/>
      <c r="L16" s="192"/>
      <c r="M16" s="192"/>
      <c r="N16" s="192"/>
      <c r="O16" s="192"/>
      <c r="P16" s="192"/>
      <c r="Q16" s="192"/>
      <c r="R16" s="192"/>
      <c r="S16" s="192"/>
      <c r="T16" s="192"/>
      <c r="U16" s="192"/>
      <c r="V16" s="192"/>
      <c r="W16" s="192"/>
      <c r="X16" s="192"/>
      <c r="Y16" s="194"/>
      <c r="Z16" s="194"/>
      <c r="AA16" s="194"/>
    </row>
    <row r="17" spans="1:27" ht="15.75" customHeight="1" x14ac:dyDescent="0.2">
      <c r="A17" s="192"/>
      <c r="B17" s="192"/>
      <c r="C17" s="192"/>
      <c r="D17" s="192"/>
      <c r="E17" s="192"/>
      <c r="F17" s="192"/>
      <c r="G17" s="192"/>
      <c r="H17" s="193"/>
      <c r="I17" s="192"/>
      <c r="J17" s="192"/>
      <c r="K17" s="192"/>
      <c r="L17" s="192"/>
      <c r="M17" s="192"/>
      <c r="N17" s="192"/>
      <c r="O17" s="192"/>
      <c r="P17" s="192"/>
      <c r="Q17" s="192"/>
      <c r="R17" s="192"/>
      <c r="S17" s="192"/>
      <c r="T17" s="192"/>
      <c r="U17" s="192"/>
      <c r="V17" s="192"/>
      <c r="W17" s="192"/>
      <c r="X17" s="192"/>
      <c r="Y17" s="194"/>
      <c r="Z17" s="194"/>
      <c r="AA17" s="194"/>
    </row>
    <row r="18" spans="1:27" ht="15.75" customHeight="1" x14ac:dyDescent="0.2">
      <c r="A18" s="192"/>
      <c r="B18" s="192"/>
      <c r="C18" s="192"/>
      <c r="D18" s="192"/>
      <c r="E18" s="192"/>
      <c r="F18" s="192"/>
      <c r="G18" s="192"/>
      <c r="H18" s="193"/>
      <c r="I18" s="192"/>
      <c r="J18" s="192"/>
      <c r="K18" s="192"/>
      <c r="L18" s="192"/>
      <c r="M18" s="192"/>
      <c r="N18" s="192"/>
      <c r="O18" s="192"/>
      <c r="P18" s="192"/>
      <c r="Q18" s="192"/>
      <c r="R18" s="192"/>
      <c r="S18" s="192"/>
      <c r="T18" s="192"/>
      <c r="U18" s="192"/>
      <c r="V18" s="192"/>
      <c r="W18" s="192"/>
      <c r="X18" s="192"/>
      <c r="Y18" s="194"/>
      <c r="Z18" s="194"/>
      <c r="AA18" s="194"/>
    </row>
    <row r="19" spans="1:27" ht="15.75" customHeight="1" x14ac:dyDescent="0.2">
      <c r="A19" s="192"/>
      <c r="B19" s="192"/>
      <c r="C19" s="192"/>
      <c r="D19" s="192"/>
      <c r="E19" s="192"/>
      <c r="F19" s="192"/>
      <c r="G19" s="192"/>
      <c r="H19" s="193"/>
      <c r="I19" s="192"/>
      <c r="J19" s="192"/>
      <c r="K19" s="192"/>
      <c r="L19" s="192"/>
      <c r="M19" s="192"/>
      <c r="N19" s="192"/>
      <c r="O19" s="192"/>
      <c r="P19" s="192"/>
      <c r="Q19" s="192"/>
      <c r="R19" s="192"/>
      <c r="S19" s="192"/>
      <c r="T19" s="192"/>
      <c r="U19" s="192"/>
      <c r="V19" s="192"/>
      <c r="W19" s="192"/>
      <c r="X19" s="192"/>
      <c r="Y19" s="194"/>
      <c r="Z19" s="194"/>
      <c r="AA19" s="194"/>
    </row>
    <row r="20" spans="1:27" ht="15.75" customHeight="1" x14ac:dyDescent="0.2">
      <c r="A20" s="192"/>
      <c r="B20" s="192"/>
      <c r="C20" s="192"/>
      <c r="D20" s="192"/>
      <c r="E20" s="192"/>
      <c r="F20" s="192"/>
      <c r="G20" s="192"/>
      <c r="H20" s="193"/>
      <c r="I20" s="192"/>
      <c r="J20" s="192"/>
      <c r="K20" s="192"/>
      <c r="L20" s="192"/>
      <c r="M20" s="192"/>
      <c r="N20" s="192"/>
      <c r="O20" s="192"/>
      <c r="P20" s="192"/>
      <c r="Q20" s="192"/>
      <c r="R20" s="192"/>
      <c r="S20" s="192"/>
      <c r="T20" s="192"/>
      <c r="U20" s="192"/>
      <c r="V20" s="192"/>
      <c r="W20" s="192"/>
      <c r="X20" s="192"/>
      <c r="Y20" s="194"/>
      <c r="Z20" s="194"/>
      <c r="AA20" s="194"/>
    </row>
    <row r="21" spans="1:27" ht="15.75" customHeight="1" x14ac:dyDescent="0.2">
      <c r="A21" s="192"/>
      <c r="B21" s="192"/>
      <c r="C21" s="192"/>
      <c r="D21" s="192"/>
      <c r="E21" s="192"/>
      <c r="F21" s="192"/>
      <c r="G21" s="192"/>
      <c r="H21" s="193"/>
      <c r="I21" s="192"/>
      <c r="J21" s="192"/>
      <c r="K21" s="192"/>
      <c r="L21" s="192"/>
      <c r="M21" s="192"/>
      <c r="N21" s="192"/>
      <c r="O21" s="192"/>
      <c r="P21" s="192"/>
      <c r="Q21" s="192"/>
      <c r="R21" s="192"/>
      <c r="S21" s="192"/>
      <c r="T21" s="192"/>
      <c r="U21" s="192"/>
      <c r="V21" s="192"/>
      <c r="W21" s="192"/>
      <c r="X21" s="192"/>
      <c r="Y21" s="194"/>
      <c r="Z21" s="194"/>
      <c r="AA21" s="194"/>
    </row>
    <row r="22" spans="1:27" ht="15.75" customHeight="1" x14ac:dyDescent="0.2">
      <c r="A22" s="192"/>
      <c r="B22" s="192"/>
      <c r="C22" s="192"/>
      <c r="D22" s="192"/>
      <c r="E22" s="192"/>
      <c r="F22" s="192"/>
      <c r="G22" s="192"/>
      <c r="H22" s="193"/>
      <c r="I22" s="192"/>
      <c r="J22" s="192"/>
      <c r="K22" s="192"/>
      <c r="L22" s="192"/>
      <c r="M22" s="192"/>
      <c r="N22" s="192"/>
      <c r="O22" s="192"/>
      <c r="P22" s="192"/>
      <c r="Q22" s="192"/>
      <c r="R22" s="192"/>
      <c r="S22" s="192"/>
      <c r="T22" s="192"/>
      <c r="U22" s="192"/>
      <c r="V22" s="192"/>
      <c r="W22" s="192"/>
      <c r="X22" s="192"/>
      <c r="Y22" s="194"/>
      <c r="Z22" s="194"/>
      <c r="AA22" s="194"/>
    </row>
    <row r="23" spans="1:27" ht="15.75" customHeight="1" x14ac:dyDescent="0.2">
      <c r="A23" s="192"/>
      <c r="B23" s="192"/>
      <c r="C23" s="192"/>
      <c r="D23" s="192"/>
      <c r="E23" s="192"/>
      <c r="F23" s="192"/>
      <c r="G23" s="192"/>
      <c r="H23" s="193"/>
      <c r="I23" s="192"/>
      <c r="J23" s="192"/>
      <c r="K23" s="192"/>
      <c r="L23" s="192"/>
      <c r="M23" s="192"/>
      <c r="N23" s="192"/>
      <c r="O23" s="192"/>
      <c r="P23" s="192"/>
      <c r="Q23" s="192"/>
      <c r="R23" s="192"/>
      <c r="S23" s="192"/>
      <c r="T23" s="192"/>
      <c r="U23" s="192"/>
      <c r="V23" s="192"/>
      <c r="W23" s="192"/>
      <c r="X23" s="192"/>
      <c r="Y23" s="194"/>
      <c r="Z23" s="194"/>
      <c r="AA23" s="194"/>
    </row>
    <row r="24" spans="1:27" ht="15.75" customHeight="1" x14ac:dyDescent="0.2">
      <c r="A24" s="192"/>
      <c r="B24" s="192"/>
      <c r="C24" s="192"/>
      <c r="D24" s="192"/>
      <c r="E24" s="192"/>
      <c r="F24" s="192"/>
      <c r="G24" s="192"/>
      <c r="H24" s="193"/>
      <c r="I24" s="192"/>
      <c r="J24" s="192"/>
      <c r="K24" s="192"/>
      <c r="L24" s="192"/>
      <c r="M24" s="192"/>
      <c r="N24" s="192"/>
      <c r="O24" s="192"/>
      <c r="P24" s="192"/>
      <c r="Q24" s="192"/>
      <c r="R24" s="192"/>
      <c r="S24" s="192"/>
      <c r="T24" s="192"/>
      <c r="U24" s="192"/>
      <c r="V24" s="192"/>
      <c r="W24" s="192"/>
      <c r="X24" s="192"/>
      <c r="Y24" s="194"/>
      <c r="Z24" s="194"/>
      <c r="AA24" s="194"/>
    </row>
    <row r="25" spans="1:27" ht="15.75" customHeight="1" x14ac:dyDescent="0.2">
      <c r="A25" s="192"/>
      <c r="B25" s="192"/>
      <c r="C25" s="192"/>
      <c r="D25" s="192"/>
      <c r="E25" s="192"/>
      <c r="F25" s="192"/>
      <c r="G25" s="192"/>
      <c r="H25" s="193"/>
      <c r="I25" s="192"/>
      <c r="J25" s="192"/>
      <c r="K25" s="192"/>
      <c r="L25" s="192"/>
      <c r="M25" s="192"/>
      <c r="N25" s="192"/>
      <c r="O25" s="192"/>
      <c r="P25" s="192"/>
      <c r="Q25" s="192"/>
      <c r="R25" s="192"/>
      <c r="S25" s="192"/>
      <c r="T25" s="192"/>
      <c r="U25" s="192"/>
      <c r="V25" s="192"/>
      <c r="W25" s="192"/>
      <c r="X25" s="192"/>
      <c r="Y25" s="194"/>
      <c r="Z25" s="194"/>
      <c r="AA25" s="194"/>
    </row>
    <row r="26" spans="1:27" ht="15.75" customHeight="1" x14ac:dyDescent="0.25">
      <c r="A26" s="192"/>
      <c r="C26" s="196" t="s">
        <v>31</v>
      </c>
      <c r="D26" s="197" t="s">
        <v>32</v>
      </c>
      <c r="E26" s="197" t="s">
        <v>33</v>
      </c>
      <c r="F26" s="197" t="s">
        <v>34</v>
      </c>
      <c r="G26" s="192"/>
      <c r="H26" s="193"/>
      <c r="I26" s="192"/>
      <c r="J26" s="192"/>
      <c r="K26" s="192"/>
      <c r="L26" s="192"/>
      <c r="M26" s="192"/>
      <c r="N26" s="192"/>
      <c r="O26" s="192"/>
      <c r="P26" s="192"/>
      <c r="Q26" s="192"/>
      <c r="R26" s="192"/>
      <c r="S26" s="192"/>
      <c r="T26" s="192"/>
      <c r="U26" s="192"/>
      <c r="V26" s="192"/>
      <c r="W26" s="192"/>
      <c r="X26" s="192"/>
      <c r="Y26" s="194"/>
      <c r="Z26" s="194"/>
      <c r="AA26" s="194"/>
    </row>
    <row r="27" spans="1:27" ht="15.75" customHeight="1" x14ac:dyDescent="0.2">
      <c r="A27" s="192"/>
      <c r="B27" s="198" t="s">
        <v>56</v>
      </c>
      <c r="C27" s="199" t="s">
        <v>57</v>
      </c>
      <c r="D27" s="199" t="s">
        <v>58</v>
      </c>
      <c r="E27" s="199" t="s">
        <v>59</v>
      </c>
      <c r="F27" s="200" t="s">
        <v>60</v>
      </c>
      <c r="G27" s="192"/>
      <c r="H27" s="193"/>
      <c r="I27" s="192"/>
      <c r="J27" s="192"/>
      <c r="K27" s="192"/>
      <c r="L27" s="192"/>
      <c r="M27" s="192"/>
      <c r="N27" s="192"/>
      <c r="O27" s="192"/>
      <c r="P27" s="192"/>
      <c r="Q27" s="192"/>
      <c r="R27" s="192"/>
      <c r="S27" s="192"/>
      <c r="T27" s="192"/>
      <c r="U27" s="192"/>
      <c r="V27" s="192"/>
      <c r="W27" s="192"/>
      <c r="X27" s="192"/>
      <c r="Y27" s="194"/>
      <c r="Z27" s="194"/>
      <c r="AA27" s="194"/>
    </row>
    <row r="28" spans="1:27" ht="15.75" customHeight="1" x14ac:dyDescent="0.2">
      <c r="A28" s="192"/>
      <c r="B28" s="201">
        <f ca="1">' Formulas_TODwise Consumption R'!E3</f>
        <v>46235</v>
      </c>
      <c r="C28" s="202">
        <f ca="1">HLOOKUP($H$1,TOD!$C$5:$G$36,ROW(A2),0)</f>
        <v>0</v>
      </c>
      <c r="D28" s="202">
        <f ca="1">HLOOKUP($H$1,TOD!$C$38:$G$70,ROW(A3),0)</f>
        <v>0</v>
      </c>
      <c r="E28" s="203">
        <f ca="1">HLOOKUP($H$1,TOD!$C$73:$G$105,ROW(A3),0)</f>
        <v>0</v>
      </c>
      <c r="F28" s="204">
        <f ca="1">HLOOKUP($H$1,TOD!$C$107:$G$139,ROW(A3),0)</f>
        <v>0</v>
      </c>
      <c r="G28" s="192"/>
      <c r="H28" s="193"/>
      <c r="I28" s="192"/>
      <c r="J28" s="192"/>
      <c r="K28" s="192"/>
      <c r="L28" s="192"/>
      <c r="M28" s="192"/>
      <c r="N28" s="192"/>
      <c r="O28" s="192"/>
      <c r="P28" s="192"/>
      <c r="Q28" s="192"/>
      <c r="R28" s="192"/>
      <c r="S28" s="192"/>
      <c r="T28" s="192"/>
      <c r="U28" s="192"/>
      <c r="V28" s="192"/>
      <c r="W28" s="192"/>
      <c r="X28" s="192"/>
      <c r="Y28" s="194"/>
      <c r="Z28" s="194"/>
      <c r="AA28" s="194"/>
    </row>
    <row r="29" spans="1:27" ht="15.75" customHeight="1" x14ac:dyDescent="0.2">
      <c r="A29" s="192"/>
      <c r="B29" s="205">
        <f t="shared" ref="B29:B58" ca="1" si="0">B28+1</f>
        <v>46236</v>
      </c>
      <c r="C29" s="206">
        <f ca="1">HLOOKUP($H$1,TOD!$C$5:$G$36,ROW(A3),0)</f>
        <v>0</v>
      </c>
      <c r="D29" s="206">
        <f ca="1">HLOOKUP($H$1,TOD!$C$38:$G$70,ROW(A4),0)</f>
        <v>0</v>
      </c>
      <c r="E29" s="207">
        <f ca="1">HLOOKUP($H$1,TOD!$C$73:$G$105,ROW(A4),0)</f>
        <v>81.300390624994179</v>
      </c>
      <c r="F29" s="208">
        <f ca="1">HLOOKUP($H$1,TOD!$C$107:$G$139,ROW(A4),0)</f>
        <v>126.27773437500582</v>
      </c>
      <c r="G29" s="192"/>
      <c r="H29" s="193"/>
      <c r="I29" s="192"/>
      <c r="J29" s="192"/>
      <c r="K29" s="192"/>
      <c r="L29" s="192"/>
      <c r="M29" s="192"/>
      <c r="N29" s="192"/>
      <c r="O29" s="192"/>
      <c r="P29" s="192"/>
      <c r="Q29" s="192"/>
      <c r="R29" s="192"/>
      <c r="S29" s="192"/>
      <c r="T29" s="192"/>
      <c r="U29" s="192"/>
      <c r="V29" s="192"/>
      <c r="W29" s="192"/>
      <c r="X29" s="192"/>
      <c r="Y29" s="194"/>
      <c r="Z29" s="194"/>
      <c r="AA29" s="194"/>
    </row>
    <row r="30" spans="1:27" ht="15.75" customHeight="1" x14ac:dyDescent="0.2">
      <c r="A30" s="192"/>
      <c r="B30" s="205">
        <f t="shared" ca="1" si="0"/>
        <v>46237</v>
      </c>
      <c r="C30" s="206">
        <f ca="1">HLOOKUP($H$1,TOD!$C$5:$G$36,ROW(A4),0)</f>
        <v>0</v>
      </c>
      <c r="D30" s="206">
        <f ca="1">HLOOKUP($H$1,TOD!$C$38:$G$70,ROW(A5),0)</f>
        <v>0</v>
      </c>
      <c r="E30" s="207">
        <f ca="1">HLOOKUP($H$1,TOD!$C$73:$G$105,ROW(A5),0)</f>
        <v>0</v>
      </c>
      <c r="F30" s="208">
        <f ca="1">HLOOKUP($H$1,TOD!$C$107:$G$139,ROW(A5),0)</f>
        <v>0</v>
      </c>
      <c r="G30" s="192"/>
      <c r="H30" s="193"/>
      <c r="I30" s="192"/>
      <c r="J30" s="192"/>
      <c r="K30" s="192"/>
      <c r="L30" s="192"/>
      <c r="M30" s="192"/>
      <c r="N30" s="192"/>
      <c r="O30" s="192"/>
      <c r="P30" s="192"/>
      <c r="Q30" s="192"/>
      <c r="R30" s="192"/>
      <c r="S30" s="192"/>
      <c r="T30" s="192"/>
      <c r="U30" s="192"/>
      <c r="V30" s="192"/>
      <c r="W30" s="192"/>
      <c r="X30" s="192"/>
      <c r="Y30" s="194"/>
      <c r="Z30" s="194"/>
      <c r="AA30" s="194"/>
    </row>
    <row r="31" spans="1:27" ht="15.75" customHeight="1" x14ac:dyDescent="0.2">
      <c r="A31" s="192"/>
      <c r="B31" s="205">
        <f t="shared" ca="1" si="0"/>
        <v>46238</v>
      </c>
      <c r="C31" s="206">
        <f ca="1">HLOOKUP($H$1,TOD!$C$5:$G$36,ROW(A5),0)</f>
        <v>0</v>
      </c>
      <c r="D31" s="206">
        <f ca="1">HLOOKUP($H$1,TOD!$C$38:$G$70,ROW(A6),0)</f>
        <v>0</v>
      </c>
      <c r="E31" s="207">
        <f ca="1">HLOOKUP($H$1,TOD!$C$73:$G$105,ROW(A6),0)</f>
        <v>0</v>
      </c>
      <c r="F31" s="208">
        <f ca="1">HLOOKUP($H$1,TOD!$C$107:$G$139,ROW(A6),0)</f>
        <v>0</v>
      </c>
      <c r="G31" s="192"/>
      <c r="H31" s="193"/>
      <c r="I31" s="192"/>
      <c r="J31" s="192"/>
      <c r="K31" s="192"/>
      <c r="L31" s="192"/>
      <c r="M31" s="192"/>
      <c r="N31" s="192"/>
      <c r="O31" s="192"/>
      <c r="P31" s="192"/>
      <c r="Q31" s="192"/>
      <c r="R31" s="192"/>
      <c r="S31" s="192"/>
      <c r="T31" s="192"/>
      <c r="U31" s="192"/>
      <c r="V31" s="192"/>
      <c r="W31" s="192"/>
      <c r="X31" s="192"/>
      <c r="Y31" s="194"/>
      <c r="Z31" s="194"/>
      <c r="AA31" s="194"/>
    </row>
    <row r="32" spans="1:27" ht="15.75" customHeight="1" x14ac:dyDescent="0.2">
      <c r="A32" s="192"/>
      <c r="B32" s="205">
        <f t="shared" ca="1" si="0"/>
        <v>46239</v>
      </c>
      <c r="C32" s="206">
        <f ca="1">HLOOKUP($H$1,TOD!$C$5:$G$36,ROW(A6),0)</f>
        <v>0</v>
      </c>
      <c r="D32" s="206">
        <f ca="1">HLOOKUP($H$1,TOD!$C$38:$G$70,ROW(A7),0)</f>
        <v>0</v>
      </c>
      <c r="E32" s="207">
        <f ca="1">HLOOKUP($H$1,TOD!$C$73:$G$105,ROW(A7),0)</f>
        <v>36</v>
      </c>
      <c r="F32" s="208">
        <f ca="1">HLOOKUP($H$1,TOD!$C$107:$G$139,ROW(A7),0)</f>
        <v>0</v>
      </c>
      <c r="G32" s="192"/>
      <c r="H32" s="193"/>
      <c r="I32" s="192"/>
      <c r="J32" s="192"/>
      <c r="K32" s="192"/>
      <c r="L32" s="192"/>
      <c r="M32" s="192"/>
      <c r="N32" s="192"/>
      <c r="O32" s="192"/>
      <c r="P32" s="192"/>
      <c r="Q32" s="192"/>
      <c r="R32" s="192"/>
      <c r="S32" s="192"/>
      <c r="T32" s="192"/>
      <c r="U32" s="192"/>
      <c r="V32" s="192"/>
      <c r="W32" s="192"/>
      <c r="X32" s="192"/>
      <c r="Y32" s="194"/>
      <c r="Z32" s="194"/>
      <c r="AA32" s="194"/>
    </row>
    <row r="33" spans="1:27" ht="15.75" customHeight="1" x14ac:dyDescent="0.2">
      <c r="A33" s="192"/>
      <c r="B33" s="205">
        <f t="shared" ca="1" si="0"/>
        <v>46240</v>
      </c>
      <c r="C33" s="206">
        <f ca="1">HLOOKUP($H$1,TOD!$C$5:$G$36,ROW(A7),0)</f>
        <v>0</v>
      </c>
      <c r="D33" s="206">
        <f ca="1">HLOOKUP($H$1,TOD!$C$38:$G$70,ROW(A8),0)</f>
        <v>0</v>
      </c>
      <c r="E33" s="207">
        <f ca="1">HLOOKUP($H$1,TOD!$C$73:$G$105,ROW(A8),0)</f>
        <v>0</v>
      </c>
      <c r="F33" s="208">
        <f ca="1">HLOOKUP($H$1,TOD!$C$107:$G$139,ROW(A8),0)</f>
        <v>0</v>
      </c>
      <c r="G33" s="192"/>
      <c r="H33" s="193"/>
      <c r="I33" s="192"/>
      <c r="J33" s="192"/>
      <c r="K33" s="192"/>
      <c r="L33" s="192"/>
      <c r="M33" s="192"/>
      <c r="N33" s="192"/>
      <c r="O33" s="192"/>
      <c r="P33" s="192"/>
      <c r="Q33" s="192"/>
      <c r="R33" s="192"/>
      <c r="S33" s="192"/>
      <c r="T33" s="192"/>
      <c r="U33" s="192"/>
      <c r="V33" s="192"/>
      <c r="W33" s="192"/>
      <c r="X33" s="192"/>
      <c r="Y33" s="194"/>
      <c r="Z33" s="194"/>
      <c r="AA33" s="194"/>
    </row>
    <row r="34" spans="1:27" ht="15.75" customHeight="1" x14ac:dyDescent="0.2">
      <c r="A34" s="192"/>
      <c r="B34" s="205">
        <f t="shared" ca="1" si="0"/>
        <v>46241</v>
      </c>
      <c r="C34" s="206">
        <f ca="1">HLOOKUP($H$1,TOD!$C$5:$G$36,ROW(A8),0)</f>
        <v>0</v>
      </c>
      <c r="D34" s="206">
        <f ca="1">HLOOKUP($H$1,TOD!$C$38:$G$70,ROW(A9),0)</f>
        <v>0</v>
      </c>
      <c r="E34" s="207">
        <f ca="1">HLOOKUP($H$1,TOD!$C$73:$G$105,ROW(A9),0)</f>
        <v>0</v>
      </c>
      <c r="F34" s="208">
        <f ca="1">HLOOKUP($H$1,TOD!$C$107:$G$139,ROW(A9),0)</f>
        <v>0</v>
      </c>
      <c r="G34" s="192"/>
      <c r="H34" s="193"/>
      <c r="I34" s="192"/>
      <c r="J34" s="192"/>
      <c r="K34" s="192"/>
      <c r="L34" s="192"/>
      <c r="M34" s="192"/>
      <c r="N34" s="192"/>
      <c r="O34" s="192"/>
      <c r="P34" s="192"/>
      <c r="Q34" s="192"/>
      <c r="R34" s="192"/>
      <c r="S34" s="192"/>
      <c r="T34" s="192"/>
      <c r="U34" s="192"/>
      <c r="V34" s="192"/>
      <c r="W34" s="192"/>
      <c r="X34" s="192"/>
      <c r="Y34" s="194"/>
      <c r="Z34" s="194"/>
      <c r="AA34" s="194"/>
    </row>
    <row r="35" spans="1:27" ht="15.75" customHeight="1" x14ac:dyDescent="0.2">
      <c r="A35" s="192"/>
      <c r="B35" s="205">
        <f t="shared" ca="1" si="0"/>
        <v>46242</v>
      </c>
      <c r="C35" s="206">
        <f ca="1">HLOOKUP($H$1,TOD!$C$5:$G$36,ROW(A9),0)</f>
        <v>0</v>
      </c>
      <c r="D35" s="206">
        <f ca="1">HLOOKUP($H$1,TOD!$C$38:$G$70,ROW(A10),0)</f>
        <v>30.98046875</v>
      </c>
      <c r="E35" s="207">
        <f ca="1">HLOOKUP($H$1,TOD!$C$73:$G$105,ROW(A10),0)</f>
        <v>50.84765625</v>
      </c>
      <c r="F35" s="208">
        <f ca="1">HLOOKUP($H$1,TOD!$C$107:$G$139,ROW(A10),0)</f>
        <v>0</v>
      </c>
      <c r="G35" s="192"/>
      <c r="H35" s="193"/>
      <c r="I35" s="192"/>
      <c r="J35" s="192"/>
      <c r="K35" s="192"/>
      <c r="L35" s="192"/>
      <c r="M35" s="192"/>
      <c r="N35" s="192"/>
      <c r="O35" s="192"/>
      <c r="P35" s="192"/>
      <c r="Q35" s="192"/>
      <c r="R35" s="192"/>
      <c r="S35" s="192"/>
      <c r="T35" s="192"/>
      <c r="U35" s="192"/>
      <c r="V35" s="192"/>
      <c r="W35" s="192"/>
      <c r="X35" s="192"/>
      <c r="Y35" s="194"/>
      <c r="Z35" s="194"/>
      <c r="AA35" s="194"/>
    </row>
    <row r="36" spans="1:27" ht="15.75" customHeight="1" x14ac:dyDescent="0.2">
      <c r="A36" s="192"/>
      <c r="B36" s="205">
        <f t="shared" ca="1" si="0"/>
        <v>46243</v>
      </c>
      <c r="C36" s="206">
        <f ca="1">HLOOKUP($H$1,TOD!$C$5:$G$36,ROW(A10),0)</f>
        <v>0</v>
      </c>
      <c r="D36" s="206">
        <f ca="1">HLOOKUP($H$1,TOD!$C$38:$G$70,ROW(A11),0)</f>
        <v>2.8984375</v>
      </c>
      <c r="E36" s="207">
        <f ca="1">HLOOKUP($H$1,TOD!$C$73:$G$105,ROW(A11),0)</f>
        <v>0</v>
      </c>
      <c r="F36" s="208">
        <f ca="1">HLOOKUP($H$1,TOD!$C$107:$G$139,ROW(A11),0)</f>
        <v>0</v>
      </c>
      <c r="G36" s="192"/>
      <c r="H36" s="193"/>
      <c r="I36" s="192"/>
      <c r="J36" s="192"/>
      <c r="K36" s="192"/>
      <c r="L36" s="192"/>
      <c r="M36" s="192"/>
      <c r="N36" s="192"/>
      <c r="O36" s="192"/>
      <c r="P36" s="192"/>
      <c r="Q36" s="192"/>
      <c r="R36" s="192"/>
      <c r="S36" s="192"/>
      <c r="T36" s="192"/>
      <c r="U36" s="192"/>
      <c r="V36" s="192"/>
      <c r="W36" s="192"/>
      <c r="X36" s="192"/>
      <c r="Y36" s="194"/>
      <c r="Z36" s="194"/>
      <c r="AA36" s="194"/>
    </row>
    <row r="37" spans="1:27" ht="15.75" customHeight="1" x14ac:dyDescent="0.2">
      <c r="A37" s="192"/>
      <c r="B37" s="205">
        <f t="shared" ca="1" si="0"/>
        <v>46244</v>
      </c>
      <c r="C37" s="206">
        <f ca="1">HLOOKUP($H$1,TOD!$C$5:$G$36,ROW(A11),0)</f>
        <v>0</v>
      </c>
      <c r="D37" s="206">
        <f ca="1">HLOOKUP($H$1,TOD!$C$38:$G$70,ROW(A12),0)</f>
        <v>0</v>
      </c>
      <c r="E37" s="207">
        <f ca="1">HLOOKUP($H$1,TOD!$C$73:$G$105,ROW(A12),0)</f>
        <v>0</v>
      </c>
      <c r="F37" s="208">
        <f ca="1">HLOOKUP($H$1,TOD!$C$107:$G$139,ROW(A12),0)</f>
        <v>0</v>
      </c>
      <c r="G37" s="192"/>
      <c r="H37" s="193"/>
      <c r="I37" s="192"/>
      <c r="J37" s="192"/>
      <c r="K37" s="192"/>
      <c r="L37" s="192"/>
      <c r="M37" s="192"/>
      <c r="N37" s="192"/>
      <c r="O37" s="192"/>
      <c r="P37" s="192"/>
      <c r="Q37" s="192"/>
      <c r="R37" s="192"/>
      <c r="S37" s="192"/>
      <c r="T37" s="192"/>
      <c r="U37" s="192"/>
      <c r="V37" s="192"/>
      <c r="W37" s="192"/>
      <c r="X37" s="192"/>
      <c r="Y37" s="194"/>
      <c r="Z37" s="194"/>
      <c r="AA37" s="194"/>
    </row>
    <row r="38" spans="1:27" ht="15.75" customHeight="1" x14ac:dyDescent="0.2">
      <c r="A38" s="192"/>
      <c r="B38" s="205">
        <f t="shared" ca="1" si="0"/>
        <v>46245</v>
      </c>
      <c r="C38" s="206">
        <f ca="1">HLOOKUP($H$1,TOD!$C$5:$G$36,ROW(A12),0)</f>
        <v>0</v>
      </c>
      <c r="D38" s="206">
        <f ca="1">HLOOKUP($H$1,TOD!$C$38:$G$70,ROW(A13),0)</f>
        <v>0</v>
      </c>
      <c r="E38" s="207">
        <f ca="1">HLOOKUP($H$1,TOD!$C$73:$G$105,ROW(A13),0)</f>
        <v>0</v>
      </c>
      <c r="F38" s="208">
        <f ca="1">HLOOKUP($H$1,TOD!$C$107:$G$139,ROW(A13),0)</f>
        <v>0</v>
      </c>
      <c r="G38" s="192"/>
      <c r="H38" s="193"/>
      <c r="I38" s="192"/>
      <c r="J38" s="192"/>
      <c r="K38" s="192"/>
      <c r="L38" s="192"/>
      <c r="M38" s="192"/>
      <c r="N38" s="192"/>
      <c r="O38" s="192"/>
      <c r="P38" s="192"/>
      <c r="Q38" s="192"/>
      <c r="R38" s="192"/>
      <c r="S38" s="192"/>
      <c r="T38" s="192"/>
      <c r="U38" s="192"/>
      <c r="V38" s="192"/>
      <c r="W38" s="192"/>
      <c r="X38" s="192"/>
      <c r="Y38" s="194"/>
      <c r="Z38" s="194"/>
      <c r="AA38" s="194"/>
    </row>
    <row r="39" spans="1:27" ht="15.75" customHeight="1" x14ac:dyDescent="0.2">
      <c r="A39" s="192"/>
      <c r="B39" s="205">
        <f t="shared" ca="1" si="0"/>
        <v>46246</v>
      </c>
      <c r="C39" s="206">
        <f ca="1">HLOOKUP($H$1,TOD!$C$5:$G$36,ROW(A13),0)</f>
        <v>0</v>
      </c>
      <c r="D39" s="206">
        <f ca="1">HLOOKUP($H$1,TOD!$C$38:$G$70,ROW(A14),0)</f>
        <v>519.09375</v>
      </c>
      <c r="E39" s="207">
        <f ca="1">HLOOKUP($H$1,TOD!$C$73:$G$105,ROW(A14),0)</f>
        <v>0</v>
      </c>
      <c r="F39" s="208">
        <f ca="1">HLOOKUP($H$1,TOD!$C$107:$G$139,ROW(A14),0)</f>
        <v>0</v>
      </c>
      <c r="G39" s="192"/>
      <c r="H39" s="193"/>
      <c r="I39" s="192"/>
      <c r="J39" s="192"/>
      <c r="K39" s="192"/>
      <c r="L39" s="192"/>
      <c r="M39" s="192"/>
      <c r="N39" s="192"/>
      <c r="O39" s="192"/>
      <c r="P39" s="192"/>
      <c r="Q39" s="192"/>
      <c r="R39" s="192"/>
      <c r="S39" s="192"/>
      <c r="T39" s="192"/>
      <c r="U39" s="192"/>
      <c r="V39" s="192"/>
      <c r="W39" s="192"/>
      <c r="X39" s="192"/>
      <c r="Y39" s="194"/>
      <c r="Z39" s="194"/>
      <c r="AA39" s="194"/>
    </row>
    <row r="40" spans="1:27" ht="15.75" customHeight="1" x14ac:dyDescent="0.2">
      <c r="A40" s="192"/>
      <c r="B40" s="205">
        <f t="shared" ca="1" si="0"/>
        <v>46247</v>
      </c>
      <c r="C40" s="206">
        <f ca="1">HLOOKUP($H$1,TOD!$C$5:$G$36,ROW(A14),0)</f>
        <v>0</v>
      </c>
      <c r="D40" s="206">
        <f ca="1">HLOOKUP($H$1,TOD!$C$38:$G$70,ROW(A15),0)</f>
        <v>0</v>
      </c>
      <c r="E40" s="207">
        <f ca="1">HLOOKUP($H$1,TOD!$C$73:$G$105,ROW(A15),0)</f>
        <v>0</v>
      </c>
      <c r="F40" s="208">
        <f ca="1">HLOOKUP($H$1,TOD!$C$107:$G$139,ROW(A15),0)</f>
        <v>0</v>
      </c>
      <c r="G40" s="192"/>
      <c r="H40" s="193"/>
      <c r="I40" s="192"/>
      <c r="J40" s="192"/>
      <c r="K40" s="192"/>
      <c r="L40" s="192"/>
      <c r="M40" s="192"/>
      <c r="N40" s="192"/>
      <c r="O40" s="192"/>
      <c r="P40" s="192"/>
      <c r="Q40" s="192"/>
      <c r="R40" s="192"/>
      <c r="S40" s="192"/>
      <c r="T40" s="192"/>
      <c r="U40" s="192"/>
      <c r="V40" s="192"/>
      <c r="W40" s="192"/>
      <c r="X40" s="192"/>
      <c r="Y40" s="194"/>
      <c r="Z40" s="194"/>
      <c r="AA40" s="194"/>
    </row>
    <row r="41" spans="1:27" ht="15.75" customHeight="1" x14ac:dyDescent="0.2">
      <c r="A41" s="192"/>
      <c r="B41" s="205">
        <f t="shared" ca="1" si="0"/>
        <v>46248</v>
      </c>
      <c r="C41" s="206">
        <f ca="1">HLOOKUP($H$1,TOD!$C$5:$G$36,ROW(A15),0)</f>
        <v>0</v>
      </c>
      <c r="D41" s="206">
        <f ca="1">HLOOKUP($H$1,TOD!$C$38:$G$70,ROW(A16),0)</f>
        <v>0</v>
      </c>
      <c r="E41" s="207">
        <f ca="1">HLOOKUP($H$1,TOD!$C$73:$G$105,ROW(A16),0)</f>
        <v>0</v>
      </c>
      <c r="F41" s="208">
        <f ca="1">HLOOKUP($H$1,TOD!$C$107:$G$139,ROW(A16),0)</f>
        <v>0</v>
      </c>
      <c r="G41" s="192"/>
      <c r="H41" s="193"/>
      <c r="I41" s="192"/>
      <c r="J41" s="192"/>
      <c r="K41" s="192"/>
      <c r="L41" s="192"/>
      <c r="M41" s="192"/>
      <c r="N41" s="192"/>
      <c r="O41" s="192"/>
      <c r="P41" s="192"/>
      <c r="Q41" s="192"/>
      <c r="R41" s="192"/>
      <c r="S41" s="192"/>
      <c r="T41" s="192"/>
      <c r="U41" s="192"/>
      <c r="V41" s="192"/>
      <c r="W41" s="192"/>
      <c r="X41" s="192"/>
      <c r="Y41" s="194"/>
      <c r="Z41" s="194"/>
      <c r="AA41" s="194"/>
    </row>
    <row r="42" spans="1:27" ht="15.75" customHeight="1" x14ac:dyDescent="0.2">
      <c r="A42" s="192"/>
      <c r="B42" s="205">
        <f t="shared" ca="1" si="0"/>
        <v>46249</v>
      </c>
      <c r="C42" s="206">
        <f ca="1">HLOOKUP($H$1,TOD!$C$5:$G$36,ROW(A16),0)</f>
        <v>0</v>
      </c>
      <c r="D42" s="206">
        <f ca="1">HLOOKUP($H$1,TOD!$C$38:$G$70,ROW(A17),0)</f>
        <v>0</v>
      </c>
      <c r="E42" s="207">
        <f ca="1">HLOOKUP($H$1,TOD!$C$73:$G$105,ROW(A17),0)</f>
        <v>0</v>
      </c>
      <c r="F42" s="208">
        <f ca="1">HLOOKUP($H$1,TOD!$C$107:$G$139,ROW(A17),0)</f>
        <v>0</v>
      </c>
      <c r="G42" s="192"/>
      <c r="H42" s="193"/>
      <c r="I42" s="192"/>
      <c r="J42" s="192"/>
      <c r="K42" s="192"/>
      <c r="L42" s="192"/>
      <c r="M42" s="192"/>
      <c r="N42" s="192"/>
      <c r="O42" s="192"/>
      <c r="P42" s="192"/>
      <c r="Q42" s="192"/>
      <c r="R42" s="192"/>
      <c r="S42" s="192"/>
      <c r="T42" s="192"/>
      <c r="U42" s="192"/>
      <c r="V42" s="192"/>
      <c r="W42" s="192"/>
      <c r="X42" s="192"/>
      <c r="Y42" s="194"/>
      <c r="Z42" s="194"/>
      <c r="AA42" s="194"/>
    </row>
    <row r="43" spans="1:27" ht="15.75" customHeight="1" x14ac:dyDescent="0.2">
      <c r="A43" s="192"/>
      <c r="B43" s="205">
        <f t="shared" ca="1" si="0"/>
        <v>46250</v>
      </c>
      <c r="C43" s="206">
        <f ca="1">HLOOKUP($H$1,TOD!$C$5:$G$36,ROW(A17),0)</f>
        <v>0</v>
      </c>
      <c r="D43" s="206">
        <f ca="1">HLOOKUP($H$1,TOD!$C$38:$G$70,ROW(A18),0)</f>
        <v>0</v>
      </c>
      <c r="E43" s="207">
        <f ca="1">HLOOKUP($H$1,TOD!$C$73:$G$105,ROW(A18),0)</f>
        <v>0</v>
      </c>
      <c r="F43" s="208">
        <f ca="1">HLOOKUP($H$1,TOD!$C$107:$G$139,ROW(A18),0)</f>
        <v>0</v>
      </c>
      <c r="G43" s="192"/>
      <c r="H43" s="193"/>
      <c r="I43" s="192"/>
      <c r="J43" s="192"/>
      <c r="K43" s="192"/>
      <c r="L43" s="192"/>
      <c r="M43" s="192"/>
      <c r="N43" s="192"/>
      <c r="O43" s="192"/>
      <c r="P43" s="192"/>
      <c r="Q43" s="192"/>
      <c r="R43" s="192"/>
      <c r="S43" s="192"/>
      <c r="T43" s="192"/>
      <c r="U43" s="192"/>
      <c r="V43" s="192"/>
      <c r="W43" s="192"/>
      <c r="X43" s="192"/>
      <c r="Y43" s="194"/>
      <c r="Z43" s="194"/>
      <c r="AA43" s="194"/>
    </row>
    <row r="44" spans="1:27" ht="15.75" customHeight="1" x14ac:dyDescent="0.2">
      <c r="A44" s="192"/>
      <c r="B44" s="205">
        <f t="shared" ca="1" si="0"/>
        <v>46251</v>
      </c>
      <c r="C44" s="206">
        <f ca="1">HLOOKUP($H$1,TOD!$C$5:$G$36,ROW(A18),0)</f>
        <v>0</v>
      </c>
      <c r="D44" s="206">
        <f ca="1">HLOOKUP($H$1,TOD!$C$38:$G$70,ROW(A19),0)</f>
        <v>0</v>
      </c>
      <c r="E44" s="207">
        <f ca="1">HLOOKUP($H$1,TOD!$C$73:$G$105,ROW(A19),0)</f>
        <v>0</v>
      </c>
      <c r="F44" s="208">
        <f ca="1">HLOOKUP($H$1,TOD!$C$107:$G$139,ROW(A19),0)</f>
        <v>0</v>
      </c>
      <c r="G44" s="192"/>
      <c r="H44" s="193"/>
      <c r="I44" s="192"/>
      <c r="J44" s="192"/>
      <c r="K44" s="192"/>
      <c r="L44" s="192"/>
      <c r="M44" s="192"/>
      <c r="N44" s="192"/>
      <c r="O44" s="192"/>
      <c r="P44" s="192"/>
      <c r="Q44" s="192"/>
      <c r="R44" s="192"/>
      <c r="S44" s="192"/>
      <c r="T44" s="192"/>
      <c r="U44" s="192"/>
      <c r="V44" s="192"/>
      <c r="W44" s="192"/>
      <c r="X44" s="192"/>
      <c r="Y44" s="194"/>
      <c r="Z44" s="194"/>
      <c r="AA44" s="194"/>
    </row>
    <row r="45" spans="1:27" ht="15.75" customHeight="1" x14ac:dyDescent="0.2">
      <c r="A45" s="192"/>
      <c r="B45" s="205">
        <f t="shared" ca="1" si="0"/>
        <v>46252</v>
      </c>
      <c r="C45" s="206">
        <f ca="1">HLOOKUP($H$1,TOD!$C$5:$G$36,ROW(A19),0)</f>
        <v>0</v>
      </c>
      <c r="D45" s="206">
        <f ca="1">HLOOKUP($H$1,TOD!$C$38:$G$70,ROW(A20),0)</f>
        <v>0</v>
      </c>
      <c r="E45" s="207">
        <f ca="1">HLOOKUP($H$1,TOD!$C$73:$G$105,ROW(A20),0)</f>
        <v>0</v>
      </c>
      <c r="F45" s="208">
        <f ca="1">HLOOKUP($H$1,TOD!$C$107:$G$139,ROW(A20),0)</f>
        <v>0</v>
      </c>
      <c r="G45" s="192"/>
      <c r="H45" s="193"/>
      <c r="I45" s="192"/>
      <c r="J45" s="192"/>
      <c r="K45" s="192"/>
      <c r="L45" s="192"/>
      <c r="M45" s="192"/>
      <c r="N45" s="192"/>
      <c r="O45" s="192"/>
      <c r="P45" s="192"/>
      <c r="Q45" s="192"/>
      <c r="R45" s="192"/>
      <c r="S45" s="192"/>
      <c r="T45" s="192"/>
      <c r="U45" s="192"/>
      <c r="V45" s="192"/>
      <c r="W45" s="192"/>
      <c r="X45" s="192"/>
      <c r="Y45" s="194"/>
      <c r="Z45" s="194"/>
      <c r="AA45" s="194"/>
    </row>
    <row r="46" spans="1:27" ht="15.75" customHeight="1" x14ac:dyDescent="0.2">
      <c r="A46" s="192"/>
      <c r="B46" s="205">
        <f t="shared" ca="1" si="0"/>
        <v>46253</v>
      </c>
      <c r="C46" s="206">
        <f ca="1">HLOOKUP($H$1,TOD!$C$5:$G$36,ROW(A20),0)</f>
        <v>0</v>
      </c>
      <c r="D46" s="206">
        <f ca="1">HLOOKUP($H$1,TOD!$C$38:$G$70,ROW(A21),0)</f>
        <v>0</v>
      </c>
      <c r="E46" s="207">
        <f ca="1">HLOOKUP($H$1,TOD!$C$73:$G$105,ROW(A21),0)</f>
        <v>0</v>
      </c>
      <c r="F46" s="208">
        <f ca="1">HLOOKUP($H$1,TOD!$C$107:$G$139,ROW(A21),0)</f>
        <v>0</v>
      </c>
      <c r="G46" s="192"/>
      <c r="H46" s="193"/>
      <c r="I46" s="192"/>
      <c r="J46" s="192"/>
      <c r="K46" s="192"/>
      <c r="L46" s="192"/>
      <c r="M46" s="192"/>
      <c r="N46" s="192"/>
      <c r="O46" s="192"/>
      <c r="P46" s="192"/>
      <c r="Q46" s="192"/>
      <c r="R46" s="192"/>
      <c r="S46" s="192"/>
      <c r="T46" s="192"/>
      <c r="U46" s="192"/>
      <c r="V46" s="192"/>
      <c r="W46" s="192"/>
      <c r="X46" s="192"/>
      <c r="Y46" s="194"/>
      <c r="Z46" s="194"/>
      <c r="AA46" s="194"/>
    </row>
    <row r="47" spans="1:27" ht="15.75" customHeight="1" x14ac:dyDescent="0.2">
      <c r="A47" s="192"/>
      <c r="B47" s="205">
        <f t="shared" ca="1" si="0"/>
        <v>46254</v>
      </c>
      <c r="C47" s="206">
        <f ca="1">HLOOKUP($H$1,TOD!$C$5:$G$36,ROW(A21),0)</f>
        <v>0</v>
      </c>
      <c r="D47" s="206">
        <f ca="1">HLOOKUP($H$1,TOD!$C$38:$G$70,ROW(A22),0)</f>
        <v>0</v>
      </c>
      <c r="E47" s="207">
        <f ca="1">HLOOKUP($H$1,TOD!$C$73:$G$105,ROW(A22),0)</f>
        <v>0</v>
      </c>
      <c r="F47" s="208">
        <f ca="1">HLOOKUP($H$1,TOD!$C$107:$G$139,ROW(A22),0)</f>
        <v>0</v>
      </c>
      <c r="G47" s="192"/>
      <c r="H47" s="193"/>
      <c r="I47" s="192"/>
      <c r="J47" s="192"/>
      <c r="K47" s="192"/>
      <c r="L47" s="192"/>
      <c r="M47" s="192"/>
      <c r="N47" s="192"/>
      <c r="O47" s="192"/>
      <c r="P47" s="192"/>
      <c r="Q47" s="192"/>
      <c r="R47" s="192"/>
      <c r="S47" s="192"/>
      <c r="T47" s="192"/>
      <c r="U47" s="192"/>
      <c r="V47" s="192"/>
      <c r="W47" s="192"/>
      <c r="X47" s="192"/>
      <c r="Y47" s="194"/>
      <c r="Z47" s="194"/>
      <c r="AA47" s="194"/>
    </row>
    <row r="48" spans="1:27" ht="15.75" customHeight="1" x14ac:dyDescent="0.2">
      <c r="A48" s="192"/>
      <c r="B48" s="205">
        <f t="shared" ca="1" si="0"/>
        <v>46255</v>
      </c>
      <c r="C48" s="206">
        <f ca="1">HLOOKUP($H$1,TOD!$C$5:$G$36,ROW(A22),0)</f>
        <v>0</v>
      </c>
      <c r="D48" s="206">
        <f ca="1">HLOOKUP($H$1,TOD!$C$38:$G$70,ROW(A23),0)</f>
        <v>0</v>
      </c>
      <c r="E48" s="207">
        <f ca="1">HLOOKUP($H$1,TOD!$C$73:$G$105,ROW(A23),0)</f>
        <v>0</v>
      </c>
      <c r="F48" s="208">
        <f ca="1">HLOOKUP($H$1,TOD!$C$107:$G$139,ROW(A23),0)</f>
        <v>0</v>
      </c>
      <c r="G48" s="192"/>
      <c r="H48" s="193"/>
      <c r="I48" s="192"/>
      <c r="J48" s="192"/>
      <c r="K48" s="192"/>
      <c r="L48" s="192"/>
      <c r="M48" s="192"/>
      <c r="N48" s="192"/>
      <c r="O48" s="192"/>
      <c r="P48" s="192"/>
      <c r="Q48" s="192"/>
      <c r="R48" s="192"/>
      <c r="S48" s="192"/>
      <c r="T48" s="192"/>
      <c r="U48" s="192"/>
      <c r="V48" s="192"/>
      <c r="W48" s="192"/>
      <c r="X48" s="192"/>
      <c r="Y48" s="194"/>
      <c r="Z48" s="194"/>
      <c r="AA48" s="194"/>
    </row>
    <row r="49" spans="1:27" ht="15.75" customHeight="1" x14ac:dyDescent="0.2">
      <c r="A49" s="192"/>
      <c r="B49" s="205">
        <f t="shared" ca="1" si="0"/>
        <v>46256</v>
      </c>
      <c r="C49" s="206">
        <f ca="1">HLOOKUP($H$1,TOD!$C$5:$G$36,ROW(A23),0)</f>
        <v>0</v>
      </c>
      <c r="D49" s="206">
        <f ca="1">HLOOKUP($H$1,TOD!$C$38:$G$70,ROW(A24),0)</f>
        <v>0</v>
      </c>
      <c r="E49" s="207">
        <f ca="1">HLOOKUP($H$1,TOD!$C$73:$G$105,ROW(A24),0)</f>
        <v>0</v>
      </c>
      <c r="F49" s="208">
        <f ca="1">HLOOKUP($H$1,TOD!$C$107:$G$139,ROW(A24),0)</f>
        <v>0</v>
      </c>
      <c r="G49" s="192"/>
      <c r="H49" s="193"/>
      <c r="I49" s="192"/>
      <c r="J49" s="192"/>
      <c r="K49" s="192"/>
      <c r="L49" s="192"/>
      <c r="M49" s="192"/>
      <c r="N49" s="192"/>
      <c r="O49" s="192"/>
      <c r="P49" s="192"/>
      <c r="Q49" s="192"/>
      <c r="R49" s="192"/>
      <c r="S49" s="192"/>
      <c r="T49" s="192"/>
      <c r="U49" s="192"/>
      <c r="V49" s="192"/>
      <c r="W49" s="192"/>
      <c r="X49" s="192"/>
      <c r="Y49" s="194"/>
      <c r="Z49" s="194"/>
      <c r="AA49" s="194"/>
    </row>
    <row r="50" spans="1:27" ht="15.75" customHeight="1" x14ac:dyDescent="0.2">
      <c r="A50" s="192"/>
      <c r="B50" s="205">
        <f t="shared" ca="1" si="0"/>
        <v>46257</v>
      </c>
      <c r="C50" s="206">
        <f ca="1">HLOOKUP($H$1,TOD!$C$5:$G$36,ROW(A24),0)</f>
        <v>0</v>
      </c>
      <c r="D50" s="206">
        <f ca="1">HLOOKUP($H$1,TOD!$C$38:$G$70,ROW(A25),0)</f>
        <v>0</v>
      </c>
      <c r="E50" s="207">
        <f ca="1">HLOOKUP($H$1,TOD!$C$73:$G$105,ROW(A25),0)</f>
        <v>0</v>
      </c>
      <c r="F50" s="208">
        <f ca="1">HLOOKUP($H$1,TOD!$C$107:$G$139,ROW(A25),0)</f>
        <v>0</v>
      </c>
      <c r="G50" s="192"/>
      <c r="H50" s="193"/>
      <c r="I50" s="192"/>
      <c r="J50" s="192"/>
      <c r="K50" s="192"/>
      <c r="L50" s="192"/>
      <c r="M50" s="192"/>
      <c r="N50" s="192"/>
      <c r="O50" s="192"/>
      <c r="P50" s="192"/>
      <c r="Q50" s="192"/>
      <c r="R50" s="192"/>
      <c r="S50" s="192"/>
      <c r="T50" s="192"/>
      <c r="U50" s="192"/>
      <c r="V50" s="192"/>
      <c r="W50" s="192"/>
      <c r="X50" s="192"/>
      <c r="Y50" s="194"/>
      <c r="Z50" s="194"/>
      <c r="AA50" s="194"/>
    </row>
    <row r="51" spans="1:27" ht="15.75" customHeight="1" x14ac:dyDescent="0.2">
      <c r="A51" s="192"/>
      <c r="B51" s="205">
        <f t="shared" ca="1" si="0"/>
        <v>46258</v>
      </c>
      <c r="C51" s="206">
        <f ca="1">HLOOKUP($H$1,TOD!$C$5:$G$36,ROW(A25),0)</f>
        <v>0</v>
      </c>
      <c r="D51" s="206">
        <f ca="1">HLOOKUP($H$1,TOD!$C$38:$G$70,ROW(A26),0)</f>
        <v>0</v>
      </c>
      <c r="E51" s="207">
        <f ca="1">HLOOKUP($H$1,TOD!$C$73:$G$105,ROW(A26),0)</f>
        <v>0</v>
      </c>
      <c r="F51" s="208">
        <f ca="1">HLOOKUP($H$1,TOD!$C$107:$G$139,ROW(A26),0)</f>
        <v>0</v>
      </c>
      <c r="G51" s="192"/>
      <c r="H51" s="193"/>
      <c r="I51" s="192"/>
      <c r="J51" s="192"/>
      <c r="K51" s="192"/>
      <c r="L51" s="192"/>
      <c r="M51" s="192"/>
      <c r="N51" s="192"/>
      <c r="O51" s="192"/>
      <c r="P51" s="192"/>
      <c r="Q51" s="192"/>
      <c r="R51" s="192"/>
      <c r="S51" s="192"/>
      <c r="T51" s="192"/>
      <c r="U51" s="192"/>
      <c r="V51" s="192"/>
      <c r="W51" s="192"/>
      <c r="X51" s="192"/>
      <c r="Y51" s="194"/>
      <c r="Z51" s="194"/>
      <c r="AA51" s="194"/>
    </row>
    <row r="52" spans="1:27" ht="15.75" customHeight="1" x14ac:dyDescent="0.2">
      <c r="A52" s="192"/>
      <c r="B52" s="205">
        <f t="shared" ca="1" si="0"/>
        <v>46259</v>
      </c>
      <c r="C52" s="206">
        <f ca="1">HLOOKUP($H$1,TOD!$C$5:$G$36,ROW(A26),0)</f>
        <v>0</v>
      </c>
      <c r="D52" s="206">
        <f ca="1">HLOOKUP($H$1,TOD!$C$38:$G$70,ROW(A27),0)</f>
        <v>0</v>
      </c>
      <c r="E52" s="207">
        <f ca="1">HLOOKUP($H$1,TOD!$C$73:$G$105,ROW(A27),0)</f>
        <v>0</v>
      </c>
      <c r="F52" s="208">
        <f ca="1">HLOOKUP($H$1,TOD!$C$107:$G$139,ROW(A27),0)</f>
        <v>0</v>
      </c>
      <c r="G52" s="192"/>
      <c r="H52" s="193"/>
      <c r="I52" s="192"/>
      <c r="J52" s="192"/>
      <c r="K52" s="192"/>
      <c r="L52" s="192"/>
      <c r="M52" s="192"/>
      <c r="N52" s="192"/>
      <c r="O52" s="192"/>
      <c r="P52" s="192"/>
      <c r="Q52" s="192"/>
      <c r="R52" s="192"/>
      <c r="S52" s="192"/>
      <c r="T52" s="192"/>
      <c r="U52" s="192"/>
      <c r="V52" s="192"/>
      <c r="W52" s="192"/>
      <c r="X52" s="192"/>
      <c r="Y52" s="194"/>
      <c r="Z52" s="194"/>
      <c r="AA52" s="194"/>
    </row>
    <row r="53" spans="1:27" ht="15.75" customHeight="1" x14ac:dyDescent="0.2">
      <c r="A53" s="192"/>
      <c r="B53" s="205">
        <f t="shared" ca="1" si="0"/>
        <v>46260</v>
      </c>
      <c r="C53" s="206">
        <f ca="1">HLOOKUP($H$1,TOD!$C$5:$G$36,ROW(A27),0)</f>
        <v>0</v>
      </c>
      <c r="D53" s="206">
        <f ca="1">HLOOKUP($H$1,TOD!$C$38:$G$70,ROW(A28),0)</f>
        <v>0</v>
      </c>
      <c r="E53" s="207">
        <f ca="1">HLOOKUP($H$1,TOD!$C$73:$G$105,ROW(A28),0)</f>
        <v>0</v>
      </c>
      <c r="F53" s="208">
        <f ca="1">HLOOKUP($H$1,TOD!$C$107:$G$139,ROW(A28),0)</f>
        <v>0</v>
      </c>
      <c r="G53" s="192"/>
      <c r="H53" s="193"/>
      <c r="I53" s="192"/>
      <c r="J53" s="192"/>
      <c r="K53" s="192"/>
      <c r="L53" s="192"/>
      <c r="M53" s="192"/>
      <c r="N53" s="192"/>
      <c r="O53" s="192"/>
      <c r="P53" s="192"/>
      <c r="Q53" s="192"/>
      <c r="R53" s="192"/>
      <c r="S53" s="192"/>
      <c r="T53" s="192"/>
      <c r="U53" s="192"/>
      <c r="V53" s="192"/>
      <c r="W53" s="192"/>
      <c r="X53" s="192"/>
      <c r="Y53" s="194"/>
      <c r="Z53" s="194"/>
      <c r="AA53" s="194"/>
    </row>
    <row r="54" spans="1:27" ht="15.75" customHeight="1" x14ac:dyDescent="0.2">
      <c r="A54" s="192"/>
      <c r="B54" s="205">
        <f t="shared" ca="1" si="0"/>
        <v>46261</v>
      </c>
      <c r="C54" s="206">
        <f ca="1">HLOOKUP($H$1,TOD!$C$5:$G$36,ROW(A28),0)</f>
        <v>0</v>
      </c>
      <c r="D54" s="206">
        <f ca="1">HLOOKUP($H$1,TOD!$C$38:$G$70,ROW(A29),0)</f>
        <v>0</v>
      </c>
      <c r="E54" s="207">
        <f ca="1">HLOOKUP($H$1,TOD!$C$73:$G$105,ROW(A29),0)</f>
        <v>0</v>
      </c>
      <c r="F54" s="208">
        <f ca="1">HLOOKUP($H$1,TOD!$C$107:$G$139,ROW(A29),0)</f>
        <v>0</v>
      </c>
      <c r="G54" s="192"/>
      <c r="H54" s="193"/>
      <c r="I54" s="192"/>
      <c r="J54" s="192"/>
      <c r="K54" s="192"/>
      <c r="L54" s="192"/>
      <c r="M54" s="192"/>
      <c r="N54" s="192"/>
      <c r="O54" s="192"/>
      <c r="P54" s="192"/>
      <c r="Q54" s="192"/>
      <c r="R54" s="192"/>
      <c r="S54" s="192"/>
      <c r="T54" s="192"/>
      <c r="U54" s="192"/>
      <c r="V54" s="192"/>
      <c r="W54" s="192"/>
      <c r="X54" s="192"/>
      <c r="Y54" s="194"/>
      <c r="Z54" s="194"/>
      <c r="AA54" s="194"/>
    </row>
    <row r="55" spans="1:27" ht="15.75" customHeight="1" x14ac:dyDescent="0.2">
      <c r="A55" s="192"/>
      <c r="B55" s="205">
        <f t="shared" ca="1" si="0"/>
        <v>46262</v>
      </c>
      <c r="C55" s="206">
        <f ca="1">HLOOKUP($H$1,TOD!$C$5:$G$36,ROW(A29),0)</f>
        <v>0</v>
      </c>
      <c r="D55" s="206">
        <f ca="1">HLOOKUP($H$1,TOD!$C$38:$G$70,ROW(A30),0)</f>
        <v>0</v>
      </c>
      <c r="E55" s="207">
        <f ca="1">HLOOKUP($H$1,TOD!$C$73:$G$105,ROW(A30),0)</f>
        <v>0</v>
      </c>
      <c r="F55" s="208">
        <f ca="1">HLOOKUP($H$1,TOD!$C$107:$G$139,ROW(A30),0)</f>
        <v>0</v>
      </c>
      <c r="G55" s="192"/>
      <c r="H55" s="193"/>
      <c r="I55" s="192"/>
      <c r="J55" s="192"/>
      <c r="K55" s="192"/>
      <c r="L55" s="192"/>
      <c r="M55" s="192"/>
      <c r="N55" s="192"/>
      <c r="O55" s="192"/>
      <c r="P55" s="192"/>
      <c r="Q55" s="192"/>
      <c r="R55" s="192"/>
      <c r="S55" s="192"/>
      <c r="T55" s="192"/>
      <c r="U55" s="192"/>
      <c r="V55" s="192"/>
      <c r="W55" s="192"/>
      <c r="X55" s="192"/>
      <c r="Y55" s="194"/>
      <c r="Z55" s="194"/>
      <c r="AA55" s="194"/>
    </row>
    <row r="56" spans="1:27" ht="15.75" customHeight="1" x14ac:dyDescent="0.2">
      <c r="A56" s="192"/>
      <c r="B56" s="205">
        <f t="shared" ca="1" si="0"/>
        <v>46263</v>
      </c>
      <c r="C56" s="206">
        <f ca="1">HLOOKUP($H$1,TOD!$C$5:$G$36,ROW(A30),0)</f>
        <v>0</v>
      </c>
      <c r="D56" s="206">
        <f ca="1">HLOOKUP($H$1,TOD!$C$38:$G$70,ROW(A31),0)</f>
        <v>0</v>
      </c>
      <c r="E56" s="207">
        <f ca="1">HLOOKUP($H$1,TOD!$C$73:$G$105,ROW(A31),0)</f>
        <v>0</v>
      </c>
      <c r="F56" s="208">
        <f ca="1">HLOOKUP($H$1,TOD!$C$107:$G$139,ROW(A31),0)</f>
        <v>0</v>
      </c>
      <c r="G56" s="192"/>
      <c r="H56" s="193"/>
      <c r="I56" s="192"/>
      <c r="J56" s="192"/>
      <c r="K56" s="192"/>
      <c r="L56" s="192"/>
      <c r="M56" s="192"/>
      <c r="N56" s="192"/>
      <c r="O56" s="192"/>
      <c r="P56" s="192"/>
      <c r="Q56" s="192"/>
      <c r="R56" s="192"/>
      <c r="S56" s="192"/>
      <c r="T56" s="192"/>
      <c r="U56" s="192"/>
      <c r="V56" s="192"/>
      <c r="W56" s="192"/>
      <c r="X56" s="192"/>
      <c r="Y56" s="194"/>
      <c r="Z56" s="194"/>
      <c r="AA56" s="194"/>
    </row>
    <row r="57" spans="1:27" ht="15.75" customHeight="1" x14ac:dyDescent="0.2">
      <c r="A57" s="192"/>
      <c r="B57" s="205">
        <f t="shared" ca="1" si="0"/>
        <v>46264</v>
      </c>
      <c r="C57" s="206">
        <f ca="1">HLOOKUP($H$1,TOD!$C$5:$G$36,ROW(A31),0)</f>
        <v>0</v>
      </c>
      <c r="D57" s="206">
        <f ca="1">HLOOKUP($H$1,TOD!$C$38:$G$70,ROW(A32),0)</f>
        <v>0</v>
      </c>
      <c r="E57" s="207">
        <f ca="1">HLOOKUP($H$1,TOD!$C$73:$G$105,ROW(A32),0)</f>
        <v>0</v>
      </c>
      <c r="F57" s="208">
        <f ca="1">HLOOKUP($H$1,TOD!$C$107:$G$139,ROW(A32),0)</f>
        <v>0</v>
      </c>
      <c r="G57" s="192"/>
      <c r="H57" s="193"/>
      <c r="I57" s="192"/>
      <c r="J57" s="192"/>
      <c r="K57" s="192"/>
      <c r="L57" s="192"/>
      <c r="M57" s="192"/>
      <c r="N57" s="192"/>
      <c r="O57" s="192"/>
      <c r="P57" s="192"/>
      <c r="Q57" s="192"/>
      <c r="R57" s="192"/>
      <c r="S57" s="192"/>
      <c r="T57" s="192"/>
      <c r="U57" s="192"/>
      <c r="V57" s="192"/>
      <c r="W57" s="192"/>
      <c r="X57" s="192"/>
      <c r="Y57" s="194"/>
      <c r="Z57" s="194"/>
      <c r="AA57" s="194"/>
    </row>
    <row r="58" spans="1:27" ht="15.75" customHeight="1" x14ac:dyDescent="0.2">
      <c r="A58" s="192"/>
      <c r="B58" s="209">
        <f t="shared" ca="1" si="0"/>
        <v>46265</v>
      </c>
      <c r="C58" s="210">
        <f ca="1">HLOOKUP($H$1,TOD!$C$5:$G$36,ROW(A32),0)</f>
        <v>0</v>
      </c>
      <c r="D58" s="210">
        <f ca="1">HLOOKUP($H$1,TOD!$C$38:$G$70,ROW(A33),0)</f>
        <v>0</v>
      </c>
      <c r="E58" s="211">
        <f ca="1">HLOOKUP($H$1,TOD!$C$73:$G$105,ROW(A33),0)</f>
        <v>0</v>
      </c>
      <c r="F58" s="212">
        <f ca="1">HLOOKUP($H$1,TOD!$C$107:$G$139,ROW(A33),0)</f>
        <v>0</v>
      </c>
      <c r="G58" s="192"/>
      <c r="H58" s="193"/>
      <c r="I58" s="192"/>
      <c r="J58" s="192"/>
      <c r="K58" s="192"/>
      <c r="L58" s="192"/>
      <c r="M58" s="192"/>
      <c r="N58" s="192"/>
      <c r="O58" s="192"/>
      <c r="P58" s="192"/>
      <c r="Q58" s="192"/>
      <c r="R58" s="192"/>
      <c r="S58" s="192"/>
      <c r="T58" s="192"/>
      <c r="U58" s="192"/>
      <c r="V58" s="192"/>
      <c r="W58" s="192"/>
      <c r="X58" s="192"/>
      <c r="Y58" s="194"/>
      <c r="Z58" s="194"/>
      <c r="AA58" s="194"/>
    </row>
    <row r="59" spans="1:27" ht="15.75" customHeight="1" x14ac:dyDescent="0.2">
      <c r="A59" s="192"/>
      <c r="B59" s="192"/>
      <c r="C59" s="192"/>
      <c r="D59" s="192"/>
      <c r="E59" s="192"/>
      <c r="F59" s="192"/>
      <c r="G59" s="192"/>
      <c r="H59" s="193"/>
      <c r="I59" s="192"/>
      <c r="J59" s="192"/>
      <c r="K59" s="192"/>
      <c r="L59" s="192"/>
      <c r="M59" s="192"/>
      <c r="N59" s="192"/>
      <c r="O59" s="192"/>
      <c r="P59" s="192"/>
      <c r="Q59" s="192"/>
      <c r="R59" s="192"/>
      <c r="S59" s="192"/>
      <c r="T59" s="192"/>
      <c r="U59" s="192"/>
      <c r="V59" s="192"/>
      <c r="W59" s="192"/>
      <c r="X59" s="192"/>
      <c r="Y59" s="194"/>
      <c r="Z59" s="194"/>
      <c r="AA59" s="194"/>
    </row>
    <row r="60" spans="1:27" ht="15.75" customHeight="1" x14ac:dyDescent="0.2">
      <c r="A60" s="192"/>
      <c r="B60" s="192"/>
      <c r="C60" s="192"/>
      <c r="D60" s="192"/>
      <c r="E60" s="192"/>
      <c r="F60" s="192"/>
      <c r="G60" s="192"/>
      <c r="H60" s="193"/>
      <c r="I60" s="192"/>
      <c r="J60" s="192"/>
      <c r="K60" s="192"/>
      <c r="L60" s="192"/>
      <c r="M60" s="192"/>
      <c r="N60" s="192"/>
      <c r="O60" s="192"/>
      <c r="P60" s="192"/>
      <c r="Q60" s="192"/>
      <c r="R60" s="192"/>
      <c r="S60" s="192"/>
      <c r="T60" s="192"/>
      <c r="U60" s="192"/>
      <c r="V60" s="192"/>
      <c r="W60" s="192"/>
      <c r="X60" s="192"/>
      <c r="Y60" s="194"/>
      <c r="Z60" s="194"/>
      <c r="AA60" s="194"/>
    </row>
    <row r="61" spans="1:27" ht="15.75" customHeight="1" x14ac:dyDescent="0.2">
      <c r="A61" s="192"/>
      <c r="B61" s="192"/>
      <c r="C61" s="192"/>
      <c r="D61" s="192"/>
      <c r="E61" s="192"/>
      <c r="F61" s="192"/>
      <c r="G61" s="192"/>
      <c r="H61" s="193"/>
      <c r="I61" s="192"/>
      <c r="J61" s="192"/>
      <c r="K61" s="192"/>
      <c r="L61" s="192"/>
      <c r="M61" s="192"/>
      <c r="N61" s="192"/>
      <c r="O61" s="192"/>
      <c r="P61" s="192"/>
      <c r="Q61" s="192"/>
      <c r="R61" s="192"/>
      <c r="S61" s="192"/>
      <c r="T61" s="192"/>
      <c r="U61" s="192"/>
      <c r="V61" s="192"/>
      <c r="W61" s="192"/>
      <c r="X61" s="192"/>
      <c r="Y61" s="194"/>
      <c r="Z61" s="194"/>
      <c r="AA61" s="194"/>
    </row>
    <row r="62" spans="1:27" ht="15.75" customHeight="1" x14ac:dyDescent="0.2">
      <c r="A62" s="192"/>
      <c r="B62" s="192"/>
      <c r="C62" s="192"/>
      <c r="D62" s="192"/>
      <c r="E62" s="192"/>
      <c r="F62" s="192"/>
      <c r="G62" s="192"/>
      <c r="H62" s="193"/>
      <c r="I62" s="192"/>
      <c r="J62" s="192"/>
      <c r="K62" s="192"/>
      <c r="L62" s="192"/>
      <c r="M62" s="192"/>
      <c r="N62" s="192"/>
      <c r="O62" s="192"/>
      <c r="P62" s="192"/>
      <c r="Q62" s="192"/>
      <c r="R62" s="192"/>
      <c r="S62" s="192"/>
      <c r="T62" s="192"/>
      <c r="U62" s="192"/>
      <c r="V62" s="192"/>
      <c r="W62" s="192"/>
      <c r="X62" s="192"/>
      <c r="Y62" s="194"/>
      <c r="Z62" s="194"/>
      <c r="AA62" s="194"/>
    </row>
    <row r="63" spans="1:27" ht="15.75" customHeight="1" x14ac:dyDescent="0.2">
      <c r="A63" s="192"/>
      <c r="B63" s="192"/>
      <c r="C63" s="192"/>
      <c r="D63" s="192"/>
      <c r="E63" s="192"/>
      <c r="F63" s="192"/>
      <c r="G63" s="192"/>
      <c r="H63" s="193"/>
      <c r="I63" s="192"/>
      <c r="J63" s="192"/>
      <c r="K63" s="192"/>
      <c r="L63" s="192"/>
      <c r="M63" s="192"/>
      <c r="N63" s="192"/>
      <c r="O63" s="192"/>
      <c r="P63" s="192"/>
      <c r="Q63" s="192"/>
      <c r="R63" s="192"/>
      <c r="S63" s="192"/>
      <c r="T63" s="192"/>
      <c r="U63" s="192"/>
      <c r="V63" s="192"/>
      <c r="W63" s="192"/>
      <c r="X63" s="192"/>
      <c r="Y63" s="194"/>
      <c r="Z63" s="194"/>
      <c r="AA63" s="194"/>
    </row>
    <row r="64" spans="1:27" ht="15.75" customHeight="1" x14ac:dyDescent="0.2">
      <c r="A64" s="192"/>
      <c r="B64" s="192"/>
      <c r="C64" s="192"/>
      <c r="D64" s="192"/>
      <c r="E64" s="192"/>
      <c r="F64" s="192"/>
      <c r="G64" s="192"/>
      <c r="H64" s="193"/>
      <c r="I64" s="192"/>
      <c r="J64" s="192"/>
      <c r="K64" s="192"/>
      <c r="L64" s="192"/>
      <c r="M64" s="192"/>
      <c r="N64" s="192"/>
      <c r="O64" s="192"/>
      <c r="P64" s="192"/>
      <c r="Q64" s="192"/>
      <c r="R64" s="192"/>
      <c r="S64" s="192"/>
      <c r="T64" s="192"/>
      <c r="U64" s="192"/>
      <c r="V64" s="192"/>
      <c r="W64" s="192"/>
      <c r="X64" s="192"/>
      <c r="Y64" s="194"/>
      <c r="Z64" s="194"/>
      <c r="AA64" s="194"/>
    </row>
    <row r="65" spans="1:27" ht="15.75" customHeight="1" x14ac:dyDescent="0.2">
      <c r="A65" s="192"/>
      <c r="B65" s="192"/>
      <c r="C65" s="192"/>
      <c r="D65" s="192"/>
      <c r="E65" s="192"/>
      <c r="F65" s="192"/>
      <c r="G65" s="192"/>
      <c r="H65" s="193"/>
      <c r="I65" s="192"/>
      <c r="J65" s="192"/>
      <c r="K65" s="192"/>
      <c r="L65" s="192"/>
      <c r="M65" s="192"/>
      <c r="N65" s="192"/>
      <c r="O65" s="192"/>
      <c r="P65" s="192"/>
      <c r="Q65" s="192"/>
      <c r="R65" s="192"/>
      <c r="S65" s="192"/>
      <c r="T65" s="192"/>
      <c r="U65" s="192"/>
      <c r="V65" s="192"/>
      <c r="W65" s="192"/>
      <c r="X65" s="192"/>
      <c r="Y65" s="194"/>
      <c r="Z65" s="194"/>
      <c r="AA65" s="194"/>
    </row>
    <row r="66" spans="1:27" ht="15.75" customHeight="1" x14ac:dyDescent="0.2">
      <c r="A66" s="192"/>
      <c r="B66" s="192"/>
      <c r="C66" s="192"/>
      <c r="D66" s="192"/>
      <c r="E66" s="192"/>
      <c r="F66" s="192"/>
      <c r="G66" s="192"/>
      <c r="H66" s="193"/>
      <c r="I66" s="192"/>
      <c r="J66" s="192"/>
      <c r="K66" s="192"/>
      <c r="L66" s="192"/>
      <c r="M66" s="192"/>
      <c r="N66" s="192"/>
      <c r="O66" s="192"/>
      <c r="P66" s="192"/>
      <c r="Q66" s="192"/>
      <c r="R66" s="192"/>
      <c r="S66" s="192"/>
      <c r="T66" s="192"/>
      <c r="U66" s="192"/>
      <c r="V66" s="192"/>
      <c r="W66" s="192"/>
      <c r="X66" s="192"/>
      <c r="Y66" s="194"/>
      <c r="Z66" s="194"/>
      <c r="AA66" s="194"/>
    </row>
    <row r="67" spans="1:27" ht="15.75" customHeight="1" x14ac:dyDescent="0.2">
      <c r="A67" s="192"/>
      <c r="B67" s="192"/>
      <c r="C67" s="192"/>
      <c r="D67" s="192"/>
      <c r="E67" s="192"/>
      <c r="F67" s="192"/>
      <c r="G67" s="192"/>
      <c r="H67" s="193"/>
      <c r="I67" s="192"/>
      <c r="J67" s="192"/>
      <c r="K67" s="192"/>
      <c r="L67" s="192"/>
      <c r="M67" s="192"/>
      <c r="N67" s="192"/>
      <c r="O67" s="192"/>
      <c r="P67" s="192"/>
      <c r="Q67" s="192"/>
      <c r="R67" s="192"/>
      <c r="S67" s="192"/>
      <c r="T67" s="192"/>
      <c r="U67" s="192"/>
      <c r="V67" s="192"/>
      <c r="W67" s="192"/>
      <c r="X67" s="192"/>
      <c r="Y67" s="194"/>
      <c r="Z67" s="194"/>
      <c r="AA67" s="194"/>
    </row>
    <row r="68" spans="1:27" ht="15.75" customHeight="1" x14ac:dyDescent="0.2">
      <c r="A68" s="192"/>
      <c r="B68" s="192"/>
      <c r="C68" s="192"/>
      <c r="D68" s="192"/>
      <c r="E68" s="192"/>
      <c r="F68" s="192"/>
      <c r="G68" s="192"/>
      <c r="H68" s="193"/>
      <c r="I68" s="192"/>
      <c r="J68" s="192"/>
      <c r="K68" s="192"/>
      <c r="L68" s="192"/>
      <c r="M68" s="192"/>
      <c r="N68" s="192"/>
      <c r="O68" s="192"/>
      <c r="P68" s="192"/>
      <c r="Q68" s="192"/>
      <c r="R68" s="192"/>
      <c r="S68" s="192"/>
      <c r="T68" s="192"/>
      <c r="U68" s="192"/>
      <c r="V68" s="192"/>
      <c r="W68" s="192"/>
      <c r="X68" s="192"/>
      <c r="Y68" s="194"/>
      <c r="Z68" s="194"/>
      <c r="AA68" s="194"/>
    </row>
    <row r="69" spans="1:27" ht="15.75" customHeight="1" x14ac:dyDescent="0.2">
      <c r="A69" s="192"/>
      <c r="B69" s="192"/>
      <c r="C69" s="192"/>
      <c r="D69" s="192"/>
      <c r="E69" s="192"/>
      <c r="F69" s="192"/>
      <c r="G69" s="192"/>
      <c r="H69" s="193"/>
      <c r="I69" s="192"/>
      <c r="J69" s="192"/>
      <c r="K69" s="192"/>
      <c r="L69" s="192"/>
      <c r="M69" s="192"/>
      <c r="N69" s="192"/>
      <c r="O69" s="192"/>
      <c r="P69" s="192"/>
      <c r="Q69" s="192"/>
      <c r="R69" s="192"/>
      <c r="S69" s="192"/>
      <c r="T69" s="192"/>
      <c r="U69" s="192"/>
      <c r="V69" s="192"/>
      <c r="W69" s="192"/>
      <c r="X69" s="192"/>
      <c r="Y69" s="194"/>
      <c r="Z69" s="194"/>
      <c r="AA69" s="194"/>
    </row>
    <row r="70" spans="1:27" ht="15.75" customHeight="1" x14ac:dyDescent="0.2">
      <c r="A70" s="192"/>
      <c r="B70" s="192"/>
      <c r="C70" s="192"/>
      <c r="D70" s="192"/>
      <c r="E70" s="192"/>
      <c r="F70" s="192"/>
      <c r="G70" s="192"/>
      <c r="H70" s="193"/>
      <c r="I70" s="192"/>
      <c r="J70" s="192"/>
      <c r="K70" s="192"/>
      <c r="L70" s="192"/>
      <c r="M70" s="192"/>
      <c r="N70" s="192"/>
      <c r="O70" s="192"/>
      <c r="P70" s="192"/>
      <c r="Q70" s="192"/>
      <c r="R70" s="192"/>
      <c r="S70" s="192"/>
      <c r="T70" s="192"/>
      <c r="U70" s="192"/>
      <c r="V70" s="192"/>
      <c r="W70" s="192"/>
      <c r="X70" s="192"/>
      <c r="Y70" s="194"/>
      <c r="Z70" s="194"/>
      <c r="AA70" s="194"/>
    </row>
    <row r="71" spans="1:27" ht="15.75" customHeight="1" x14ac:dyDescent="0.2">
      <c r="A71" s="192"/>
      <c r="B71" s="192"/>
      <c r="C71" s="192"/>
      <c r="D71" s="192"/>
      <c r="E71" s="192"/>
      <c r="F71" s="192"/>
      <c r="G71" s="192"/>
      <c r="H71" s="193"/>
      <c r="I71" s="192"/>
      <c r="J71" s="192"/>
      <c r="K71" s="192"/>
      <c r="L71" s="192"/>
      <c r="M71" s="192"/>
      <c r="N71" s="192"/>
      <c r="O71" s="192"/>
      <c r="P71" s="192"/>
      <c r="Q71" s="192"/>
      <c r="R71" s="192"/>
      <c r="S71" s="192"/>
      <c r="T71" s="192"/>
      <c r="U71" s="192"/>
      <c r="V71" s="192"/>
      <c r="W71" s="192"/>
      <c r="X71" s="192"/>
      <c r="Y71" s="194"/>
      <c r="Z71" s="194"/>
      <c r="AA71" s="194"/>
    </row>
    <row r="72" spans="1:27" ht="15.75" customHeight="1" x14ac:dyDescent="0.2">
      <c r="A72" s="192"/>
      <c r="B72" s="192"/>
      <c r="C72" s="192"/>
      <c r="D72" s="192"/>
      <c r="E72" s="192"/>
      <c r="F72" s="192"/>
      <c r="G72" s="192"/>
      <c r="H72" s="193"/>
      <c r="I72" s="192"/>
      <c r="J72" s="192"/>
      <c r="K72" s="192"/>
      <c r="L72" s="192"/>
      <c r="M72" s="192"/>
      <c r="N72" s="192"/>
      <c r="O72" s="192"/>
      <c r="P72" s="192"/>
      <c r="Q72" s="192"/>
      <c r="R72" s="192"/>
      <c r="S72" s="192"/>
      <c r="T72" s="192"/>
      <c r="U72" s="192"/>
      <c r="V72" s="192"/>
      <c r="W72" s="192"/>
      <c r="X72" s="192"/>
      <c r="Y72" s="194"/>
      <c r="Z72" s="194"/>
      <c r="AA72" s="194"/>
    </row>
    <row r="73" spans="1:27" ht="15.75" customHeight="1" x14ac:dyDescent="0.2">
      <c r="A73" s="192"/>
      <c r="B73" s="192"/>
      <c r="C73" s="192"/>
      <c r="D73" s="192"/>
      <c r="E73" s="192"/>
      <c r="F73" s="192"/>
      <c r="G73" s="192"/>
      <c r="H73" s="193"/>
      <c r="I73" s="192"/>
      <c r="J73" s="192"/>
      <c r="K73" s="192"/>
      <c r="L73" s="192"/>
      <c r="M73" s="192"/>
      <c r="N73" s="192"/>
      <c r="O73" s="192"/>
      <c r="P73" s="192"/>
      <c r="Q73" s="192"/>
      <c r="R73" s="192"/>
      <c r="S73" s="192"/>
      <c r="T73" s="192"/>
      <c r="U73" s="192"/>
      <c r="V73" s="192"/>
      <c r="W73" s="192"/>
      <c r="X73" s="192"/>
      <c r="Y73" s="194"/>
      <c r="Z73" s="194"/>
      <c r="AA73" s="194"/>
    </row>
    <row r="74" spans="1:27" ht="15.75" customHeight="1" x14ac:dyDescent="0.2">
      <c r="A74" s="192"/>
      <c r="B74" s="192"/>
      <c r="C74" s="192"/>
      <c r="D74" s="192"/>
      <c r="E74" s="192"/>
      <c r="F74" s="192"/>
      <c r="G74" s="192"/>
      <c r="H74" s="193"/>
      <c r="I74" s="192"/>
      <c r="J74" s="192"/>
      <c r="K74" s="192"/>
      <c r="L74" s="192"/>
      <c r="M74" s="192"/>
      <c r="N74" s="192"/>
      <c r="O74" s="192"/>
      <c r="P74" s="192"/>
      <c r="Q74" s="192"/>
      <c r="R74" s="192"/>
      <c r="S74" s="192"/>
      <c r="T74" s="192"/>
      <c r="U74" s="192"/>
      <c r="V74" s="192"/>
      <c r="W74" s="192"/>
      <c r="X74" s="192"/>
      <c r="Y74" s="194"/>
      <c r="Z74" s="194"/>
      <c r="AA74" s="194"/>
    </row>
    <row r="75" spans="1:27" ht="15.75" customHeight="1" x14ac:dyDescent="0.2">
      <c r="A75" s="192"/>
      <c r="B75" s="192"/>
      <c r="C75" s="192"/>
      <c r="D75" s="192"/>
      <c r="E75" s="192"/>
      <c r="F75" s="192"/>
      <c r="G75" s="192"/>
      <c r="H75" s="193"/>
      <c r="I75" s="192"/>
      <c r="J75" s="192"/>
      <c r="K75" s="192"/>
      <c r="L75" s="192"/>
      <c r="M75" s="192"/>
      <c r="N75" s="192"/>
      <c r="O75" s="192"/>
      <c r="P75" s="192"/>
      <c r="Q75" s="192"/>
      <c r="R75" s="192"/>
      <c r="S75" s="192"/>
      <c r="T75" s="192"/>
      <c r="U75" s="192"/>
      <c r="V75" s="192"/>
      <c r="W75" s="192"/>
      <c r="X75" s="192"/>
      <c r="Y75" s="194"/>
      <c r="Z75" s="194"/>
      <c r="AA75" s="194"/>
    </row>
    <row r="76" spans="1:27" ht="15.75" customHeight="1" x14ac:dyDescent="0.2">
      <c r="A76" s="192"/>
      <c r="B76" s="192"/>
      <c r="C76" s="192"/>
      <c r="D76" s="192"/>
      <c r="E76" s="192"/>
      <c r="F76" s="192"/>
      <c r="G76" s="192"/>
      <c r="H76" s="193"/>
      <c r="I76" s="192"/>
      <c r="J76" s="192"/>
      <c r="K76" s="192"/>
      <c r="L76" s="192"/>
      <c r="M76" s="192"/>
      <c r="N76" s="192"/>
      <c r="O76" s="192"/>
      <c r="P76" s="192"/>
      <c r="Q76" s="192"/>
      <c r="R76" s="192"/>
      <c r="S76" s="192"/>
      <c r="T76" s="192"/>
      <c r="U76" s="192"/>
      <c r="V76" s="192"/>
      <c r="W76" s="192"/>
      <c r="X76" s="192"/>
      <c r="Y76" s="194"/>
      <c r="Z76" s="194"/>
      <c r="AA76" s="194"/>
    </row>
    <row r="77" spans="1:27" ht="15.75" customHeight="1" x14ac:dyDescent="0.2">
      <c r="A77" s="192"/>
      <c r="B77" s="192"/>
      <c r="C77" s="192"/>
      <c r="D77" s="192"/>
      <c r="E77" s="192"/>
      <c r="F77" s="192"/>
      <c r="G77" s="192"/>
      <c r="H77" s="193"/>
      <c r="I77" s="192"/>
      <c r="J77" s="192"/>
      <c r="K77" s="192"/>
      <c r="L77" s="192"/>
      <c r="M77" s="192"/>
      <c r="N77" s="192"/>
      <c r="O77" s="192"/>
      <c r="P77" s="192"/>
      <c r="Q77" s="192"/>
      <c r="R77" s="192"/>
      <c r="S77" s="192"/>
      <c r="T77" s="192"/>
      <c r="U77" s="192"/>
      <c r="V77" s="192"/>
      <c r="W77" s="192"/>
      <c r="X77" s="192"/>
      <c r="Y77" s="194"/>
      <c r="Z77" s="194"/>
      <c r="AA77" s="194"/>
    </row>
    <row r="78" spans="1:27" ht="15.75" customHeight="1" x14ac:dyDescent="0.2">
      <c r="A78" s="192"/>
      <c r="B78" s="192"/>
      <c r="C78" s="192"/>
      <c r="D78" s="192"/>
      <c r="E78" s="192"/>
      <c r="F78" s="192"/>
      <c r="G78" s="192"/>
      <c r="H78" s="193"/>
      <c r="I78" s="192"/>
      <c r="J78" s="192"/>
      <c r="K78" s="192"/>
      <c r="L78" s="192"/>
      <c r="M78" s="192"/>
      <c r="N78" s="192"/>
      <c r="O78" s="192"/>
      <c r="P78" s="192"/>
      <c r="Q78" s="192"/>
      <c r="R78" s="192"/>
      <c r="S78" s="192"/>
      <c r="T78" s="192"/>
      <c r="U78" s="192"/>
      <c r="V78" s="192"/>
      <c r="W78" s="192"/>
      <c r="X78" s="192"/>
      <c r="Y78" s="194"/>
      <c r="Z78" s="194"/>
      <c r="AA78" s="194"/>
    </row>
    <row r="79" spans="1:27" ht="15.75" customHeight="1" x14ac:dyDescent="0.2">
      <c r="A79" s="192"/>
      <c r="B79" s="192"/>
      <c r="C79" s="192"/>
      <c r="D79" s="192"/>
      <c r="E79" s="192"/>
      <c r="F79" s="192"/>
      <c r="G79" s="192"/>
      <c r="H79" s="193"/>
      <c r="I79" s="192"/>
      <c r="J79" s="192"/>
      <c r="K79" s="192"/>
      <c r="L79" s="192"/>
      <c r="M79" s="192"/>
      <c r="N79" s="192"/>
      <c r="O79" s="192"/>
      <c r="P79" s="192"/>
      <c r="Q79" s="192"/>
      <c r="R79" s="192"/>
      <c r="S79" s="192"/>
      <c r="T79" s="192"/>
      <c r="U79" s="192"/>
      <c r="V79" s="192"/>
      <c r="W79" s="192"/>
      <c r="X79" s="192"/>
      <c r="Y79" s="194"/>
      <c r="Z79" s="194"/>
      <c r="AA79" s="194"/>
    </row>
    <row r="80" spans="1:27" ht="15.75" customHeight="1" x14ac:dyDescent="0.2">
      <c r="A80" s="192"/>
      <c r="B80" s="192"/>
      <c r="C80" s="192"/>
      <c r="D80" s="192"/>
      <c r="E80" s="192"/>
      <c r="F80" s="192"/>
      <c r="G80" s="192"/>
      <c r="H80" s="193"/>
      <c r="I80" s="192"/>
      <c r="J80" s="192"/>
      <c r="K80" s="192"/>
      <c r="L80" s="192"/>
      <c r="M80" s="192"/>
      <c r="N80" s="192"/>
      <c r="O80" s="192"/>
      <c r="P80" s="192"/>
      <c r="Q80" s="192"/>
      <c r="R80" s="192"/>
      <c r="S80" s="192"/>
      <c r="T80" s="192"/>
      <c r="U80" s="192"/>
      <c r="V80" s="192"/>
      <c r="W80" s="192"/>
      <c r="X80" s="192"/>
      <c r="Y80" s="194"/>
      <c r="Z80" s="194"/>
      <c r="AA80" s="194"/>
    </row>
    <row r="81" spans="1:27" ht="15.75" customHeight="1" x14ac:dyDescent="0.2">
      <c r="A81" s="192"/>
      <c r="B81" s="192"/>
      <c r="C81" s="192"/>
      <c r="D81" s="192"/>
      <c r="E81" s="192"/>
      <c r="F81" s="192"/>
      <c r="G81" s="192"/>
      <c r="H81" s="193"/>
      <c r="I81" s="192"/>
      <c r="J81" s="192"/>
      <c r="K81" s="192"/>
      <c r="L81" s="192"/>
      <c r="M81" s="192"/>
      <c r="N81" s="192"/>
      <c r="O81" s="192"/>
      <c r="P81" s="192"/>
      <c r="Q81" s="192"/>
      <c r="R81" s="192"/>
      <c r="S81" s="192"/>
      <c r="T81" s="192"/>
      <c r="U81" s="192"/>
      <c r="V81" s="192"/>
      <c r="W81" s="192"/>
      <c r="X81" s="192"/>
      <c r="Y81" s="194"/>
      <c r="Z81" s="194"/>
      <c r="AA81" s="194"/>
    </row>
    <row r="82" spans="1:27" ht="15.75" customHeight="1" x14ac:dyDescent="0.2">
      <c r="A82" s="192"/>
      <c r="B82" s="192"/>
      <c r="C82" s="192"/>
      <c r="D82" s="192"/>
      <c r="E82" s="192"/>
      <c r="F82" s="192"/>
      <c r="G82" s="192"/>
      <c r="H82" s="193"/>
      <c r="I82" s="192"/>
      <c r="J82" s="192"/>
      <c r="K82" s="192"/>
      <c r="L82" s="192"/>
      <c r="M82" s="192"/>
      <c r="N82" s="192"/>
      <c r="O82" s="192"/>
      <c r="P82" s="192"/>
      <c r="Q82" s="192"/>
      <c r="R82" s="192"/>
      <c r="S82" s="192"/>
      <c r="T82" s="192"/>
      <c r="U82" s="192"/>
      <c r="V82" s="192"/>
      <c r="W82" s="192"/>
      <c r="X82" s="192"/>
      <c r="Y82" s="194"/>
      <c r="Z82" s="194"/>
      <c r="AA82" s="194"/>
    </row>
    <row r="83" spans="1:27" ht="15.75" customHeight="1" x14ac:dyDescent="0.2">
      <c r="A83" s="192"/>
      <c r="B83" s="192"/>
      <c r="C83" s="192"/>
      <c r="D83" s="192"/>
      <c r="E83" s="192"/>
      <c r="F83" s="192"/>
      <c r="G83" s="192"/>
      <c r="H83" s="193"/>
      <c r="I83" s="192"/>
      <c r="J83" s="192"/>
      <c r="K83" s="192"/>
      <c r="L83" s="192"/>
      <c r="M83" s="192"/>
      <c r="N83" s="192"/>
      <c r="O83" s="192"/>
      <c r="P83" s="192"/>
      <c r="Q83" s="192"/>
      <c r="R83" s="192"/>
      <c r="S83" s="192"/>
      <c r="T83" s="192"/>
      <c r="U83" s="192"/>
      <c r="V83" s="192"/>
      <c r="W83" s="192"/>
      <c r="X83" s="192"/>
      <c r="Y83" s="194"/>
      <c r="Z83" s="194"/>
      <c r="AA83" s="194"/>
    </row>
    <row r="84" spans="1:27" ht="15.75" customHeight="1" x14ac:dyDescent="0.2">
      <c r="A84" s="192"/>
      <c r="B84" s="192"/>
      <c r="C84" s="192"/>
      <c r="D84" s="192"/>
      <c r="E84" s="192"/>
      <c r="F84" s="192"/>
      <c r="G84" s="192"/>
      <c r="H84" s="193"/>
      <c r="I84" s="192"/>
      <c r="J84" s="192"/>
      <c r="K84" s="192"/>
      <c r="L84" s="192"/>
      <c r="M84" s="192"/>
      <c r="N84" s="192"/>
      <c r="O84" s="192"/>
      <c r="P84" s="192"/>
      <c r="Q84" s="192"/>
      <c r="R84" s="192"/>
      <c r="S84" s="192"/>
      <c r="T84" s="192"/>
      <c r="U84" s="192"/>
      <c r="V84" s="192"/>
      <c r="W84" s="192"/>
      <c r="X84" s="192"/>
      <c r="Y84" s="194"/>
      <c r="Z84" s="194"/>
      <c r="AA84" s="194"/>
    </row>
    <row r="85" spans="1:27" ht="15.75" customHeight="1" x14ac:dyDescent="0.2">
      <c r="A85" s="192"/>
      <c r="B85" s="192"/>
      <c r="C85" s="192"/>
      <c r="D85" s="192"/>
      <c r="E85" s="192"/>
      <c r="F85" s="192"/>
      <c r="G85" s="192"/>
      <c r="H85" s="193"/>
      <c r="I85" s="192"/>
      <c r="J85" s="192"/>
      <c r="K85" s="192"/>
      <c r="L85" s="192"/>
      <c r="M85" s="192"/>
      <c r="N85" s="192"/>
      <c r="O85" s="192"/>
      <c r="P85" s="192"/>
      <c r="Q85" s="192"/>
      <c r="R85" s="192"/>
      <c r="S85" s="192"/>
      <c r="T85" s="192"/>
      <c r="U85" s="192"/>
      <c r="V85" s="192"/>
      <c r="W85" s="192"/>
      <c r="X85" s="192"/>
      <c r="Y85" s="194"/>
      <c r="Z85" s="194"/>
      <c r="AA85" s="194"/>
    </row>
    <row r="86" spans="1:27" ht="15.75" customHeight="1" x14ac:dyDescent="0.2">
      <c r="A86" s="192"/>
      <c r="B86" s="192"/>
      <c r="C86" s="192"/>
      <c r="D86" s="192"/>
      <c r="E86" s="192"/>
      <c r="F86" s="192"/>
      <c r="G86" s="192"/>
      <c r="H86" s="193"/>
      <c r="I86" s="192"/>
      <c r="J86" s="192"/>
      <c r="K86" s="192"/>
      <c r="L86" s="192"/>
      <c r="M86" s="192"/>
      <c r="N86" s="192"/>
      <c r="O86" s="192"/>
      <c r="P86" s="192"/>
      <c r="Q86" s="192"/>
      <c r="R86" s="192"/>
      <c r="S86" s="192"/>
      <c r="T86" s="192"/>
      <c r="U86" s="192"/>
      <c r="V86" s="192"/>
      <c r="W86" s="192"/>
      <c r="X86" s="192"/>
      <c r="Y86" s="194"/>
      <c r="Z86" s="194"/>
      <c r="AA86" s="194"/>
    </row>
    <row r="87" spans="1:27" ht="15.75" customHeight="1" x14ac:dyDescent="0.2">
      <c r="A87" s="192"/>
      <c r="B87" s="192"/>
      <c r="C87" s="192"/>
      <c r="D87" s="192"/>
      <c r="E87" s="192"/>
      <c r="F87" s="192"/>
      <c r="G87" s="192"/>
      <c r="H87" s="193"/>
      <c r="I87" s="192"/>
      <c r="J87" s="192"/>
      <c r="K87" s="192"/>
      <c r="L87" s="192"/>
      <c r="M87" s="192"/>
      <c r="N87" s="192"/>
      <c r="O87" s="192"/>
      <c r="P87" s="192"/>
      <c r="Q87" s="192"/>
      <c r="R87" s="192"/>
      <c r="S87" s="192"/>
      <c r="T87" s="192"/>
      <c r="U87" s="192"/>
      <c r="V87" s="192"/>
      <c r="W87" s="192"/>
      <c r="X87" s="192"/>
      <c r="Y87" s="194"/>
      <c r="Z87" s="194"/>
      <c r="AA87" s="194"/>
    </row>
    <row r="88" spans="1:27" ht="15.75" customHeight="1" x14ac:dyDescent="0.2">
      <c r="A88" s="192"/>
      <c r="B88" s="192"/>
      <c r="C88" s="192"/>
      <c r="D88" s="192"/>
      <c r="E88" s="192"/>
      <c r="F88" s="192"/>
      <c r="G88" s="192"/>
      <c r="H88" s="193"/>
      <c r="I88" s="192"/>
      <c r="J88" s="192"/>
      <c r="K88" s="192"/>
      <c r="L88" s="192"/>
      <c r="M88" s="192"/>
      <c r="N88" s="192"/>
      <c r="O88" s="192"/>
      <c r="P88" s="192"/>
      <c r="Q88" s="192"/>
      <c r="R88" s="192"/>
      <c r="S88" s="192"/>
      <c r="T88" s="192"/>
      <c r="U88" s="192"/>
      <c r="V88" s="192"/>
      <c r="W88" s="192"/>
      <c r="X88" s="192"/>
      <c r="Y88" s="194"/>
      <c r="Z88" s="194"/>
      <c r="AA88" s="194"/>
    </row>
    <row r="89" spans="1:27" ht="15.75" customHeight="1" x14ac:dyDescent="0.2">
      <c r="A89" s="192"/>
      <c r="B89" s="192"/>
      <c r="C89" s="192"/>
      <c r="D89" s="192"/>
      <c r="E89" s="192"/>
      <c r="F89" s="192"/>
      <c r="G89" s="192"/>
      <c r="H89" s="193"/>
      <c r="I89" s="192"/>
      <c r="J89" s="192"/>
      <c r="K89" s="192"/>
      <c r="L89" s="192"/>
      <c r="M89" s="192"/>
      <c r="N89" s="192"/>
      <c r="O89" s="192"/>
      <c r="P89" s="192"/>
      <c r="Q89" s="192"/>
      <c r="R89" s="192"/>
      <c r="S89" s="192"/>
      <c r="T89" s="192"/>
      <c r="U89" s="192"/>
      <c r="V89" s="192"/>
      <c r="W89" s="192"/>
      <c r="X89" s="192"/>
      <c r="Y89" s="194"/>
      <c r="Z89" s="194"/>
      <c r="AA89" s="194"/>
    </row>
    <row r="90" spans="1:27" ht="15.75" customHeight="1" x14ac:dyDescent="0.2">
      <c r="A90" s="192"/>
      <c r="B90" s="192"/>
      <c r="C90" s="192"/>
      <c r="D90" s="192"/>
      <c r="E90" s="192"/>
      <c r="F90" s="192"/>
      <c r="G90" s="192"/>
      <c r="H90" s="193"/>
      <c r="I90" s="192"/>
      <c r="J90" s="192"/>
      <c r="K90" s="192"/>
      <c r="L90" s="192"/>
      <c r="M90" s="192"/>
      <c r="N90" s="192"/>
      <c r="O90" s="192"/>
      <c r="P90" s="192"/>
      <c r="Q90" s="192"/>
      <c r="R90" s="192"/>
      <c r="S90" s="192"/>
      <c r="T90" s="192"/>
      <c r="U90" s="192"/>
      <c r="V90" s="192"/>
      <c r="W90" s="192"/>
      <c r="X90" s="192"/>
      <c r="Y90" s="194"/>
      <c r="Z90" s="194"/>
      <c r="AA90" s="194"/>
    </row>
    <row r="91" spans="1:27" ht="15.75" customHeight="1" x14ac:dyDescent="0.2">
      <c r="A91" s="192"/>
      <c r="B91" s="192"/>
      <c r="C91" s="192"/>
      <c r="D91" s="192"/>
      <c r="E91" s="192"/>
      <c r="F91" s="192"/>
      <c r="G91" s="192"/>
      <c r="H91" s="193"/>
      <c r="I91" s="192"/>
      <c r="J91" s="192"/>
      <c r="K91" s="192"/>
      <c r="L91" s="192"/>
      <c r="M91" s="192"/>
      <c r="N91" s="192"/>
      <c r="O91" s="192"/>
      <c r="P91" s="192"/>
      <c r="Q91" s="192"/>
      <c r="R91" s="192"/>
      <c r="S91" s="192"/>
      <c r="T91" s="192"/>
      <c r="U91" s="192"/>
      <c r="V91" s="192"/>
      <c r="W91" s="192"/>
      <c r="X91" s="192"/>
      <c r="Y91" s="194"/>
      <c r="Z91" s="194"/>
      <c r="AA91" s="194"/>
    </row>
    <row r="92" spans="1:27" ht="15.75" customHeight="1" x14ac:dyDescent="0.2">
      <c r="A92" s="192"/>
      <c r="B92" s="192"/>
      <c r="C92" s="192"/>
      <c r="D92" s="192"/>
      <c r="E92" s="192"/>
      <c r="F92" s="192"/>
      <c r="G92" s="192"/>
      <c r="H92" s="193"/>
      <c r="I92" s="192"/>
      <c r="J92" s="192"/>
      <c r="K92" s="192"/>
      <c r="L92" s="192"/>
      <c r="M92" s="192"/>
      <c r="N92" s="192"/>
      <c r="O92" s="192"/>
      <c r="P92" s="192"/>
      <c r="Q92" s="192"/>
      <c r="R92" s="192"/>
      <c r="S92" s="192"/>
      <c r="T92" s="192"/>
      <c r="U92" s="192"/>
      <c r="V92" s="192"/>
      <c r="W92" s="192"/>
      <c r="X92" s="192"/>
      <c r="Y92" s="194"/>
      <c r="Z92" s="194"/>
      <c r="AA92" s="194"/>
    </row>
    <row r="93" spans="1:27" ht="15.75" customHeight="1" x14ac:dyDescent="0.2">
      <c r="A93" s="192"/>
      <c r="B93" s="192"/>
      <c r="C93" s="192"/>
      <c r="D93" s="192"/>
      <c r="E93" s="192"/>
      <c r="F93" s="192"/>
      <c r="G93" s="192"/>
      <c r="H93" s="193"/>
      <c r="I93" s="192"/>
      <c r="J93" s="192"/>
      <c r="K93" s="192"/>
      <c r="L93" s="192"/>
      <c r="M93" s="192"/>
      <c r="N93" s="192"/>
      <c r="O93" s="192"/>
      <c r="P93" s="192"/>
      <c r="Q93" s="192"/>
      <c r="R93" s="192"/>
      <c r="S93" s="192"/>
      <c r="T93" s="192"/>
      <c r="U93" s="192"/>
      <c r="V93" s="192"/>
      <c r="W93" s="192"/>
      <c r="X93" s="192"/>
      <c r="Y93" s="194"/>
      <c r="Z93" s="194"/>
      <c r="AA93" s="194"/>
    </row>
    <row r="94" spans="1:27" ht="15.75" customHeight="1" x14ac:dyDescent="0.2">
      <c r="A94" s="192"/>
      <c r="B94" s="192"/>
      <c r="C94" s="192"/>
      <c r="D94" s="192"/>
      <c r="E94" s="192"/>
      <c r="F94" s="192"/>
      <c r="G94" s="192"/>
      <c r="H94" s="193"/>
      <c r="I94" s="192"/>
      <c r="J94" s="192"/>
      <c r="K94" s="192"/>
      <c r="L94" s="192"/>
      <c r="M94" s="192"/>
      <c r="N94" s="192"/>
      <c r="O94" s="192"/>
      <c r="P94" s="192"/>
      <c r="Q94" s="192"/>
      <c r="R94" s="192"/>
      <c r="S94" s="192"/>
      <c r="T94" s="192"/>
      <c r="U94" s="192"/>
      <c r="V94" s="192"/>
      <c r="W94" s="192"/>
      <c r="X94" s="192"/>
      <c r="Y94" s="194"/>
      <c r="Z94" s="194"/>
      <c r="AA94" s="194"/>
    </row>
    <row r="95" spans="1:27" ht="15.75" customHeight="1" x14ac:dyDescent="0.2">
      <c r="A95" s="192"/>
      <c r="B95" s="192"/>
      <c r="C95" s="192"/>
      <c r="D95" s="192"/>
      <c r="E95" s="192"/>
      <c r="F95" s="192"/>
      <c r="G95" s="192"/>
      <c r="H95" s="193"/>
      <c r="I95" s="192"/>
      <c r="J95" s="192"/>
      <c r="K95" s="192"/>
      <c r="L95" s="192"/>
      <c r="M95" s="192"/>
      <c r="N95" s="192"/>
      <c r="O95" s="192"/>
      <c r="P95" s="192"/>
      <c r="Q95" s="192"/>
      <c r="R95" s="192"/>
      <c r="S95" s="192"/>
      <c r="T95" s="192"/>
      <c r="U95" s="192"/>
      <c r="V95" s="192"/>
      <c r="W95" s="192"/>
      <c r="X95" s="192"/>
      <c r="Y95" s="194"/>
      <c r="Z95" s="194"/>
      <c r="AA95" s="194"/>
    </row>
    <row r="96" spans="1:27" ht="15.75" customHeight="1" x14ac:dyDescent="0.2">
      <c r="A96" s="192"/>
      <c r="B96" s="192"/>
      <c r="C96" s="192"/>
      <c r="D96" s="192"/>
      <c r="E96" s="192"/>
      <c r="F96" s="192"/>
      <c r="G96" s="192"/>
      <c r="H96" s="193"/>
      <c r="I96" s="192"/>
      <c r="J96" s="192"/>
      <c r="K96" s="192"/>
      <c r="L96" s="192"/>
      <c r="M96" s="192"/>
      <c r="N96" s="192"/>
      <c r="O96" s="192"/>
      <c r="P96" s="192"/>
      <c r="Q96" s="192"/>
      <c r="R96" s="192"/>
      <c r="S96" s="192"/>
      <c r="T96" s="192"/>
      <c r="U96" s="192"/>
      <c r="V96" s="192"/>
      <c r="W96" s="192"/>
      <c r="X96" s="192"/>
      <c r="Y96" s="194"/>
      <c r="Z96" s="194"/>
      <c r="AA96" s="194"/>
    </row>
    <row r="97" spans="1:27" ht="15.75" customHeight="1" x14ac:dyDescent="0.2">
      <c r="A97" s="192"/>
      <c r="B97" s="192"/>
      <c r="C97" s="192"/>
      <c r="D97" s="192"/>
      <c r="E97" s="192"/>
      <c r="F97" s="192"/>
      <c r="G97" s="192"/>
      <c r="H97" s="193"/>
      <c r="I97" s="192"/>
      <c r="J97" s="192"/>
      <c r="K97" s="192"/>
      <c r="L97" s="192"/>
      <c r="M97" s="192"/>
      <c r="N97" s="192"/>
      <c r="O97" s="192"/>
      <c r="P97" s="192"/>
      <c r="Q97" s="192"/>
      <c r="R97" s="192"/>
      <c r="S97" s="192"/>
      <c r="T97" s="192"/>
      <c r="U97" s="192"/>
      <c r="V97" s="192"/>
      <c r="W97" s="192"/>
      <c r="X97" s="192"/>
      <c r="Y97" s="194"/>
      <c r="Z97" s="194"/>
      <c r="AA97" s="194"/>
    </row>
    <row r="98" spans="1:27" ht="15.75" customHeight="1" x14ac:dyDescent="0.2">
      <c r="A98" s="192"/>
      <c r="B98" s="192"/>
      <c r="C98" s="192"/>
      <c r="D98" s="192"/>
      <c r="E98" s="192"/>
      <c r="F98" s="192"/>
      <c r="G98" s="192"/>
      <c r="H98" s="193"/>
      <c r="I98" s="192"/>
      <c r="J98" s="192"/>
      <c r="K98" s="192"/>
      <c r="L98" s="192"/>
      <c r="M98" s="192"/>
      <c r="N98" s="192"/>
      <c r="O98" s="192"/>
      <c r="P98" s="192"/>
      <c r="Q98" s="192"/>
      <c r="R98" s="192"/>
      <c r="S98" s="192"/>
      <c r="T98" s="192"/>
      <c r="U98" s="192"/>
      <c r="V98" s="192"/>
      <c r="W98" s="192"/>
      <c r="X98" s="192"/>
      <c r="Y98" s="194"/>
      <c r="Z98" s="194"/>
      <c r="AA98" s="194"/>
    </row>
    <row r="99" spans="1:27" ht="15.75" customHeight="1" x14ac:dyDescent="0.2">
      <c r="A99" s="192"/>
      <c r="B99" s="192"/>
      <c r="C99" s="192"/>
      <c r="D99" s="192"/>
      <c r="E99" s="192"/>
      <c r="F99" s="192"/>
      <c r="G99" s="192"/>
      <c r="H99" s="193"/>
      <c r="I99" s="192"/>
      <c r="J99" s="192"/>
      <c r="K99" s="192"/>
      <c r="L99" s="192"/>
      <c r="M99" s="192"/>
      <c r="N99" s="192"/>
      <c r="O99" s="192"/>
      <c r="P99" s="192"/>
      <c r="Q99" s="192"/>
      <c r="R99" s="192"/>
      <c r="S99" s="192"/>
      <c r="T99" s="192"/>
      <c r="U99" s="192"/>
      <c r="V99" s="192"/>
      <c r="W99" s="192"/>
      <c r="X99" s="192"/>
      <c r="Y99" s="194"/>
      <c r="Z99" s="194"/>
      <c r="AA99" s="194"/>
    </row>
    <row r="100" spans="1:27" ht="15.75" customHeight="1" x14ac:dyDescent="0.2">
      <c r="A100" s="192"/>
      <c r="B100" s="192"/>
      <c r="C100" s="192"/>
      <c r="D100" s="192"/>
      <c r="E100" s="192"/>
      <c r="F100" s="192"/>
      <c r="G100" s="192"/>
      <c r="H100" s="193"/>
      <c r="I100" s="192"/>
      <c r="J100" s="192"/>
      <c r="K100" s="192"/>
      <c r="L100" s="192"/>
      <c r="M100" s="192"/>
      <c r="N100" s="192"/>
      <c r="O100" s="192"/>
      <c r="P100" s="192"/>
      <c r="Q100" s="192"/>
      <c r="R100" s="192"/>
      <c r="S100" s="192"/>
      <c r="T100" s="192"/>
      <c r="U100" s="192"/>
      <c r="V100" s="192"/>
      <c r="W100" s="192"/>
      <c r="X100" s="192"/>
      <c r="Y100" s="194"/>
      <c r="Z100" s="194"/>
      <c r="AA100" s="194"/>
    </row>
    <row r="101" spans="1:27" ht="15.75" customHeight="1" x14ac:dyDescent="0.2">
      <c r="A101" s="192"/>
      <c r="B101" s="192"/>
      <c r="C101" s="192"/>
      <c r="D101" s="192"/>
      <c r="E101" s="192"/>
      <c r="F101" s="192"/>
      <c r="G101" s="192"/>
      <c r="H101" s="193"/>
      <c r="I101" s="192"/>
      <c r="J101" s="192"/>
      <c r="K101" s="192"/>
      <c r="L101" s="192"/>
      <c r="M101" s="192"/>
      <c r="N101" s="192"/>
      <c r="O101" s="192"/>
      <c r="P101" s="192"/>
      <c r="Q101" s="192"/>
      <c r="R101" s="192"/>
      <c r="S101" s="192"/>
      <c r="T101" s="192"/>
      <c r="U101" s="192"/>
      <c r="V101" s="192"/>
      <c r="W101" s="192"/>
      <c r="X101" s="192"/>
      <c r="Y101" s="194"/>
      <c r="Z101" s="194"/>
      <c r="AA101" s="194"/>
    </row>
    <row r="102" spans="1:27" ht="15.75" customHeight="1" x14ac:dyDescent="0.2">
      <c r="A102" s="192"/>
      <c r="B102" s="192"/>
      <c r="C102" s="192"/>
      <c r="D102" s="192"/>
      <c r="E102" s="192"/>
      <c r="F102" s="192"/>
      <c r="G102" s="192"/>
      <c r="H102" s="193"/>
      <c r="I102" s="192"/>
      <c r="J102" s="192"/>
      <c r="K102" s="192"/>
      <c r="L102" s="192"/>
      <c r="M102" s="192"/>
      <c r="N102" s="192"/>
      <c r="O102" s="192"/>
      <c r="P102" s="192"/>
      <c r="Q102" s="192"/>
      <c r="R102" s="192"/>
      <c r="S102" s="192"/>
      <c r="T102" s="192"/>
      <c r="U102" s="192"/>
      <c r="V102" s="192"/>
      <c r="W102" s="192"/>
      <c r="X102" s="192"/>
      <c r="Y102" s="194"/>
      <c r="Z102" s="194"/>
      <c r="AA102" s="194"/>
    </row>
    <row r="103" spans="1:27" ht="15.75" customHeight="1" x14ac:dyDescent="0.2">
      <c r="A103" s="192"/>
      <c r="B103" s="192"/>
      <c r="C103" s="192"/>
      <c r="D103" s="192"/>
      <c r="E103" s="192"/>
      <c r="F103" s="192"/>
      <c r="G103" s="192"/>
      <c r="H103" s="193"/>
      <c r="I103" s="192"/>
      <c r="J103" s="192"/>
      <c r="K103" s="192"/>
      <c r="L103" s="192"/>
      <c r="M103" s="192"/>
      <c r="N103" s="192"/>
      <c r="O103" s="192"/>
      <c r="P103" s="192"/>
      <c r="Q103" s="192"/>
      <c r="R103" s="192"/>
      <c r="S103" s="192"/>
      <c r="T103" s="192"/>
      <c r="U103" s="192"/>
      <c r="V103" s="192"/>
      <c r="W103" s="192"/>
      <c r="X103" s="192"/>
      <c r="Y103" s="194"/>
      <c r="Z103" s="194"/>
      <c r="AA103" s="194"/>
    </row>
    <row r="104" spans="1:27" ht="15.75" customHeight="1" x14ac:dyDescent="0.2">
      <c r="A104" s="192"/>
      <c r="B104" s="192"/>
      <c r="C104" s="192"/>
      <c r="D104" s="192"/>
      <c r="E104" s="192"/>
      <c r="F104" s="192"/>
      <c r="G104" s="192"/>
      <c r="H104" s="193"/>
      <c r="I104" s="192"/>
      <c r="J104" s="192"/>
      <c r="K104" s="192"/>
      <c r="L104" s="192"/>
      <c r="M104" s="192"/>
      <c r="N104" s="192"/>
      <c r="O104" s="192"/>
      <c r="P104" s="192"/>
      <c r="Q104" s="192"/>
      <c r="R104" s="192"/>
      <c r="S104" s="192"/>
      <c r="T104" s="192"/>
      <c r="U104" s="192"/>
      <c r="V104" s="192"/>
      <c r="W104" s="192"/>
      <c r="X104" s="192"/>
      <c r="Y104" s="194"/>
      <c r="Z104" s="194"/>
      <c r="AA104" s="194"/>
    </row>
    <row r="105" spans="1:27" ht="15.75" customHeight="1" x14ac:dyDescent="0.2">
      <c r="A105" s="192"/>
      <c r="B105" s="192"/>
      <c r="C105" s="192"/>
      <c r="D105" s="192"/>
      <c r="E105" s="192"/>
      <c r="F105" s="192"/>
      <c r="G105" s="192"/>
      <c r="H105" s="193"/>
      <c r="I105" s="192"/>
      <c r="J105" s="192"/>
      <c r="K105" s="192"/>
      <c r="L105" s="192"/>
      <c r="M105" s="192"/>
      <c r="N105" s="192"/>
      <c r="O105" s="192"/>
      <c r="P105" s="192"/>
      <c r="Q105" s="192"/>
      <c r="R105" s="192"/>
      <c r="S105" s="192"/>
      <c r="T105" s="192"/>
      <c r="U105" s="192"/>
      <c r="V105" s="192"/>
      <c r="W105" s="192"/>
      <c r="X105" s="192"/>
      <c r="Y105" s="194"/>
      <c r="Z105" s="194"/>
      <c r="AA105" s="194"/>
    </row>
    <row r="106" spans="1:27" ht="15.75" customHeight="1" x14ac:dyDescent="0.2">
      <c r="A106" s="192"/>
      <c r="B106" s="192"/>
      <c r="C106" s="192"/>
      <c r="D106" s="192"/>
      <c r="E106" s="192"/>
      <c r="F106" s="192"/>
      <c r="G106" s="192"/>
      <c r="H106" s="193"/>
      <c r="I106" s="192"/>
      <c r="J106" s="192"/>
      <c r="K106" s="192"/>
      <c r="L106" s="192"/>
      <c r="M106" s="192"/>
      <c r="N106" s="192"/>
      <c r="O106" s="192"/>
      <c r="P106" s="192"/>
      <c r="Q106" s="192"/>
      <c r="R106" s="192"/>
      <c r="S106" s="192"/>
      <c r="T106" s="192"/>
      <c r="U106" s="192"/>
      <c r="V106" s="192"/>
      <c r="W106" s="192"/>
      <c r="X106" s="192"/>
      <c r="Y106" s="194"/>
      <c r="Z106" s="194"/>
      <c r="AA106" s="194"/>
    </row>
    <row r="107" spans="1:27" ht="15.75" customHeight="1" x14ac:dyDescent="0.2">
      <c r="A107" s="192"/>
      <c r="B107" s="192"/>
      <c r="C107" s="192"/>
      <c r="D107" s="192"/>
      <c r="E107" s="192"/>
      <c r="F107" s="192"/>
      <c r="G107" s="192"/>
      <c r="H107" s="193"/>
      <c r="I107" s="192"/>
      <c r="J107" s="192"/>
      <c r="K107" s="192"/>
      <c r="L107" s="192"/>
      <c r="M107" s="192"/>
      <c r="N107" s="192"/>
      <c r="O107" s="192"/>
      <c r="P107" s="192"/>
      <c r="Q107" s="192"/>
      <c r="R107" s="192"/>
      <c r="S107" s="192"/>
      <c r="T107" s="192"/>
      <c r="U107" s="192"/>
      <c r="V107" s="192"/>
      <c r="W107" s="192"/>
      <c r="X107" s="192"/>
      <c r="Y107" s="194"/>
      <c r="Z107" s="194"/>
      <c r="AA107" s="194"/>
    </row>
    <row r="108" spans="1:27" ht="15.75" customHeight="1" x14ac:dyDescent="0.2">
      <c r="A108" s="192"/>
      <c r="B108" s="192"/>
      <c r="C108" s="192"/>
      <c r="D108" s="192"/>
      <c r="E108" s="192"/>
      <c r="F108" s="192"/>
      <c r="G108" s="192"/>
      <c r="H108" s="193"/>
      <c r="I108" s="192"/>
      <c r="J108" s="192"/>
      <c r="K108" s="192"/>
      <c r="L108" s="192"/>
      <c r="M108" s="192"/>
      <c r="N108" s="192"/>
      <c r="O108" s="192"/>
      <c r="P108" s="192"/>
      <c r="Q108" s="192"/>
      <c r="R108" s="192"/>
      <c r="S108" s="192"/>
      <c r="T108" s="192"/>
      <c r="U108" s="192"/>
      <c r="V108" s="192"/>
      <c r="W108" s="192"/>
      <c r="X108" s="192"/>
      <c r="Y108" s="194"/>
      <c r="Z108" s="194"/>
      <c r="AA108" s="194"/>
    </row>
    <row r="109" spans="1:27" ht="15.75" customHeight="1" x14ac:dyDescent="0.2">
      <c r="A109" s="192"/>
      <c r="B109" s="192"/>
      <c r="C109" s="192"/>
      <c r="D109" s="192"/>
      <c r="E109" s="192"/>
      <c r="F109" s="192"/>
      <c r="G109" s="192"/>
      <c r="H109" s="193"/>
      <c r="I109" s="192"/>
      <c r="J109" s="192"/>
      <c r="K109" s="192"/>
      <c r="L109" s="192"/>
      <c r="M109" s="192"/>
      <c r="N109" s="192"/>
      <c r="O109" s="192"/>
      <c r="P109" s="192"/>
      <c r="Q109" s="192"/>
      <c r="R109" s="192"/>
      <c r="S109" s="192"/>
      <c r="T109" s="192"/>
      <c r="U109" s="192"/>
      <c r="V109" s="192"/>
      <c r="W109" s="192"/>
      <c r="X109" s="192"/>
      <c r="Y109" s="194"/>
      <c r="Z109" s="194"/>
      <c r="AA109" s="194"/>
    </row>
    <row r="110" spans="1:27" ht="15.75" customHeight="1" x14ac:dyDescent="0.2">
      <c r="A110" s="192"/>
      <c r="B110" s="192"/>
      <c r="C110" s="192"/>
      <c r="D110" s="192"/>
      <c r="E110" s="192"/>
      <c r="F110" s="192"/>
      <c r="G110" s="192"/>
      <c r="H110" s="193"/>
      <c r="I110" s="192"/>
      <c r="J110" s="192"/>
      <c r="K110" s="192"/>
      <c r="L110" s="192"/>
      <c r="M110" s="192"/>
      <c r="N110" s="192"/>
      <c r="O110" s="192"/>
      <c r="P110" s="192"/>
      <c r="Q110" s="192"/>
      <c r="R110" s="192"/>
      <c r="S110" s="192"/>
      <c r="T110" s="192"/>
      <c r="U110" s="192"/>
      <c r="V110" s="192"/>
      <c r="W110" s="192"/>
      <c r="X110" s="192"/>
      <c r="Y110" s="194"/>
      <c r="Z110" s="194"/>
      <c r="AA110" s="194"/>
    </row>
    <row r="111" spans="1:27" ht="15.75" customHeight="1" x14ac:dyDescent="0.2">
      <c r="A111" s="192"/>
      <c r="B111" s="192"/>
      <c r="C111" s="192"/>
      <c r="D111" s="192"/>
      <c r="E111" s="192"/>
      <c r="F111" s="192"/>
      <c r="G111" s="192"/>
      <c r="H111" s="193"/>
      <c r="I111" s="192"/>
      <c r="J111" s="192"/>
      <c r="K111" s="192"/>
      <c r="L111" s="192"/>
      <c r="M111" s="192"/>
      <c r="N111" s="192"/>
      <c r="O111" s="192"/>
      <c r="P111" s="192"/>
      <c r="Q111" s="192"/>
      <c r="R111" s="192"/>
      <c r="S111" s="192"/>
      <c r="T111" s="192"/>
      <c r="U111" s="192"/>
      <c r="V111" s="192"/>
      <c r="W111" s="192"/>
      <c r="X111" s="192"/>
      <c r="Y111" s="194"/>
      <c r="Z111" s="194"/>
      <c r="AA111" s="194"/>
    </row>
    <row r="112" spans="1:27" ht="15.75" customHeight="1" x14ac:dyDescent="0.2">
      <c r="A112" s="192"/>
      <c r="B112" s="192"/>
      <c r="C112" s="192"/>
      <c r="D112" s="192"/>
      <c r="E112" s="192"/>
      <c r="F112" s="192"/>
      <c r="G112" s="192"/>
      <c r="H112" s="193"/>
      <c r="I112" s="192"/>
      <c r="J112" s="192"/>
      <c r="K112" s="192"/>
      <c r="L112" s="192"/>
      <c r="M112" s="192"/>
      <c r="N112" s="192"/>
      <c r="O112" s="192"/>
      <c r="P112" s="192"/>
      <c r="Q112" s="192"/>
      <c r="R112" s="192"/>
      <c r="S112" s="192"/>
      <c r="T112" s="192"/>
      <c r="U112" s="192"/>
      <c r="V112" s="192"/>
      <c r="W112" s="192"/>
      <c r="X112" s="192"/>
      <c r="Y112" s="194"/>
      <c r="Z112" s="194"/>
      <c r="AA112" s="194"/>
    </row>
    <row r="113" spans="1:27" ht="15.75" customHeight="1" x14ac:dyDescent="0.2">
      <c r="A113" s="192"/>
      <c r="B113" s="192"/>
      <c r="C113" s="192"/>
      <c r="D113" s="192"/>
      <c r="E113" s="192"/>
      <c r="F113" s="192"/>
      <c r="G113" s="192"/>
      <c r="H113" s="193"/>
      <c r="I113" s="192"/>
      <c r="J113" s="192"/>
      <c r="K113" s="192"/>
      <c r="L113" s="192"/>
      <c r="M113" s="192"/>
      <c r="N113" s="192"/>
      <c r="O113" s="192"/>
      <c r="P113" s="192"/>
      <c r="Q113" s="192"/>
      <c r="R113" s="192"/>
      <c r="S113" s="192"/>
      <c r="T113" s="192"/>
      <c r="U113" s="192"/>
      <c r="V113" s="192"/>
      <c r="W113" s="192"/>
      <c r="X113" s="192"/>
      <c r="Y113" s="194"/>
      <c r="Z113" s="194"/>
      <c r="AA113" s="194"/>
    </row>
    <row r="114" spans="1:27" ht="15.75" customHeight="1" x14ac:dyDescent="0.2">
      <c r="A114" s="192"/>
      <c r="B114" s="192"/>
      <c r="C114" s="192"/>
      <c r="D114" s="192"/>
      <c r="E114" s="192"/>
      <c r="F114" s="192"/>
      <c r="G114" s="192"/>
      <c r="H114" s="193"/>
      <c r="I114" s="192"/>
      <c r="J114" s="192"/>
      <c r="K114" s="192"/>
      <c r="L114" s="192"/>
      <c r="M114" s="192"/>
      <c r="N114" s="192"/>
      <c r="O114" s="192"/>
      <c r="P114" s="192"/>
      <c r="Q114" s="192"/>
      <c r="R114" s="192"/>
      <c r="S114" s="192"/>
      <c r="T114" s="192"/>
      <c r="U114" s="192"/>
      <c r="V114" s="192"/>
      <c r="W114" s="192"/>
      <c r="X114" s="192"/>
      <c r="Y114" s="194"/>
      <c r="Z114" s="194"/>
      <c r="AA114" s="194"/>
    </row>
    <row r="115" spans="1:27" ht="15.75" customHeight="1" x14ac:dyDescent="0.2">
      <c r="A115" s="192"/>
      <c r="B115" s="192"/>
      <c r="C115" s="192"/>
      <c r="D115" s="192"/>
      <c r="E115" s="192"/>
      <c r="F115" s="192"/>
      <c r="G115" s="192"/>
      <c r="H115" s="193"/>
      <c r="I115" s="192"/>
      <c r="J115" s="192"/>
      <c r="K115" s="192"/>
      <c r="L115" s="192"/>
      <c r="M115" s="192"/>
      <c r="N115" s="192"/>
      <c r="O115" s="192"/>
      <c r="P115" s="192"/>
      <c r="Q115" s="192"/>
      <c r="R115" s="192"/>
      <c r="S115" s="192"/>
      <c r="T115" s="192"/>
      <c r="U115" s="192"/>
      <c r="V115" s="192"/>
      <c r="W115" s="192"/>
      <c r="X115" s="192"/>
      <c r="Y115" s="194"/>
      <c r="Z115" s="194"/>
      <c r="AA115" s="194"/>
    </row>
    <row r="116" spans="1:27" ht="15.75" customHeight="1" x14ac:dyDescent="0.2">
      <c r="A116" s="192"/>
      <c r="B116" s="192"/>
      <c r="C116" s="192"/>
      <c r="D116" s="192"/>
      <c r="E116" s="192"/>
      <c r="F116" s="192"/>
      <c r="G116" s="192"/>
      <c r="H116" s="193"/>
      <c r="I116" s="192"/>
      <c r="J116" s="192"/>
      <c r="K116" s="192"/>
      <c r="L116" s="192"/>
      <c r="M116" s="192"/>
      <c r="N116" s="192"/>
      <c r="O116" s="192"/>
      <c r="P116" s="192"/>
      <c r="Q116" s="192"/>
      <c r="R116" s="192"/>
      <c r="S116" s="192"/>
      <c r="T116" s="192"/>
      <c r="U116" s="192"/>
      <c r="V116" s="192"/>
      <c r="W116" s="192"/>
      <c r="X116" s="192"/>
      <c r="Y116" s="194"/>
      <c r="Z116" s="194"/>
      <c r="AA116" s="194"/>
    </row>
    <row r="117" spans="1:27" ht="15.75" customHeight="1" x14ac:dyDescent="0.2">
      <c r="A117" s="192"/>
      <c r="B117" s="192"/>
      <c r="C117" s="192"/>
      <c r="D117" s="192"/>
      <c r="E117" s="192"/>
      <c r="F117" s="192"/>
      <c r="G117" s="192"/>
      <c r="H117" s="193"/>
      <c r="I117" s="192"/>
      <c r="J117" s="192"/>
      <c r="K117" s="192"/>
      <c r="L117" s="192"/>
      <c r="M117" s="192"/>
      <c r="N117" s="192"/>
      <c r="O117" s="192"/>
      <c r="P117" s="192"/>
      <c r="Q117" s="192"/>
      <c r="R117" s="192"/>
      <c r="S117" s="192"/>
      <c r="T117" s="192"/>
      <c r="U117" s="192"/>
      <c r="V117" s="192"/>
      <c r="W117" s="192"/>
      <c r="X117" s="192"/>
      <c r="Y117" s="194"/>
      <c r="Z117" s="194"/>
      <c r="AA117" s="194"/>
    </row>
    <row r="118" spans="1:27" ht="15.75" customHeight="1" x14ac:dyDescent="0.2">
      <c r="A118" s="192"/>
      <c r="B118" s="192"/>
      <c r="C118" s="192"/>
      <c r="D118" s="192"/>
      <c r="E118" s="192"/>
      <c r="F118" s="192"/>
      <c r="G118" s="192"/>
      <c r="H118" s="193"/>
      <c r="I118" s="192"/>
      <c r="J118" s="192"/>
      <c r="K118" s="192"/>
      <c r="L118" s="192"/>
      <c r="M118" s="192"/>
      <c r="N118" s="192"/>
      <c r="O118" s="192"/>
      <c r="P118" s="192"/>
      <c r="Q118" s="192"/>
      <c r="R118" s="192"/>
      <c r="S118" s="192"/>
      <c r="T118" s="192"/>
      <c r="U118" s="192"/>
      <c r="V118" s="192"/>
      <c r="W118" s="192"/>
      <c r="X118" s="192"/>
      <c r="Y118" s="194"/>
      <c r="Z118" s="194"/>
      <c r="AA118" s="194"/>
    </row>
    <row r="119" spans="1:27" ht="15.75" customHeight="1" x14ac:dyDescent="0.2">
      <c r="A119" s="192"/>
      <c r="B119" s="192"/>
      <c r="C119" s="192"/>
      <c r="D119" s="192"/>
      <c r="E119" s="192"/>
      <c r="F119" s="192"/>
      <c r="G119" s="192"/>
      <c r="H119" s="193"/>
      <c r="I119" s="192"/>
      <c r="J119" s="192"/>
      <c r="K119" s="192"/>
      <c r="L119" s="192"/>
      <c r="M119" s="192"/>
      <c r="N119" s="192"/>
      <c r="O119" s="192"/>
      <c r="P119" s="192"/>
      <c r="Q119" s="192"/>
      <c r="R119" s="192"/>
      <c r="S119" s="192"/>
      <c r="T119" s="192"/>
      <c r="U119" s="192"/>
      <c r="V119" s="192"/>
      <c r="W119" s="192"/>
      <c r="X119" s="192"/>
      <c r="Y119" s="194"/>
      <c r="Z119" s="194"/>
      <c r="AA119" s="194"/>
    </row>
    <row r="120" spans="1:27" ht="15.75" customHeight="1" x14ac:dyDescent="0.2">
      <c r="A120" s="192"/>
      <c r="B120" s="192"/>
      <c r="C120" s="192"/>
      <c r="D120" s="192"/>
      <c r="E120" s="192"/>
      <c r="F120" s="192"/>
      <c r="G120" s="192"/>
      <c r="H120" s="193"/>
      <c r="I120" s="192"/>
      <c r="J120" s="192"/>
      <c r="K120" s="192"/>
      <c r="L120" s="192"/>
      <c r="M120" s="192"/>
      <c r="N120" s="192"/>
      <c r="O120" s="192"/>
      <c r="P120" s="192"/>
      <c r="Q120" s="192"/>
      <c r="R120" s="192"/>
      <c r="S120" s="192"/>
      <c r="T120" s="192"/>
      <c r="U120" s="192"/>
      <c r="V120" s="192"/>
      <c r="W120" s="192"/>
      <c r="X120" s="192"/>
      <c r="Y120" s="194"/>
      <c r="Z120" s="194"/>
      <c r="AA120" s="194"/>
    </row>
    <row r="121" spans="1:27" ht="15.75" customHeight="1" x14ac:dyDescent="0.2">
      <c r="A121" s="192"/>
      <c r="B121" s="192"/>
      <c r="C121" s="192"/>
      <c r="D121" s="192"/>
      <c r="E121" s="192"/>
      <c r="F121" s="192"/>
      <c r="G121" s="192"/>
      <c r="H121" s="193"/>
      <c r="I121" s="192"/>
      <c r="J121" s="192"/>
      <c r="K121" s="192"/>
      <c r="L121" s="192"/>
      <c r="M121" s="192"/>
      <c r="N121" s="192"/>
      <c r="O121" s="192"/>
      <c r="P121" s="192"/>
      <c r="Q121" s="192"/>
      <c r="R121" s="192"/>
      <c r="S121" s="192"/>
      <c r="T121" s="192"/>
      <c r="U121" s="192"/>
      <c r="V121" s="192"/>
      <c r="W121" s="192"/>
      <c r="X121" s="192"/>
      <c r="Y121" s="194"/>
      <c r="Z121" s="194"/>
      <c r="AA121" s="194"/>
    </row>
    <row r="122" spans="1:27" ht="15.75" customHeight="1" x14ac:dyDescent="0.2">
      <c r="A122" s="192"/>
      <c r="B122" s="192"/>
      <c r="C122" s="192"/>
      <c r="D122" s="192"/>
      <c r="E122" s="192"/>
      <c r="F122" s="192"/>
      <c r="G122" s="192"/>
      <c r="H122" s="193"/>
      <c r="I122" s="192"/>
      <c r="J122" s="192"/>
      <c r="K122" s="192"/>
      <c r="L122" s="192"/>
      <c r="M122" s="192"/>
      <c r="N122" s="192"/>
      <c r="O122" s="192"/>
      <c r="P122" s="192"/>
      <c r="Q122" s="192"/>
      <c r="R122" s="192"/>
      <c r="S122" s="192"/>
      <c r="T122" s="192"/>
      <c r="U122" s="192"/>
      <c r="V122" s="192"/>
      <c r="W122" s="192"/>
      <c r="X122" s="192"/>
      <c r="Y122" s="194"/>
      <c r="Z122" s="194"/>
      <c r="AA122" s="194"/>
    </row>
    <row r="123" spans="1:27" ht="15.75" customHeight="1" x14ac:dyDescent="0.2">
      <c r="A123" s="192"/>
      <c r="B123" s="192"/>
      <c r="C123" s="192"/>
      <c r="D123" s="192"/>
      <c r="E123" s="192"/>
      <c r="F123" s="192"/>
      <c r="G123" s="192"/>
      <c r="H123" s="193"/>
      <c r="I123" s="192"/>
      <c r="J123" s="192"/>
      <c r="K123" s="192"/>
      <c r="L123" s="192"/>
      <c r="M123" s="192"/>
      <c r="N123" s="192"/>
      <c r="O123" s="192"/>
      <c r="P123" s="192"/>
      <c r="Q123" s="192"/>
      <c r="R123" s="192"/>
      <c r="S123" s="192"/>
      <c r="T123" s="192"/>
      <c r="U123" s="192"/>
      <c r="V123" s="192"/>
      <c r="W123" s="192"/>
      <c r="X123" s="192"/>
      <c r="Y123" s="194"/>
      <c r="Z123" s="194"/>
      <c r="AA123" s="194"/>
    </row>
    <row r="124" spans="1:27" ht="15.75" customHeight="1" x14ac:dyDescent="0.2">
      <c r="A124" s="192"/>
      <c r="B124" s="192"/>
      <c r="C124" s="192"/>
      <c r="D124" s="192"/>
      <c r="E124" s="192"/>
      <c r="F124" s="192"/>
      <c r="G124" s="192"/>
      <c r="H124" s="193"/>
      <c r="I124" s="192"/>
      <c r="J124" s="192"/>
      <c r="K124" s="192"/>
      <c r="L124" s="192"/>
      <c r="M124" s="192"/>
      <c r="N124" s="192"/>
      <c r="O124" s="192"/>
      <c r="P124" s="192"/>
      <c r="Q124" s="192"/>
      <c r="R124" s="192"/>
      <c r="S124" s="192"/>
      <c r="T124" s="192"/>
      <c r="U124" s="192"/>
      <c r="V124" s="192"/>
      <c r="W124" s="192"/>
      <c r="X124" s="192"/>
      <c r="Y124" s="194"/>
      <c r="Z124" s="194"/>
      <c r="AA124" s="194"/>
    </row>
    <row r="125" spans="1:27" ht="15.75" customHeight="1" x14ac:dyDescent="0.2">
      <c r="A125" s="192"/>
      <c r="B125" s="192"/>
      <c r="C125" s="192"/>
      <c r="D125" s="192"/>
      <c r="E125" s="192"/>
      <c r="F125" s="192"/>
      <c r="G125" s="192"/>
      <c r="H125" s="193"/>
      <c r="I125" s="192"/>
      <c r="J125" s="192"/>
      <c r="K125" s="192"/>
      <c r="L125" s="192"/>
      <c r="M125" s="192"/>
      <c r="N125" s="192"/>
      <c r="O125" s="192"/>
      <c r="P125" s="192"/>
      <c r="Q125" s="192"/>
      <c r="R125" s="192"/>
      <c r="S125" s="192"/>
      <c r="T125" s="192"/>
      <c r="U125" s="192"/>
      <c r="V125" s="192"/>
      <c r="W125" s="192"/>
      <c r="X125" s="192"/>
      <c r="Y125" s="194"/>
      <c r="Z125" s="194"/>
      <c r="AA125" s="194"/>
    </row>
    <row r="126" spans="1:27" ht="15.75" customHeight="1" x14ac:dyDescent="0.2">
      <c r="A126" s="192"/>
      <c r="B126" s="192"/>
      <c r="C126" s="192"/>
      <c r="D126" s="192"/>
      <c r="E126" s="192"/>
      <c r="F126" s="192"/>
      <c r="G126" s="192"/>
      <c r="H126" s="193"/>
      <c r="I126" s="192"/>
      <c r="J126" s="192"/>
      <c r="K126" s="192"/>
      <c r="L126" s="192"/>
      <c r="M126" s="192"/>
      <c r="N126" s="192"/>
      <c r="O126" s="192"/>
      <c r="P126" s="192"/>
      <c r="Q126" s="192"/>
      <c r="R126" s="192"/>
      <c r="S126" s="192"/>
      <c r="T126" s="192"/>
      <c r="U126" s="192"/>
      <c r="V126" s="192"/>
      <c r="W126" s="192"/>
      <c r="X126" s="192"/>
      <c r="Y126" s="194"/>
      <c r="Z126" s="194"/>
      <c r="AA126" s="194"/>
    </row>
    <row r="127" spans="1:27" ht="15.75" customHeight="1" x14ac:dyDescent="0.2">
      <c r="A127" s="192"/>
      <c r="B127" s="192"/>
      <c r="C127" s="192"/>
      <c r="D127" s="192"/>
      <c r="E127" s="192"/>
      <c r="F127" s="192"/>
      <c r="G127" s="192"/>
      <c r="H127" s="193"/>
      <c r="I127" s="192"/>
      <c r="J127" s="192"/>
      <c r="K127" s="192"/>
      <c r="L127" s="192"/>
      <c r="M127" s="192"/>
      <c r="N127" s="192"/>
      <c r="O127" s="192"/>
      <c r="P127" s="192"/>
      <c r="Q127" s="192"/>
      <c r="R127" s="192"/>
      <c r="S127" s="192"/>
      <c r="T127" s="192"/>
      <c r="U127" s="192"/>
      <c r="V127" s="192"/>
      <c r="W127" s="192"/>
      <c r="X127" s="192"/>
      <c r="Y127" s="194"/>
      <c r="Z127" s="194"/>
      <c r="AA127" s="194"/>
    </row>
    <row r="128" spans="1:27" ht="15.75" customHeight="1" x14ac:dyDescent="0.2">
      <c r="A128" s="192"/>
      <c r="B128" s="192"/>
      <c r="C128" s="192"/>
      <c r="D128" s="192"/>
      <c r="E128" s="192"/>
      <c r="F128" s="192"/>
      <c r="G128" s="192"/>
      <c r="H128" s="193"/>
      <c r="I128" s="192"/>
      <c r="J128" s="192"/>
      <c r="K128" s="192"/>
      <c r="L128" s="192"/>
      <c r="M128" s="192"/>
      <c r="N128" s="192"/>
      <c r="O128" s="192"/>
      <c r="P128" s="192"/>
      <c r="Q128" s="192"/>
      <c r="R128" s="192"/>
      <c r="S128" s="192"/>
      <c r="T128" s="192"/>
      <c r="U128" s="192"/>
      <c r="V128" s="192"/>
      <c r="W128" s="192"/>
      <c r="X128" s="192"/>
      <c r="Y128" s="194"/>
      <c r="Z128" s="194"/>
      <c r="AA128" s="194"/>
    </row>
    <row r="129" spans="1:27" ht="15.75" customHeight="1" x14ac:dyDescent="0.2">
      <c r="A129" s="192"/>
      <c r="B129" s="192"/>
      <c r="C129" s="192"/>
      <c r="D129" s="192"/>
      <c r="E129" s="192"/>
      <c r="F129" s="192"/>
      <c r="G129" s="192"/>
      <c r="H129" s="193"/>
      <c r="I129" s="192"/>
      <c r="J129" s="192"/>
      <c r="K129" s="192"/>
      <c r="L129" s="192"/>
      <c r="M129" s="192"/>
      <c r="N129" s="192"/>
      <c r="O129" s="192"/>
      <c r="P129" s="192"/>
      <c r="Q129" s="192"/>
      <c r="R129" s="192"/>
      <c r="S129" s="192"/>
      <c r="T129" s="192"/>
      <c r="U129" s="192"/>
      <c r="V129" s="192"/>
      <c r="W129" s="192"/>
      <c r="X129" s="192"/>
      <c r="Y129" s="194"/>
      <c r="Z129" s="194"/>
      <c r="AA129" s="194"/>
    </row>
    <row r="130" spans="1:27" ht="15.75" customHeight="1" x14ac:dyDescent="0.2">
      <c r="A130" s="192"/>
      <c r="B130" s="192"/>
      <c r="C130" s="192"/>
      <c r="D130" s="192"/>
      <c r="E130" s="192"/>
      <c r="F130" s="192"/>
      <c r="G130" s="192"/>
      <c r="H130" s="193"/>
      <c r="I130" s="192"/>
      <c r="J130" s="192"/>
      <c r="K130" s="192"/>
      <c r="L130" s="192"/>
      <c r="M130" s="192"/>
      <c r="N130" s="192"/>
      <c r="O130" s="192"/>
      <c r="P130" s="192"/>
      <c r="Q130" s="192"/>
      <c r="R130" s="192"/>
      <c r="S130" s="192"/>
      <c r="T130" s="192"/>
      <c r="U130" s="192"/>
      <c r="V130" s="192"/>
      <c r="W130" s="192"/>
      <c r="X130" s="192"/>
      <c r="Y130" s="194"/>
      <c r="Z130" s="194"/>
      <c r="AA130" s="194"/>
    </row>
    <row r="131" spans="1:27" ht="15.75" customHeight="1" x14ac:dyDescent="0.2">
      <c r="A131" s="192"/>
      <c r="B131" s="192"/>
      <c r="C131" s="192"/>
      <c r="D131" s="192"/>
      <c r="E131" s="192"/>
      <c r="F131" s="192"/>
      <c r="G131" s="192"/>
      <c r="H131" s="193"/>
      <c r="I131" s="192"/>
      <c r="J131" s="192"/>
      <c r="K131" s="192"/>
      <c r="L131" s="192"/>
      <c r="M131" s="192"/>
      <c r="N131" s="192"/>
      <c r="O131" s="192"/>
      <c r="P131" s="192"/>
      <c r="Q131" s="192"/>
      <c r="R131" s="192"/>
      <c r="S131" s="192"/>
      <c r="T131" s="192"/>
      <c r="U131" s="192"/>
      <c r="V131" s="192"/>
      <c r="W131" s="192"/>
      <c r="X131" s="192"/>
      <c r="Y131" s="194"/>
      <c r="Z131" s="194"/>
      <c r="AA131" s="194"/>
    </row>
    <row r="132" spans="1:27" ht="15.75" customHeight="1" x14ac:dyDescent="0.2">
      <c r="A132" s="192"/>
      <c r="B132" s="192"/>
      <c r="C132" s="192"/>
      <c r="D132" s="192"/>
      <c r="E132" s="192"/>
      <c r="F132" s="192"/>
      <c r="G132" s="192"/>
      <c r="H132" s="193"/>
      <c r="I132" s="192"/>
      <c r="J132" s="192"/>
      <c r="K132" s="192"/>
      <c r="L132" s="192"/>
      <c r="M132" s="192"/>
      <c r="N132" s="192"/>
      <c r="O132" s="192"/>
      <c r="P132" s="192"/>
      <c r="Q132" s="192"/>
      <c r="R132" s="192"/>
      <c r="S132" s="192"/>
      <c r="T132" s="192"/>
      <c r="U132" s="192"/>
      <c r="V132" s="192"/>
      <c r="W132" s="192"/>
      <c r="X132" s="192"/>
      <c r="Y132" s="194"/>
      <c r="Z132" s="194"/>
      <c r="AA132" s="194"/>
    </row>
    <row r="133" spans="1:27" ht="15.75" customHeight="1" x14ac:dyDescent="0.2">
      <c r="A133" s="192"/>
      <c r="B133" s="192"/>
      <c r="C133" s="192"/>
      <c r="D133" s="192"/>
      <c r="E133" s="192"/>
      <c r="F133" s="192"/>
      <c r="G133" s="192"/>
      <c r="H133" s="193"/>
      <c r="I133" s="192"/>
      <c r="J133" s="192"/>
      <c r="K133" s="192"/>
      <c r="L133" s="192"/>
      <c r="M133" s="192"/>
      <c r="N133" s="192"/>
      <c r="O133" s="192"/>
      <c r="P133" s="192"/>
      <c r="Q133" s="192"/>
      <c r="R133" s="192"/>
      <c r="S133" s="192"/>
      <c r="T133" s="192"/>
      <c r="U133" s="192"/>
      <c r="V133" s="192"/>
      <c r="W133" s="192"/>
      <c r="X133" s="192"/>
      <c r="Y133" s="194"/>
      <c r="Z133" s="194"/>
      <c r="AA133" s="194"/>
    </row>
    <row r="134" spans="1:27" ht="15.75" customHeight="1" x14ac:dyDescent="0.2">
      <c r="A134" s="192"/>
      <c r="B134" s="192"/>
      <c r="C134" s="192"/>
      <c r="D134" s="192"/>
      <c r="E134" s="192"/>
      <c r="F134" s="192"/>
      <c r="G134" s="192"/>
      <c r="H134" s="193"/>
      <c r="I134" s="192"/>
      <c r="J134" s="192"/>
      <c r="K134" s="192"/>
      <c r="L134" s="192"/>
      <c r="M134" s="192"/>
      <c r="N134" s="192"/>
      <c r="O134" s="192"/>
      <c r="P134" s="192"/>
      <c r="Q134" s="192"/>
      <c r="R134" s="192"/>
      <c r="S134" s="192"/>
      <c r="T134" s="192"/>
      <c r="U134" s="192"/>
      <c r="V134" s="192"/>
      <c r="W134" s="192"/>
      <c r="X134" s="192"/>
      <c r="Y134" s="194"/>
      <c r="Z134" s="194"/>
      <c r="AA134" s="194"/>
    </row>
    <row r="135" spans="1:27" ht="15.75" customHeight="1" x14ac:dyDescent="0.2">
      <c r="A135" s="192"/>
      <c r="B135" s="192"/>
      <c r="C135" s="192"/>
      <c r="D135" s="192"/>
      <c r="E135" s="192"/>
      <c r="F135" s="192"/>
      <c r="G135" s="192"/>
      <c r="H135" s="193"/>
      <c r="I135" s="192"/>
      <c r="J135" s="192"/>
      <c r="K135" s="192"/>
      <c r="L135" s="192"/>
      <c r="M135" s="192"/>
      <c r="N135" s="192"/>
      <c r="O135" s="192"/>
      <c r="P135" s="192"/>
      <c r="Q135" s="192"/>
      <c r="R135" s="192"/>
      <c r="S135" s="192"/>
      <c r="T135" s="192"/>
      <c r="U135" s="192"/>
      <c r="V135" s="192"/>
      <c r="W135" s="192"/>
      <c r="X135" s="192"/>
      <c r="Y135" s="194"/>
      <c r="Z135" s="194"/>
      <c r="AA135" s="194"/>
    </row>
    <row r="136" spans="1:27" ht="15.75" customHeight="1" x14ac:dyDescent="0.2">
      <c r="A136" s="192"/>
      <c r="B136" s="192"/>
      <c r="C136" s="192"/>
      <c r="D136" s="192"/>
      <c r="E136" s="192"/>
      <c r="F136" s="192"/>
      <c r="G136" s="192"/>
      <c r="H136" s="193"/>
      <c r="I136" s="192"/>
      <c r="J136" s="192"/>
      <c r="K136" s="192"/>
      <c r="L136" s="192"/>
      <c r="M136" s="192"/>
      <c r="N136" s="192"/>
      <c r="O136" s="192"/>
      <c r="P136" s="192"/>
      <c r="Q136" s="192"/>
      <c r="R136" s="192"/>
      <c r="S136" s="192"/>
      <c r="T136" s="192"/>
      <c r="U136" s="192"/>
      <c r="V136" s="192"/>
      <c r="W136" s="192"/>
      <c r="X136" s="192"/>
      <c r="Y136" s="194"/>
      <c r="Z136" s="194"/>
      <c r="AA136" s="194"/>
    </row>
    <row r="137" spans="1:27" ht="15.75" customHeight="1" x14ac:dyDescent="0.2">
      <c r="A137" s="192"/>
      <c r="B137" s="192"/>
      <c r="C137" s="192"/>
      <c r="D137" s="192"/>
      <c r="E137" s="192"/>
      <c r="F137" s="192"/>
      <c r="G137" s="192"/>
      <c r="H137" s="193"/>
      <c r="I137" s="192"/>
      <c r="J137" s="192"/>
      <c r="K137" s="192"/>
      <c r="L137" s="192"/>
      <c r="M137" s="192"/>
      <c r="N137" s="192"/>
      <c r="O137" s="192"/>
      <c r="P137" s="192"/>
      <c r="Q137" s="192"/>
      <c r="R137" s="192"/>
      <c r="S137" s="192"/>
      <c r="T137" s="192"/>
      <c r="U137" s="192"/>
      <c r="V137" s="192"/>
      <c r="W137" s="192"/>
      <c r="X137" s="192"/>
      <c r="Y137" s="194"/>
      <c r="Z137" s="194"/>
      <c r="AA137" s="194"/>
    </row>
    <row r="138" spans="1:27" ht="15.75" customHeight="1" x14ac:dyDescent="0.2">
      <c r="A138" s="192"/>
      <c r="B138" s="192"/>
      <c r="C138" s="192"/>
      <c r="D138" s="192"/>
      <c r="E138" s="192"/>
      <c r="F138" s="192"/>
      <c r="G138" s="192"/>
      <c r="H138" s="193"/>
      <c r="I138" s="192"/>
      <c r="J138" s="192"/>
      <c r="K138" s="192"/>
      <c r="L138" s="192"/>
      <c r="M138" s="192"/>
      <c r="N138" s="192"/>
      <c r="O138" s="192"/>
      <c r="P138" s="192"/>
      <c r="Q138" s="192"/>
      <c r="R138" s="192"/>
      <c r="S138" s="192"/>
      <c r="T138" s="192"/>
      <c r="U138" s="192"/>
      <c r="V138" s="192"/>
      <c r="W138" s="192"/>
      <c r="X138" s="192"/>
      <c r="Y138" s="194"/>
      <c r="Z138" s="194"/>
      <c r="AA138" s="194"/>
    </row>
    <row r="139" spans="1:27" ht="15.75" customHeight="1" x14ac:dyDescent="0.2">
      <c r="A139" s="192"/>
      <c r="B139" s="192"/>
      <c r="C139" s="192"/>
      <c r="D139" s="192"/>
      <c r="E139" s="192"/>
      <c r="F139" s="192"/>
      <c r="G139" s="192"/>
      <c r="H139" s="193"/>
      <c r="I139" s="192"/>
      <c r="J139" s="192"/>
      <c r="K139" s="192"/>
      <c r="L139" s="192"/>
      <c r="M139" s="192"/>
      <c r="N139" s="192"/>
      <c r="O139" s="192"/>
      <c r="P139" s="192"/>
      <c r="Q139" s="192"/>
      <c r="R139" s="192"/>
      <c r="S139" s="192"/>
      <c r="T139" s="192"/>
      <c r="U139" s="192"/>
      <c r="V139" s="192"/>
      <c r="W139" s="192"/>
      <c r="X139" s="192"/>
      <c r="Y139" s="194"/>
      <c r="Z139" s="194"/>
      <c r="AA139" s="194"/>
    </row>
    <row r="140" spans="1:27" ht="15.75" customHeight="1" x14ac:dyDescent="0.2">
      <c r="A140" s="192"/>
      <c r="B140" s="192"/>
      <c r="C140" s="192"/>
      <c r="D140" s="192"/>
      <c r="E140" s="192"/>
      <c r="F140" s="192"/>
      <c r="G140" s="192"/>
      <c r="H140" s="193"/>
      <c r="I140" s="192"/>
      <c r="J140" s="192"/>
      <c r="K140" s="192"/>
      <c r="L140" s="192"/>
      <c r="M140" s="192"/>
      <c r="N140" s="192"/>
      <c r="O140" s="192"/>
      <c r="P140" s="192"/>
      <c r="Q140" s="192"/>
      <c r="R140" s="192"/>
      <c r="S140" s="192"/>
      <c r="T140" s="192"/>
      <c r="U140" s="192"/>
      <c r="V140" s="192"/>
      <c r="W140" s="192"/>
      <c r="X140" s="192"/>
      <c r="Y140" s="194"/>
      <c r="Z140" s="194"/>
      <c r="AA140" s="194"/>
    </row>
    <row r="141" spans="1:27" ht="15.75" customHeight="1" x14ac:dyDescent="0.2">
      <c r="A141" s="192"/>
      <c r="B141" s="192"/>
      <c r="C141" s="192"/>
      <c r="D141" s="192"/>
      <c r="E141" s="192"/>
      <c r="F141" s="192"/>
      <c r="G141" s="192"/>
      <c r="H141" s="193"/>
      <c r="I141" s="192"/>
      <c r="J141" s="192"/>
      <c r="K141" s="192"/>
      <c r="L141" s="192"/>
      <c r="M141" s="192"/>
      <c r="N141" s="192"/>
      <c r="O141" s="192"/>
      <c r="P141" s="192"/>
      <c r="Q141" s="192"/>
      <c r="R141" s="192"/>
      <c r="S141" s="192"/>
      <c r="T141" s="192"/>
      <c r="U141" s="192"/>
      <c r="V141" s="192"/>
      <c r="W141" s="192"/>
      <c r="X141" s="192"/>
      <c r="Y141" s="194"/>
      <c r="Z141" s="194"/>
      <c r="AA141" s="194"/>
    </row>
    <row r="142" spans="1:27" ht="15.75" customHeight="1" x14ac:dyDescent="0.2">
      <c r="A142" s="192"/>
      <c r="B142" s="192"/>
      <c r="C142" s="192"/>
      <c r="D142" s="192"/>
      <c r="E142" s="192"/>
      <c r="F142" s="192"/>
      <c r="G142" s="192"/>
      <c r="H142" s="193"/>
      <c r="I142" s="192"/>
      <c r="J142" s="192"/>
      <c r="K142" s="192"/>
      <c r="L142" s="192"/>
      <c r="M142" s="192"/>
      <c r="N142" s="192"/>
      <c r="O142" s="192"/>
      <c r="P142" s="192"/>
      <c r="Q142" s="192"/>
      <c r="R142" s="192"/>
      <c r="S142" s="192"/>
      <c r="T142" s="192"/>
      <c r="U142" s="192"/>
      <c r="V142" s="192"/>
      <c r="W142" s="192"/>
      <c r="X142" s="192"/>
      <c r="Y142" s="194"/>
      <c r="Z142" s="194"/>
      <c r="AA142" s="194"/>
    </row>
    <row r="143" spans="1:27" ht="15.75" customHeight="1" x14ac:dyDescent="0.2">
      <c r="A143" s="192"/>
      <c r="B143" s="192"/>
      <c r="C143" s="192"/>
      <c r="D143" s="192"/>
      <c r="E143" s="192"/>
      <c r="F143" s="192"/>
      <c r="G143" s="192"/>
      <c r="H143" s="193"/>
      <c r="I143" s="192"/>
      <c r="J143" s="192"/>
      <c r="K143" s="192"/>
      <c r="L143" s="192"/>
      <c r="M143" s="192"/>
      <c r="N143" s="192"/>
      <c r="O143" s="192"/>
      <c r="P143" s="192"/>
      <c r="Q143" s="192"/>
      <c r="R143" s="192"/>
      <c r="S143" s="192"/>
      <c r="T143" s="192"/>
      <c r="U143" s="192"/>
      <c r="V143" s="192"/>
      <c r="W143" s="192"/>
      <c r="X143" s="192"/>
      <c r="Y143" s="194"/>
      <c r="Z143" s="194"/>
      <c r="AA143" s="194"/>
    </row>
    <row r="144" spans="1:27" ht="15.75" customHeight="1" x14ac:dyDescent="0.2">
      <c r="A144" s="192"/>
      <c r="B144" s="192"/>
      <c r="C144" s="192"/>
      <c r="D144" s="192"/>
      <c r="E144" s="192"/>
      <c r="F144" s="192"/>
      <c r="G144" s="192"/>
      <c r="H144" s="193"/>
      <c r="I144" s="192"/>
      <c r="J144" s="192"/>
      <c r="K144" s="192"/>
      <c r="L144" s="192"/>
      <c r="M144" s="192"/>
      <c r="N144" s="192"/>
      <c r="O144" s="192"/>
      <c r="P144" s="192"/>
      <c r="Q144" s="192"/>
      <c r="R144" s="192"/>
      <c r="S144" s="192"/>
      <c r="T144" s="192"/>
      <c r="U144" s="192"/>
      <c r="V144" s="192"/>
      <c r="W144" s="192"/>
      <c r="X144" s="192"/>
      <c r="Y144" s="194"/>
      <c r="Z144" s="194"/>
      <c r="AA144" s="194"/>
    </row>
    <row r="145" spans="1:27" ht="15.75" customHeight="1" x14ac:dyDescent="0.2">
      <c r="A145" s="192"/>
      <c r="B145" s="192"/>
      <c r="C145" s="192"/>
      <c r="D145" s="192"/>
      <c r="E145" s="192"/>
      <c r="F145" s="192"/>
      <c r="G145" s="192"/>
      <c r="H145" s="193"/>
      <c r="I145" s="192"/>
      <c r="J145" s="192"/>
      <c r="K145" s="192"/>
      <c r="L145" s="192"/>
      <c r="M145" s="192"/>
      <c r="N145" s="192"/>
      <c r="O145" s="192"/>
      <c r="P145" s="192"/>
      <c r="Q145" s="192"/>
      <c r="R145" s="192"/>
      <c r="S145" s="192"/>
      <c r="T145" s="192"/>
      <c r="U145" s="192"/>
      <c r="V145" s="192"/>
      <c r="W145" s="192"/>
      <c r="X145" s="192"/>
      <c r="Y145" s="194"/>
      <c r="Z145" s="194"/>
      <c r="AA145" s="194"/>
    </row>
    <row r="146" spans="1:27" ht="15.75" customHeight="1" x14ac:dyDescent="0.2">
      <c r="A146" s="192"/>
      <c r="B146" s="192"/>
      <c r="C146" s="192"/>
      <c r="D146" s="192"/>
      <c r="E146" s="192"/>
      <c r="F146" s="192"/>
      <c r="G146" s="192"/>
      <c r="H146" s="193"/>
      <c r="I146" s="192"/>
      <c r="J146" s="192"/>
      <c r="K146" s="192"/>
      <c r="L146" s="192"/>
      <c r="M146" s="192"/>
      <c r="N146" s="192"/>
      <c r="O146" s="192"/>
      <c r="P146" s="192"/>
      <c r="Q146" s="192"/>
      <c r="R146" s="192"/>
      <c r="S146" s="192"/>
      <c r="T146" s="192"/>
      <c r="U146" s="192"/>
      <c r="V146" s="192"/>
      <c r="W146" s="192"/>
      <c r="X146" s="192"/>
      <c r="Y146" s="194"/>
      <c r="Z146" s="194"/>
      <c r="AA146" s="194"/>
    </row>
    <row r="147" spans="1:27" ht="15.75" customHeight="1" x14ac:dyDescent="0.2">
      <c r="A147" s="192"/>
      <c r="B147" s="192"/>
      <c r="C147" s="192"/>
      <c r="D147" s="192"/>
      <c r="E147" s="192"/>
      <c r="F147" s="192"/>
      <c r="G147" s="192"/>
      <c r="H147" s="193"/>
      <c r="I147" s="192"/>
      <c r="J147" s="192"/>
      <c r="K147" s="192"/>
      <c r="L147" s="192"/>
      <c r="M147" s="192"/>
      <c r="N147" s="192"/>
      <c r="O147" s="192"/>
      <c r="P147" s="192"/>
      <c r="Q147" s="192"/>
      <c r="R147" s="192"/>
      <c r="S147" s="192"/>
      <c r="T147" s="192"/>
      <c r="U147" s="192"/>
      <c r="V147" s="192"/>
      <c r="W147" s="192"/>
      <c r="X147" s="192"/>
      <c r="Y147" s="194"/>
      <c r="Z147" s="194"/>
      <c r="AA147" s="194"/>
    </row>
    <row r="148" spans="1:27" ht="15.75" customHeight="1" x14ac:dyDescent="0.2">
      <c r="A148" s="192"/>
      <c r="B148" s="192"/>
      <c r="C148" s="192"/>
      <c r="D148" s="192"/>
      <c r="E148" s="192"/>
      <c r="F148" s="192"/>
      <c r="G148" s="192"/>
      <c r="H148" s="193"/>
      <c r="I148" s="192"/>
      <c r="J148" s="192"/>
      <c r="K148" s="192"/>
      <c r="L148" s="192"/>
      <c r="M148" s="192"/>
      <c r="N148" s="192"/>
      <c r="O148" s="192"/>
      <c r="P148" s="192"/>
      <c r="Q148" s="192"/>
      <c r="R148" s="192"/>
      <c r="S148" s="192"/>
      <c r="T148" s="192"/>
      <c r="U148" s="192"/>
      <c r="V148" s="192"/>
      <c r="W148" s="192"/>
      <c r="X148" s="192"/>
      <c r="Y148" s="194"/>
      <c r="Z148" s="194"/>
      <c r="AA148" s="194"/>
    </row>
    <row r="149" spans="1:27" ht="15.75" customHeight="1" x14ac:dyDescent="0.2">
      <c r="A149" s="192"/>
      <c r="B149" s="192"/>
      <c r="C149" s="192"/>
      <c r="D149" s="192"/>
      <c r="E149" s="192"/>
      <c r="F149" s="192"/>
      <c r="G149" s="192"/>
      <c r="H149" s="193"/>
      <c r="I149" s="192"/>
      <c r="J149" s="192"/>
      <c r="K149" s="192"/>
      <c r="L149" s="192"/>
      <c r="M149" s="192"/>
      <c r="N149" s="192"/>
      <c r="O149" s="192"/>
      <c r="P149" s="192"/>
      <c r="Q149" s="192"/>
      <c r="R149" s="192"/>
      <c r="S149" s="192"/>
      <c r="T149" s="192"/>
      <c r="U149" s="192"/>
      <c r="V149" s="192"/>
      <c r="W149" s="192"/>
      <c r="X149" s="192"/>
      <c r="Y149" s="194"/>
      <c r="Z149" s="194"/>
      <c r="AA149" s="194"/>
    </row>
    <row r="150" spans="1:27" ht="15.75" customHeight="1" x14ac:dyDescent="0.2">
      <c r="A150" s="192"/>
      <c r="B150" s="192"/>
      <c r="C150" s="192"/>
      <c r="D150" s="192"/>
      <c r="E150" s="192"/>
      <c r="F150" s="192"/>
      <c r="G150" s="192"/>
      <c r="H150" s="193"/>
      <c r="I150" s="192"/>
      <c r="J150" s="192"/>
      <c r="K150" s="192"/>
      <c r="L150" s="192"/>
      <c r="M150" s="192"/>
      <c r="N150" s="192"/>
      <c r="O150" s="192"/>
      <c r="P150" s="192"/>
      <c r="Q150" s="192"/>
      <c r="R150" s="192"/>
      <c r="S150" s="192"/>
      <c r="T150" s="192"/>
      <c r="U150" s="192"/>
      <c r="V150" s="192"/>
      <c r="W150" s="192"/>
      <c r="X150" s="192"/>
      <c r="Y150" s="194"/>
      <c r="Z150" s="194"/>
      <c r="AA150" s="194"/>
    </row>
    <row r="151" spans="1:27" ht="15.75" customHeight="1" x14ac:dyDescent="0.2">
      <c r="A151" s="192"/>
      <c r="B151" s="192"/>
      <c r="C151" s="192"/>
      <c r="D151" s="192"/>
      <c r="E151" s="192"/>
      <c r="F151" s="192"/>
      <c r="G151" s="192"/>
      <c r="H151" s="193"/>
      <c r="I151" s="192"/>
      <c r="J151" s="192"/>
      <c r="K151" s="192"/>
      <c r="L151" s="192"/>
      <c r="M151" s="192"/>
      <c r="N151" s="192"/>
      <c r="O151" s="192"/>
      <c r="P151" s="192"/>
      <c r="Q151" s="192"/>
      <c r="R151" s="192"/>
      <c r="S151" s="192"/>
      <c r="T151" s="192"/>
      <c r="U151" s="192"/>
      <c r="V151" s="192"/>
      <c r="W151" s="192"/>
      <c r="X151" s="192"/>
      <c r="Y151" s="194"/>
      <c r="Z151" s="194"/>
      <c r="AA151" s="194"/>
    </row>
    <row r="152" spans="1:27" ht="15.75" customHeight="1" x14ac:dyDescent="0.2">
      <c r="A152" s="192"/>
      <c r="B152" s="192"/>
      <c r="C152" s="192"/>
      <c r="D152" s="192"/>
      <c r="E152" s="192"/>
      <c r="F152" s="192"/>
      <c r="G152" s="192"/>
      <c r="H152" s="193"/>
      <c r="I152" s="192"/>
      <c r="J152" s="192"/>
      <c r="K152" s="192"/>
      <c r="L152" s="192"/>
      <c r="M152" s="192"/>
      <c r="N152" s="192"/>
      <c r="O152" s="192"/>
      <c r="P152" s="192"/>
      <c r="Q152" s="192"/>
      <c r="R152" s="192"/>
      <c r="S152" s="192"/>
      <c r="T152" s="192"/>
      <c r="U152" s="192"/>
      <c r="V152" s="192"/>
      <c r="W152" s="192"/>
      <c r="X152" s="192"/>
      <c r="Y152" s="194"/>
      <c r="Z152" s="194"/>
      <c r="AA152" s="194"/>
    </row>
    <row r="153" spans="1:27" ht="15.75" customHeight="1" x14ac:dyDescent="0.2">
      <c r="A153" s="192"/>
      <c r="B153" s="192"/>
      <c r="C153" s="192"/>
      <c r="D153" s="192"/>
      <c r="E153" s="192"/>
      <c r="F153" s="192"/>
      <c r="G153" s="192"/>
      <c r="H153" s="193"/>
      <c r="I153" s="192"/>
      <c r="J153" s="192"/>
      <c r="K153" s="192"/>
      <c r="L153" s="192"/>
      <c r="M153" s="192"/>
      <c r="N153" s="192"/>
      <c r="O153" s="192"/>
      <c r="P153" s="192"/>
      <c r="Q153" s="192"/>
      <c r="R153" s="192"/>
      <c r="S153" s="192"/>
      <c r="T153" s="192"/>
      <c r="U153" s="192"/>
      <c r="V153" s="192"/>
      <c r="W153" s="192"/>
      <c r="X153" s="192"/>
      <c r="Y153" s="194"/>
      <c r="Z153" s="194"/>
      <c r="AA153" s="194"/>
    </row>
    <row r="154" spans="1:27" ht="15.75" customHeight="1" x14ac:dyDescent="0.2">
      <c r="A154" s="192"/>
      <c r="B154" s="192"/>
      <c r="C154" s="192"/>
      <c r="D154" s="192"/>
      <c r="E154" s="192"/>
      <c r="F154" s="192"/>
      <c r="G154" s="192"/>
      <c r="H154" s="193"/>
      <c r="I154" s="192"/>
      <c r="J154" s="192"/>
      <c r="K154" s="192"/>
      <c r="L154" s="192"/>
      <c r="M154" s="192"/>
      <c r="N154" s="192"/>
      <c r="O154" s="192"/>
      <c r="P154" s="192"/>
      <c r="Q154" s="192"/>
      <c r="R154" s="192"/>
      <c r="S154" s="192"/>
      <c r="T154" s="192"/>
      <c r="U154" s="192"/>
      <c r="V154" s="192"/>
      <c r="W154" s="192"/>
      <c r="X154" s="192"/>
      <c r="Y154" s="194"/>
      <c r="Z154" s="194"/>
      <c r="AA154" s="194"/>
    </row>
    <row r="155" spans="1:27" ht="15.75" customHeight="1" x14ac:dyDescent="0.2">
      <c r="A155" s="192"/>
      <c r="B155" s="192"/>
      <c r="C155" s="192"/>
      <c r="D155" s="192"/>
      <c r="E155" s="192"/>
      <c r="F155" s="192"/>
      <c r="G155" s="192"/>
      <c r="H155" s="193"/>
      <c r="I155" s="192"/>
      <c r="J155" s="192"/>
      <c r="K155" s="192"/>
      <c r="L155" s="192"/>
      <c r="M155" s="192"/>
      <c r="N155" s="192"/>
      <c r="O155" s="192"/>
      <c r="P155" s="192"/>
      <c r="Q155" s="192"/>
      <c r="R155" s="192"/>
      <c r="S155" s="192"/>
      <c r="T155" s="192"/>
      <c r="U155" s="192"/>
      <c r="V155" s="192"/>
      <c r="W155" s="192"/>
      <c r="X155" s="192"/>
      <c r="Y155" s="194"/>
      <c r="Z155" s="194"/>
      <c r="AA155" s="194"/>
    </row>
    <row r="156" spans="1:27" ht="15.75" customHeight="1" x14ac:dyDescent="0.2">
      <c r="A156" s="192"/>
      <c r="B156" s="192"/>
      <c r="C156" s="192"/>
      <c r="D156" s="192"/>
      <c r="E156" s="192"/>
      <c r="F156" s="192"/>
      <c r="G156" s="192"/>
      <c r="H156" s="193"/>
      <c r="I156" s="192"/>
      <c r="J156" s="192"/>
      <c r="K156" s="192"/>
      <c r="L156" s="192"/>
      <c r="M156" s="192"/>
      <c r="N156" s="192"/>
      <c r="O156" s="192"/>
      <c r="P156" s="192"/>
      <c r="Q156" s="192"/>
      <c r="R156" s="192"/>
      <c r="S156" s="192"/>
      <c r="T156" s="192"/>
      <c r="U156" s="192"/>
      <c r="V156" s="192"/>
      <c r="W156" s="192"/>
      <c r="X156" s="192"/>
      <c r="Y156" s="194"/>
      <c r="Z156" s="194"/>
      <c r="AA156" s="194"/>
    </row>
    <row r="157" spans="1:27" ht="15.75" customHeight="1" x14ac:dyDescent="0.2">
      <c r="A157" s="192"/>
      <c r="B157" s="192"/>
      <c r="C157" s="192"/>
      <c r="D157" s="192"/>
      <c r="E157" s="192"/>
      <c r="F157" s="192"/>
      <c r="G157" s="192"/>
      <c r="H157" s="193"/>
      <c r="I157" s="192"/>
      <c r="J157" s="192"/>
      <c r="K157" s="192"/>
      <c r="L157" s="192"/>
      <c r="M157" s="192"/>
      <c r="N157" s="192"/>
      <c r="O157" s="192"/>
      <c r="P157" s="192"/>
      <c r="Q157" s="192"/>
      <c r="R157" s="192"/>
      <c r="S157" s="192"/>
      <c r="T157" s="192"/>
      <c r="U157" s="192"/>
      <c r="V157" s="192"/>
      <c r="W157" s="192"/>
      <c r="X157" s="192"/>
      <c r="Y157" s="194"/>
      <c r="Z157" s="194"/>
      <c r="AA157" s="194"/>
    </row>
    <row r="158" spans="1:27" ht="15.75" customHeight="1" x14ac:dyDescent="0.2">
      <c r="A158" s="192"/>
      <c r="B158" s="192"/>
      <c r="C158" s="192"/>
      <c r="D158" s="192"/>
      <c r="E158" s="192"/>
      <c r="F158" s="192"/>
      <c r="G158" s="192"/>
      <c r="H158" s="193"/>
      <c r="I158" s="192"/>
      <c r="J158" s="192"/>
      <c r="K158" s="192"/>
      <c r="L158" s="192"/>
      <c r="M158" s="192"/>
      <c r="N158" s="192"/>
      <c r="O158" s="192"/>
      <c r="P158" s="192"/>
      <c r="Q158" s="192"/>
      <c r="R158" s="192"/>
      <c r="S158" s="192"/>
      <c r="T158" s="192"/>
      <c r="U158" s="192"/>
      <c r="V158" s="192"/>
      <c r="W158" s="192"/>
      <c r="X158" s="192"/>
      <c r="Y158" s="194"/>
      <c r="Z158" s="194"/>
      <c r="AA158" s="194"/>
    </row>
    <row r="159" spans="1:27" ht="15.75" customHeight="1" x14ac:dyDescent="0.2">
      <c r="A159" s="192"/>
      <c r="B159" s="192"/>
      <c r="C159" s="192"/>
      <c r="D159" s="192"/>
      <c r="E159" s="192"/>
      <c r="F159" s="192"/>
      <c r="G159" s="192"/>
      <c r="H159" s="193"/>
      <c r="I159" s="192"/>
      <c r="J159" s="192"/>
      <c r="K159" s="192"/>
      <c r="L159" s="192"/>
      <c r="M159" s="192"/>
      <c r="N159" s="192"/>
      <c r="O159" s="192"/>
      <c r="P159" s="192"/>
      <c r="Q159" s="192"/>
      <c r="R159" s="192"/>
      <c r="S159" s="192"/>
      <c r="T159" s="192"/>
      <c r="U159" s="192"/>
      <c r="V159" s="192"/>
      <c r="W159" s="192"/>
      <c r="X159" s="192"/>
      <c r="Y159" s="194"/>
      <c r="Z159" s="194"/>
      <c r="AA159" s="194"/>
    </row>
    <row r="160" spans="1:27" ht="15.75" customHeight="1" x14ac:dyDescent="0.2">
      <c r="A160" s="192"/>
      <c r="B160" s="192"/>
      <c r="C160" s="192"/>
      <c r="D160" s="192"/>
      <c r="E160" s="192"/>
      <c r="F160" s="192"/>
      <c r="G160" s="192"/>
      <c r="H160" s="193"/>
      <c r="I160" s="192"/>
      <c r="J160" s="192"/>
      <c r="K160" s="192"/>
      <c r="L160" s="192"/>
      <c r="M160" s="192"/>
      <c r="N160" s="192"/>
      <c r="O160" s="192"/>
      <c r="P160" s="192"/>
      <c r="Q160" s="192"/>
      <c r="R160" s="192"/>
      <c r="S160" s="192"/>
      <c r="T160" s="192"/>
      <c r="U160" s="192"/>
      <c r="V160" s="192"/>
      <c r="W160" s="192"/>
      <c r="X160" s="192"/>
      <c r="Y160" s="194"/>
      <c r="Z160" s="194"/>
      <c r="AA160" s="194"/>
    </row>
    <row r="161" spans="1:27" ht="15.75" customHeight="1" x14ac:dyDescent="0.2">
      <c r="A161" s="192"/>
      <c r="B161" s="192"/>
      <c r="C161" s="192"/>
      <c r="D161" s="192"/>
      <c r="E161" s="192"/>
      <c r="F161" s="192"/>
      <c r="G161" s="192"/>
      <c r="H161" s="193"/>
      <c r="I161" s="192"/>
      <c r="J161" s="192"/>
      <c r="K161" s="192"/>
      <c r="L161" s="192"/>
      <c r="M161" s="192"/>
      <c r="N161" s="192"/>
      <c r="O161" s="192"/>
      <c r="P161" s="192"/>
      <c r="Q161" s="192"/>
      <c r="R161" s="192"/>
      <c r="S161" s="192"/>
      <c r="T161" s="192"/>
      <c r="U161" s="192"/>
      <c r="V161" s="192"/>
      <c r="W161" s="192"/>
      <c r="X161" s="192"/>
      <c r="Y161" s="194"/>
      <c r="Z161" s="194"/>
      <c r="AA161" s="194"/>
    </row>
    <row r="162" spans="1:27" ht="15.75" customHeight="1" x14ac:dyDescent="0.2">
      <c r="A162" s="192"/>
      <c r="B162" s="192"/>
      <c r="C162" s="192"/>
      <c r="D162" s="192"/>
      <c r="E162" s="192"/>
      <c r="F162" s="192"/>
      <c r="G162" s="192"/>
      <c r="H162" s="193"/>
      <c r="I162" s="192"/>
      <c r="J162" s="192"/>
      <c r="K162" s="192"/>
      <c r="L162" s="192"/>
      <c r="M162" s="192"/>
      <c r="N162" s="192"/>
      <c r="O162" s="192"/>
      <c r="P162" s="192"/>
      <c r="Q162" s="192"/>
      <c r="R162" s="192"/>
      <c r="S162" s="192"/>
      <c r="T162" s="192"/>
      <c r="U162" s="192"/>
      <c r="V162" s="192"/>
      <c r="W162" s="192"/>
      <c r="X162" s="192"/>
      <c r="Y162" s="194"/>
      <c r="Z162" s="194"/>
      <c r="AA162" s="194"/>
    </row>
    <row r="163" spans="1:27" ht="15.75" customHeight="1" x14ac:dyDescent="0.2">
      <c r="A163" s="192"/>
      <c r="B163" s="192"/>
      <c r="C163" s="192"/>
      <c r="D163" s="192"/>
      <c r="E163" s="192"/>
      <c r="F163" s="192"/>
      <c r="G163" s="192"/>
      <c r="H163" s="193"/>
      <c r="I163" s="192"/>
      <c r="J163" s="192"/>
      <c r="K163" s="192"/>
      <c r="L163" s="192"/>
      <c r="M163" s="192"/>
      <c r="N163" s="192"/>
      <c r="O163" s="192"/>
      <c r="P163" s="192"/>
      <c r="Q163" s="192"/>
      <c r="R163" s="192"/>
      <c r="S163" s="192"/>
      <c r="T163" s="192"/>
      <c r="U163" s="192"/>
      <c r="V163" s="192"/>
      <c r="W163" s="192"/>
      <c r="X163" s="192"/>
      <c r="Y163" s="194"/>
      <c r="Z163" s="194"/>
      <c r="AA163" s="194"/>
    </row>
    <row r="164" spans="1:27" ht="15.75" customHeight="1" x14ac:dyDescent="0.2">
      <c r="A164" s="192"/>
      <c r="B164" s="192"/>
      <c r="C164" s="192"/>
      <c r="D164" s="192"/>
      <c r="E164" s="192"/>
      <c r="F164" s="192"/>
      <c r="G164" s="192"/>
      <c r="H164" s="193"/>
      <c r="I164" s="192"/>
      <c r="J164" s="192"/>
      <c r="K164" s="192"/>
      <c r="L164" s="192"/>
      <c r="M164" s="192"/>
      <c r="N164" s="192"/>
      <c r="O164" s="192"/>
      <c r="P164" s="192"/>
      <c r="Q164" s="192"/>
      <c r="R164" s="192"/>
      <c r="S164" s="192"/>
      <c r="T164" s="192"/>
      <c r="U164" s="192"/>
      <c r="V164" s="192"/>
      <c r="W164" s="192"/>
      <c r="X164" s="192"/>
      <c r="Y164" s="194"/>
      <c r="Z164" s="194"/>
      <c r="AA164" s="194"/>
    </row>
    <row r="165" spans="1:27" ht="15.75" customHeight="1" x14ac:dyDescent="0.2">
      <c r="A165" s="192"/>
      <c r="B165" s="192"/>
      <c r="C165" s="192"/>
      <c r="D165" s="192"/>
      <c r="E165" s="192"/>
      <c r="F165" s="192"/>
      <c r="G165" s="192"/>
      <c r="H165" s="193"/>
      <c r="I165" s="192"/>
      <c r="J165" s="192"/>
      <c r="K165" s="192"/>
      <c r="L165" s="192"/>
      <c r="M165" s="192"/>
      <c r="N165" s="192"/>
      <c r="O165" s="192"/>
      <c r="P165" s="192"/>
      <c r="Q165" s="192"/>
      <c r="R165" s="192"/>
      <c r="S165" s="192"/>
      <c r="T165" s="192"/>
      <c r="U165" s="192"/>
      <c r="V165" s="192"/>
      <c r="W165" s="192"/>
      <c r="X165" s="192"/>
      <c r="Y165" s="194"/>
      <c r="Z165" s="194"/>
      <c r="AA165" s="194"/>
    </row>
    <row r="166" spans="1:27" ht="15.75" customHeight="1" x14ac:dyDescent="0.2">
      <c r="A166" s="192"/>
      <c r="B166" s="192"/>
      <c r="C166" s="192"/>
      <c r="D166" s="192"/>
      <c r="E166" s="192"/>
      <c r="F166" s="192"/>
      <c r="G166" s="192"/>
      <c r="H166" s="193"/>
      <c r="I166" s="192"/>
      <c r="J166" s="192"/>
      <c r="K166" s="192"/>
      <c r="L166" s="192"/>
      <c r="M166" s="192"/>
      <c r="N166" s="192"/>
      <c r="O166" s="192"/>
      <c r="P166" s="192"/>
      <c r="Q166" s="192"/>
      <c r="R166" s="192"/>
      <c r="S166" s="192"/>
      <c r="T166" s="192"/>
      <c r="U166" s="192"/>
      <c r="V166" s="192"/>
      <c r="W166" s="192"/>
      <c r="X166" s="192"/>
      <c r="Y166" s="194"/>
      <c r="Z166" s="194"/>
      <c r="AA166" s="194"/>
    </row>
    <row r="167" spans="1:27" ht="15.75" customHeight="1" x14ac:dyDescent="0.2">
      <c r="A167" s="192"/>
      <c r="B167" s="192"/>
      <c r="C167" s="192"/>
      <c r="D167" s="192"/>
      <c r="E167" s="192"/>
      <c r="F167" s="192"/>
      <c r="G167" s="192"/>
      <c r="H167" s="193"/>
      <c r="I167" s="192"/>
      <c r="J167" s="192"/>
      <c r="K167" s="192"/>
      <c r="L167" s="192"/>
      <c r="M167" s="192"/>
      <c r="N167" s="192"/>
      <c r="O167" s="192"/>
      <c r="P167" s="192"/>
      <c r="Q167" s="192"/>
      <c r="R167" s="192"/>
      <c r="S167" s="192"/>
      <c r="T167" s="192"/>
      <c r="U167" s="192"/>
      <c r="V167" s="192"/>
      <c r="W167" s="192"/>
      <c r="X167" s="192"/>
      <c r="Y167" s="194"/>
      <c r="Z167" s="194"/>
      <c r="AA167" s="194"/>
    </row>
    <row r="168" spans="1:27" ht="15.75" customHeight="1" x14ac:dyDescent="0.2">
      <c r="A168" s="192"/>
      <c r="B168" s="192"/>
      <c r="C168" s="192"/>
      <c r="D168" s="192"/>
      <c r="E168" s="192"/>
      <c r="F168" s="192"/>
      <c r="G168" s="192"/>
      <c r="H168" s="193"/>
      <c r="I168" s="192"/>
      <c r="J168" s="192"/>
      <c r="K168" s="192"/>
      <c r="L168" s="192"/>
      <c r="M168" s="192"/>
      <c r="N168" s="192"/>
      <c r="O168" s="192"/>
      <c r="P168" s="192"/>
      <c r="Q168" s="192"/>
      <c r="R168" s="192"/>
      <c r="S168" s="192"/>
      <c r="T168" s="192"/>
      <c r="U168" s="192"/>
      <c r="V168" s="192"/>
      <c r="W168" s="192"/>
      <c r="X168" s="192"/>
      <c r="Y168" s="194"/>
      <c r="Z168" s="194"/>
      <c r="AA168" s="194"/>
    </row>
    <row r="169" spans="1:27" ht="15.75" customHeight="1" x14ac:dyDescent="0.2">
      <c r="A169" s="192"/>
      <c r="B169" s="192"/>
      <c r="C169" s="192"/>
      <c r="D169" s="192"/>
      <c r="E169" s="192"/>
      <c r="F169" s="192"/>
      <c r="G169" s="192"/>
      <c r="H169" s="193"/>
      <c r="I169" s="192"/>
      <c r="J169" s="192"/>
      <c r="K169" s="192"/>
      <c r="L169" s="192"/>
      <c r="M169" s="192"/>
      <c r="N169" s="192"/>
      <c r="O169" s="192"/>
      <c r="P169" s="192"/>
      <c r="Q169" s="192"/>
      <c r="R169" s="192"/>
      <c r="S169" s="192"/>
      <c r="T169" s="192"/>
      <c r="U169" s="192"/>
      <c r="V169" s="192"/>
      <c r="W169" s="192"/>
      <c r="X169" s="192"/>
      <c r="Y169" s="194"/>
      <c r="Z169" s="194"/>
      <c r="AA169" s="194"/>
    </row>
    <row r="170" spans="1:27" ht="15.75" customHeight="1" x14ac:dyDescent="0.2">
      <c r="A170" s="192"/>
      <c r="B170" s="192"/>
      <c r="C170" s="192"/>
      <c r="D170" s="192"/>
      <c r="E170" s="192"/>
      <c r="F170" s="192"/>
      <c r="G170" s="192"/>
      <c r="H170" s="193"/>
      <c r="I170" s="192"/>
      <c r="J170" s="192"/>
      <c r="K170" s="192"/>
      <c r="L170" s="192"/>
      <c r="M170" s="192"/>
      <c r="N170" s="192"/>
      <c r="O170" s="192"/>
      <c r="P170" s="192"/>
      <c r="Q170" s="192"/>
      <c r="R170" s="192"/>
      <c r="S170" s="192"/>
      <c r="T170" s="192"/>
      <c r="U170" s="192"/>
      <c r="V170" s="192"/>
      <c r="W170" s="192"/>
      <c r="X170" s="192"/>
      <c r="Y170" s="194"/>
      <c r="Z170" s="194"/>
      <c r="AA170" s="194"/>
    </row>
    <row r="171" spans="1:27" ht="15.75" customHeight="1" x14ac:dyDescent="0.2">
      <c r="A171" s="192"/>
      <c r="B171" s="192"/>
      <c r="C171" s="192"/>
      <c r="D171" s="192"/>
      <c r="E171" s="192"/>
      <c r="F171" s="192"/>
      <c r="G171" s="192"/>
      <c r="H171" s="193"/>
      <c r="I171" s="192"/>
      <c r="J171" s="192"/>
      <c r="K171" s="192"/>
      <c r="L171" s="192"/>
      <c r="M171" s="192"/>
      <c r="N171" s="192"/>
      <c r="O171" s="192"/>
      <c r="P171" s="192"/>
      <c r="Q171" s="192"/>
      <c r="R171" s="192"/>
      <c r="S171" s="192"/>
      <c r="T171" s="192"/>
      <c r="U171" s="192"/>
      <c r="V171" s="192"/>
      <c r="W171" s="192"/>
      <c r="X171" s="192"/>
      <c r="Y171" s="194"/>
      <c r="Z171" s="194"/>
      <c r="AA171" s="194"/>
    </row>
    <row r="172" spans="1:27" ht="15.75" customHeight="1" x14ac:dyDescent="0.2">
      <c r="A172" s="192"/>
      <c r="B172" s="192"/>
      <c r="C172" s="192"/>
      <c r="D172" s="192"/>
      <c r="E172" s="192"/>
      <c r="F172" s="192"/>
      <c r="G172" s="192"/>
      <c r="H172" s="193"/>
      <c r="I172" s="192"/>
      <c r="J172" s="192"/>
      <c r="K172" s="192"/>
      <c r="L172" s="192"/>
      <c r="M172" s="192"/>
      <c r="N172" s="192"/>
      <c r="O172" s="192"/>
      <c r="P172" s="192"/>
      <c r="Q172" s="192"/>
      <c r="R172" s="192"/>
      <c r="S172" s="192"/>
      <c r="T172" s="192"/>
      <c r="U172" s="192"/>
      <c r="V172" s="192"/>
      <c r="W172" s="192"/>
      <c r="X172" s="192"/>
      <c r="Y172" s="194"/>
      <c r="Z172" s="194"/>
      <c r="AA172" s="194"/>
    </row>
    <row r="173" spans="1:27" ht="15.75" customHeight="1" x14ac:dyDescent="0.2">
      <c r="A173" s="192"/>
      <c r="B173" s="192"/>
      <c r="C173" s="192"/>
      <c r="D173" s="192"/>
      <c r="E173" s="192"/>
      <c r="F173" s="192"/>
      <c r="G173" s="192"/>
      <c r="H173" s="193"/>
      <c r="I173" s="192"/>
      <c r="J173" s="192"/>
      <c r="K173" s="192"/>
      <c r="L173" s="192"/>
      <c r="M173" s="192"/>
      <c r="N173" s="192"/>
      <c r="O173" s="192"/>
      <c r="P173" s="192"/>
      <c r="Q173" s="192"/>
      <c r="R173" s="192"/>
      <c r="S173" s="192"/>
      <c r="T173" s="192"/>
      <c r="U173" s="192"/>
      <c r="V173" s="192"/>
      <c r="W173" s="192"/>
      <c r="X173" s="192"/>
      <c r="Y173" s="194"/>
      <c r="Z173" s="194"/>
      <c r="AA173" s="194"/>
    </row>
    <row r="174" spans="1:27" ht="15.75" customHeight="1" x14ac:dyDescent="0.2">
      <c r="A174" s="192"/>
      <c r="B174" s="192"/>
      <c r="C174" s="192"/>
      <c r="D174" s="192"/>
      <c r="E174" s="192"/>
      <c r="F174" s="192"/>
      <c r="G174" s="192"/>
      <c r="H174" s="193"/>
      <c r="I174" s="192"/>
      <c r="J174" s="192"/>
      <c r="K174" s="192"/>
      <c r="L174" s="192"/>
      <c r="M174" s="192"/>
      <c r="N174" s="192"/>
      <c r="O174" s="192"/>
      <c r="P174" s="192"/>
      <c r="Q174" s="192"/>
      <c r="R174" s="192"/>
      <c r="S174" s="192"/>
      <c r="T174" s="192"/>
      <c r="U174" s="192"/>
      <c r="V174" s="192"/>
      <c r="W174" s="192"/>
      <c r="X174" s="192"/>
      <c r="Y174" s="194"/>
      <c r="Z174" s="194"/>
      <c r="AA174" s="194"/>
    </row>
    <row r="175" spans="1:27" ht="15.75" customHeight="1" x14ac:dyDescent="0.2">
      <c r="A175" s="192"/>
      <c r="B175" s="192"/>
      <c r="C175" s="192"/>
      <c r="D175" s="192"/>
      <c r="E175" s="192"/>
      <c r="F175" s="192"/>
      <c r="G175" s="192"/>
      <c r="H175" s="193"/>
      <c r="I175" s="192"/>
      <c r="J175" s="192"/>
      <c r="K175" s="192"/>
      <c r="L175" s="192"/>
      <c r="M175" s="192"/>
      <c r="N175" s="192"/>
      <c r="O175" s="192"/>
      <c r="P175" s="192"/>
      <c r="Q175" s="192"/>
      <c r="R175" s="192"/>
      <c r="S175" s="192"/>
      <c r="T175" s="192"/>
      <c r="U175" s="192"/>
      <c r="V175" s="192"/>
      <c r="W175" s="192"/>
      <c r="X175" s="192"/>
      <c r="Y175" s="194"/>
      <c r="Z175" s="194"/>
      <c r="AA175" s="194"/>
    </row>
    <row r="176" spans="1:27" ht="15.75" customHeight="1" x14ac:dyDescent="0.2">
      <c r="A176" s="192"/>
      <c r="B176" s="192"/>
      <c r="C176" s="192"/>
      <c r="D176" s="192"/>
      <c r="E176" s="192"/>
      <c r="F176" s="192"/>
      <c r="G176" s="192"/>
      <c r="H176" s="193"/>
      <c r="I176" s="192"/>
      <c r="J176" s="192"/>
      <c r="K176" s="192"/>
      <c r="L176" s="192"/>
      <c r="M176" s="192"/>
      <c r="N176" s="192"/>
      <c r="O176" s="192"/>
      <c r="P176" s="192"/>
      <c r="Q176" s="192"/>
      <c r="R176" s="192"/>
      <c r="S176" s="192"/>
      <c r="T176" s="192"/>
      <c r="U176" s="192"/>
      <c r="V176" s="192"/>
      <c r="W176" s="192"/>
      <c r="X176" s="192"/>
      <c r="Y176" s="194"/>
      <c r="Z176" s="194"/>
      <c r="AA176" s="194"/>
    </row>
    <row r="177" spans="1:27" ht="15.75" customHeight="1" x14ac:dyDescent="0.2">
      <c r="A177" s="192"/>
      <c r="B177" s="192"/>
      <c r="C177" s="192"/>
      <c r="D177" s="192"/>
      <c r="E177" s="192"/>
      <c r="F177" s="192"/>
      <c r="G177" s="192"/>
      <c r="H177" s="193"/>
      <c r="I177" s="192"/>
      <c r="J177" s="192"/>
      <c r="K177" s="192"/>
      <c r="L177" s="192"/>
      <c r="M177" s="192"/>
      <c r="N177" s="192"/>
      <c r="O177" s="192"/>
      <c r="P177" s="192"/>
      <c r="Q177" s="192"/>
      <c r="R177" s="192"/>
      <c r="S177" s="192"/>
      <c r="T177" s="192"/>
      <c r="U177" s="192"/>
      <c r="V177" s="192"/>
      <c r="W177" s="192"/>
      <c r="X177" s="192"/>
      <c r="Y177" s="194"/>
      <c r="Z177" s="194"/>
      <c r="AA177" s="194"/>
    </row>
    <row r="178" spans="1:27" ht="15.75" customHeight="1" x14ac:dyDescent="0.2">
      <c r="A178" s="192"/>
      <c r="B178" s="192"/>
      <c r="C178" s="192"/>
      <c r="D178" s="192"/>
      <c r="E178" s="192"/>
      <c r="F178" s="192"/>
      <c r="G178" s="192"/>
      <c r="H178" s="193"/>
      <c r="I178" s="192"/>
      <c r="J178" s="192"/>
      <c r="K178" s="192"/>
      <c r="L178" s="192"/>
      <c r="M178" s="192"/>
      <c r="N178" s="192"/>
      <c r="O178" s="192"/>
      <c r="P178" s="192"/>
      <c r="Q178" s="192"/>
      <c r="R178" s="192"/>
      <c r="S178" s="192"/>
      <c r="T178" s="192"/>
      <c r="U178" s="192"/>
      <c r="V178" s="192"/>
      <c r="W178" s="192"/>
      <c r="X178" s="192"/>
      <c r="Y178" s="194"/>
      <c r="Z178" s="194"/>
      <c r="AA178" s="194"/>
    </row>
    <row r="179" spans="1:27" ht="15.75" customHeight="1" x14ac:dyDescent="0.2">
      <c r="A179" s="192"/>
      <c r="B179" s="192"/>
      <c r="C179" s="192"/>
      <c r="D179" s="192"/>
      <c r="E179" s="192"/>
      <c r="F179" s="192"/>
      <c r="G179" s="192"/>
      <c r="H179" s="193"/>
      <c r="I179" s="192"/>
      <c r="J179" s="192"/>
      <c r="K179" s="192"/>
      <c r="L179" s="192"/>
      <c r="M179" s="192"/>
      <c r="N179" s="192"/>
      <c r="O179" s="192"/>
      <c r="P179" s="192"/>
      <c r="Q179" s="192"/>
      <c r="R179" s="192"/>
      <c r="S179" s="192"/>
      <c r="T179" s="192"/>
      <c r="U179" s="192"/>
      <c r="V179" s="192"/>
      <c r="W179" s="192"/>
      <c r="X179" s="192"/>
      <c r="Y179" s="194"/>
      <c r="Z179" s="194"/>
      <c r="AA179" s="194"/>
    </row>
    <row r="180" spans="1:27" ht="15.75" customHeight="1" x14ac:dyDescent="0.2">
      <c r="A180" s="192"/>
      <c r="B180" s="192"/>
      <c r="C180" s="192"/>
      <c r="D180" s="192"/>
      <c r="E180" s="192"/>
      <c r="F180" s="192"/>
      <c r="G180" s="192"/>
      <c r="H180" s="193"/>
      <c r="I180" s="192"/>
      <c r="J180" s="192"/>
      <c r="K180" s="192"/>
      <c r="L180" s="192"/>
      <c r="M180" s="192"/>
      <c r="N180" s="192"/>
      <c r="O180" s="192"/>
      <c r="P180" s="192"/>
      <c r="Q180" s="192"/>
      <c r="R180" s="192"/>
      <c r="S180" s="192"/>
      <c r="T180" s="192"/>
      <c r="U180" s="192"/>
      <c r="V180" s="192"/>
      <c r="W180" s="192"/>
      <c r="X180" s="192"/>
      <c r="Y180" s="194"/>
      <c r="Z180" s="194"/>
      <c r="AA180" s="194"/>
    </row>
    <row r="181" spans="1:27" ht="15.75" customHeight="1" x14ac:dyDescent="0.2">
      <c r="A181" s="192"/>
      <c r="B181" s="192"/>
      <c r="C181" s="192"/>
      <c r="D181" s="192"/>
      <c r="E181" s="192"/>
      <c r="F181" s="192"/>
      <c r="G181" s="192"/>
      <c r="H181" s="193"/>
      <c r="I181" s="192"/>
      <c r="J181" s="192"/>
      <c r="K181" s="192"/>
      <c r="L181" s="192"/>
      <c r="M181" s="192"/>
      <c r="N181" s="192"/>
      <c r="O181" s="192"/>
      <c r="P181" s="192"/>
      <c r="Q181" s="192"/>
      <c r="R181" s="192"/>
      <c r="S181" s="192"/>
      <c r="T181" s="192"/>
      <c r="U181" s="192"/>
      <c r="V181" s="192"/>
      <c r="W181" s="192"/>
      <c r="X181" s="192"/>
      <c r="Y181" s="194"/>
      <c r="Z181" s="194"/>
      <c r="AA181" s="194"/>
    </row>
    <row r="182" spans="1:27" ht="15.75" customHeight="1" x14ac:dyDescent="0.2">
      <c r="A182" s="192"/>
      <c r="B182" s="192"/>
      <c r="C182" s="192"/>
      <c r="D182" s="192"/>
      <c r="E182" s="192"/>
      <c r="F182" s="192"/>
      <c r="G182" s="192"/>
      <c r="H182" s="193"/>
      <c r="I182" s="192"/>
      <c r="J182" s="192"/>
      <c r="K182" s="192"/>
      <c r="L182" s="192"/>
      <c r="M182" s="192"/>
      <c r="N182" s="192"/>
      <c r="O182" s="192"/>
      <c r="P182" s="192"/>
      <c r="Q182" s="192"/>
      <c r="R182" s="192"/>
      <c r="S182" s="192"/>
      <c r="T182" s="192"/>
      <c r="U182" s="192"/>
      <c r="V182" s="192"/>
      <c r="W182" s="192"/>
      <c r="X182" s="192"/>
      <c r="Y182" s="194"/>
      <c r="Z182" s="194"/>
      <c r="AA182" s="194"/>
    </row>
    <row r="183" spans="1:27" ht="15.75" customHeight="1" x14ac:dyDescent="0.2">
      <c r="A183" s="192"/>
      <c r="B183" s="192"/>
      <c r="C183" s="192"/>
      <c r="D183" s="192"/>
      <c r="E183" s="192"/>
      <c r="F183" s="192"/>
      <c r="G183" s="192"/>
      <c r="H183" s="193"/>
      <c r="I183" s="192"/>
      <c r="J183" s="192"/>
      <c r="K183" s="192"/>
      <c r="L183" s="192"/>
      <c r="M183" s="192"/>
      <c r="N183" s="192"/>
      <c r="O183" s="192"/>
      <c r="P183" s="192"/>
      <c r="Q183" s="192"/>
      <c r="R183" s="192"/>
      <c r="S183" s="192"/>
      <c r="T183" s="192"/>
      <c r="U183" s="192"/>
      <c r="V183" s="192"/>
      <c r="W183" s="192"/>
      <c r="X183" s="192"/>
      <c r="Y183" s="194"/>
      <c r="Z183" s="194"/>
      <c r="AA183" s="194"/>
    </row>
    <row r="184" spans="1:27" ht="15.75" customHeight="1" x14ac:dyDescent="0.2">
      <c r="A184" s="192"/>
      <c r="B184" s="192"/>
      <c r="C184" s="192"/>
      <c r="D184" s="192"/>
      <c r="E184" s="192"/>
      <c r="F184" s="192"/>
      <c r="G184" s="192"/>
      <c r="H184" s="193"/>
      <c r="I184" s="192"/>
      <c r="J184" s="192"/>
      <c r="K184" s="192"/>
      <c r="L184" s="192"/>
      <c r="M184" s="192"/>
      <c r="N184" s="192"/>
      <c r="O184" s="192"/>
      <c r="P184" s="192"/>
      <c r="Q184" s="192"/>
      <c r="R184" s="192"/>
      <c r="S184" s="192"/>
      <c r="T184" s="192"/>
      <c r="U184" s="192"/>
      <c r="V184" s="192"/>
      <c r="W184" s="192"/>
      <c r="X184" s="192"/>
      <c r="Y184" s="194"/>
      <c r="Z184" s="194"/>
      <c r="AA184" s="194"/>
    </row>
    <row r="185" spans="1:27" ht="15.75" customHeight="1" x14ac:dyDescent="0.2">
      <c r="A185" s="192"/>
      <c r="B185" s="192"/>
      <c r="C185" s="192"/>
      <c r="D185" s="192"/>
      <c r="E185" s="192"/>
      <c r="F185" s="192"/>
      <c r="G185" s="192"/>
      <c r="H185" s="193"/>
      <c r="I185" s="192"/>
      <c r="J185" s="192"/>
      <c r="K185" s="192"/>
      <c r="L185" s="192"/>
      <c r="M185" s="192"/>
      <c r="N185" s="192"/>
      <c r="O185" s="192"/>
      <c r="P185" s="192"/>
      <c r="Q185" s="192"/>
      <c r="R185" s="192"/>
      <c r="S185" s="192"/>
      <c r="T185" s="192"/>
      <c r="U185" s="192"/>
      <c r="V185" s="192"/>
      <c r="W185" s="192"/>
      <c r="X185" s="192"/>
      <c r="Y185" s="194"/>
      <c r="Z185" s="194"/>
      <c r="AA185" s="194"/>
    </row>
    <row r="186" spans="1:27" ht="15.75" customHeight="1" x14ac:dyDescent="0.2">
      <c r="A186" s="192"/>
      <c r="B186" s="192"/>
      <c r="C186" s="192"/>
      <c r="D186" s="192"/>
      <c r="E186" s="192"/>
      <c r="F186" s="192"/>
      <c r="G186" s="192"/>
      <c r="H186" s="193"/>
      <c r="I186" s="192"/>
      <c r="J186" s="192"/>
      <c r="K186" s="192"/>
      <c r="L186" s="192"/>
      <c r="M186" s="192"/>
      <c r="N186" s="192"/>
      <c r="O186" s="192"/>
      <c r="P186" s="192"/>
      <c r="Q186" s="192"/>
      <c r="R186" s="192"/>
      <c r="S186" s="192"/>
      <c r="T186" s="192"/>
      <c r="U186" s="192"/>
      <c r="V186" s="192"/>
      <c r="W186" s="192"/>
      <c r="X186" s="192"/>
      <c r="Y186" s="194"/>
      <c r="Z186" s="194"/>
      <c r="AA186" s="194"/>
    </row>
    <row r="187" spans="1:27" ht="15.75" customHeight="1" x14ac:dyDescent="0.2">
      <c r="A187" s="192"/>
      <c r="B187" s="192"/>
      <c r="C187" s="192"/>
      <c r="D187" s="192"/>
      <c r="E187" s="192"/>
      <c r="F187" s="192"/>
      <c r="G187" s="192"/>
      <c r="H187" s="193"/>
      <c r="I187" s="192"/>
      <c r="J187" s="192"/>
      <c r="K187" s="192"/>
      <c r="L187" s="192"/>
      <c r="M187" s="192"/>
      <c r="N187" s="192"/>
      <c r="O187" s="192"/>
      <c r="P187" s="192"/>
      <c r="Q187" s="192"/>
      <c r="R187" s="192"/>
      <c r="S187" s="192"/>
      <c r="T187" s="192"/>
      <c r="U187" s="192"/>
      <c r="V187" s="192"/>
      <c r="W187" s="192"/>
      <c r="X187" s="192"/>
      <c r="Y187" s="194"/>
      <c r="Z187" s="194"/>
      <c r="AA187" s="194"/>
    </row>
    <row r="188" spans="1:27" ht="15.75" customHeight="1" x14ac:dyDescent="0.2">
      <c r="A188" s="192"/>
      <c r="B188" s="192"/>
      <c r="C188" s="192"/>
      <c r="D188" s="192"/>
      <c r="E188" s="192"/>
      <c r="F188" s="192"/>
      <c r="G188" s="192"/>
      <c r="H188" s="193"/>
      <c r="I188" s="192"/>
      <c r="J188" s="192"/>
      <c r="K188" s="192"/>
      <c r="L188" s="192"/>
      <c r="M188" s="192"/>
      <c r="N188" s="192"/>
      <c r="O188" s="192"/>
      <c r="P188" s="192"/>
      <c r="Q188" s="192"/>
      <c r="R188" s="192"/>
      <c r="S188" s="192"/>
      <c r="T188" s="192"/>
      <c r="U188" s="192"/>
      <c r="V188" s="192"/>
      <c r="W188" s="192"/>
      <c r="X188" s="192"/>
      <c r="Y188" s="194"/>
      <c r="Z188" s="194"/>
      <c r="AA188" s="194"/>
    </row>
    <row r="189" spans="1:27" ht="15.75" customHeight="1" x14ac:dyDescent="0.2">
      <c r="A189" s="192"/>
      <c r="B189" s="192"/>
      <c r="C189" s="192"/>
      <c r="D189" s="192"/>
      <c r="E189" s="192"/>
      <c r="F189" s="192"/>
      <c r="G189" s="192"/>
      <c r="H189" s="193"/>
      <c r="I189" s="192"/>
      <c r="J189" s="192"/>
      <c r="K189" s="192"/>
      <c r="L189" s="192"/>
      <c r="M189" s="192"/>
      <c r="N189" s="192"/>
      <c r="O189" s="192"/>
      <c r="P189" s="192"/>
      <c r="Q189" s="192"/>
      <c r="R189" s="192"/>
      <c r="S189" s="192"/>
      <c r="T189" s="192"/>
      <c r="U189" s="192"/>
      <c r="V189" s="192"/>
      <c r="W189" s="192"/>
      <c r="X189" s="192"/>
      <c r="Y189" s="194"/>
      <c r="Z189" s="194"/>
      <c r="AA189" s="194"/>
    </row>
    <row r="190" spans="1:27" ht="15.75" customHeight="1" x14ac:dyDescent="0.2">
      <c r="A190" s="192"/>
      <c r="B190" s="192"/>
      <c r="C190" s="192"/>
      <c r="D190" s="192"/>
      <c r="E190" s="192"/>
      <c r="F190" s="192"/>
      <c r="G190" s="192"/>
      <c r="H190" s="193"/>
      <c r="I190" s="192"/>
      <c r="J190" s="192"/>
      <c r="K190" s="192"/>
      <c r="L190" s="192"/>
      <c r="M190" s="192"/>
      <c r="N190" s="192"/>
      <c r="O190" s="192"/>
      <c r="P190" s="192"/>
      <c r="Q190" s="192"/>
      <c r="R190" s="192"/>
      <c r="S190" s="192"/>
      <c r="T190" s="192"/>
      <c r="U190" s="192"/>
      <c r="V190" s="192"/>
      <c r="W190" s="192"/>
      <c r="X190" s="192"/>
      <c r="Y190" s="194"/>
      <c r="Z190" s="194"/>
      <c r="AA190" s="194"/>
    </row>
    <row r="191" spans="1:27" ht="15.75" customHeight="1" x14ac:dyDescent="0.2">
      <c r="A191" s="192"/>
      <c r="B191" s="192"/>
      <c r="C191" s="192"/>
      <c r="D191" s="192"/>
      <c r="E191" s="192"/>
      <c r="F191" s="192"/>
      <c r="G191" s="192"/>
      <c r="H191" s="193"/>
      <c r="I191" s="192"/>
      <c r="J191" s="192"/>
      <c r="K191" s="192"/>
      <c r="L191" s="192"/>
      <c r="M191" s="192"/>
      <c r="N191" s="192"/>
      <c r="O191" s="192"/>
      <c r="P191" s="192"/>
      <c r="Q191" s="192"/>
      <c r="R191" s="192"/>
      <c r="S191" s="192"/>
      <c r="T191" s="192"/>
      <c r="U191" s="192"/>
      <c r="V191" s="192"/>
      <c r="W191" s="192"/>
      <c r="X191" s="192"/>
      <c r="Y191" s="194"/>
      <c r="Z191" s="194"/>
      <c r="AA191" s="194"/>
    </row>
    <row r="192" spans="1:27" ht="15.75" customHeight="1" x14ac:dyDescent="0.2">
      <c r="A192" s="192"/>
      <c r="B192" s="192"/>
      <c r="C192" s="192"/>
      <c r="D192" s="192"/>
      <c r="E192" s="192"/>
      <c r="F192" s="192"/>
      <c r="G192" s="192"/>
      <c r="H192" s="193"/>
      <c r="I192" s="192"/>
      <c r="J192" s="192"/>
      <c r="K192" s="192"/>
      <c r="L192" s="192"/>
      <c r="M192" s="192"/>
      <c r="N192" s="192"/>
      <c r="O192" s="192"/>
      <c r="P192" s="192"/>
      <c r="Q192" s="192"/>
      <c r="R192" s="192"/>
      <c r="S192" s="192"/>
      <c r="T192" s="192"/>
      <c r="U192" s="192"/>
      <c r="V192" s="192"/>
      <c r="W192" s="192"/>
      <c r="X192" s="192"/>
      <c r="Y192" s="194"/>
      <c r="Z192" s="194"/>
      <c r="AA192" s="194"/>
    </row>
    <row r="193" spans="1:27" ht="15.75" customHeight="1" x14ac:dyDescent="0.2">
      <c r="A193" s="192"/>
      <c r="B193" s="192"/>
      <c r="C193" s="192"/>
      <c r="D193" s="192"/>
      <c r="E193" s="192"/>
      <c r="F193" s="192"/>
      <c r="G193" s="192"/>
      <c r="H193" s="193"/>
      <c r="I193" s="192"/>
      <c r="J193" s="192"/>
      <c r="K193" s="192"/>
      <c r="L193" s="192"/>
      <c r="M193" s="192"/>
      <c r="N193" s="192"/>
      <c r="O193" s="192"/>
      <c r="P193" s="192"/>
      <c r="Q193" s="192"/>
      <c r="R193" s="192"/>
      <c r="S193" s="192"/>
      <c r="T193" s="192"/>
      <c r="U193" s="192"/>
      <c r="V193" s="192"/>
      <c r="W193" s="192"/>
      <c r="X193" s="192"/>
      <c r="Y193" s="194"/>
      <c r="Z193" s="194"/>
      <c r="AA193" s="194"/>
    </row>
    <row r="194" spans="1:27" ht="15.75" customHeight="1" x14ac:dyDescent="0.2">
      <c r="A194" s="192"/>
      <c r="B194" s="192"/>
      <c r="C194" s="192"/>
      <c r="D194" s="192"/>
      <c r="E194" s="192"/>
      <c r="F194" s="192"/>
      <c r="G194" s="192"/>
      <c r="H194" s="193"/>
      <c r="I194" s="192"/>
      <c r="J194" s="192"/>
      <c r="K194" s="192"/>
      <c r="L194" s="192"/>
      <c r="M194" s="192"/>
      <c r="N194" s="192"/>
      <c r="O194" s="192"/>
      <c r="P194" s="192"/>
      <c r="Q194" s="192"/>
      <c r="R194" s="192"/>
      <c r="S194" s="192"/>
      <c r="T194" s="192"/>
      <c r="U194" s="192"/>
      <c r="V194" s="192"/>
      <c r="W194" s="192"/>
      <c r="X194" s="192"/>
      <c r="Y194" s="194"/>
      <c r="Z194" s="194"/>
      <c r="AA194" s="194"/>
    </row>
    <row r="195" spans="1:27" ht="15.75" customHeight="1" x14ac:dyDescent="0.2">
      <c r="A195" s="192"/>
      <c r="B195" s="192"/>
      <c r="C195" s="192"/>
      <c r="D195" s="192"/>
      <c r="E195" s="192"/>
      <c r="F195" s="192"/>
      <c r="G195" s="192"/>
      <c r="H195" s="193"/>
      <c r="I195" s="192"/>
      <c r="J195" s="192"/>
      <c r="K195" s="192"/>
      <c r="L195" s="192"/>
      <c r="M195" s="192"/>
      <c r="N195" s="192"/>
      <c r="O195" s="192"/>
      <c r="P195" s="192"/>
      <c r="Q195" s="192"/>
      <c r="R195" s="192"/>
      <c r="S195" s="192"/>
      <c r="T195" s="192"/>
      <c r="U195" s="192"/>
      <c r="V195" s="192"/>
      <c r="W195" s="192"/>
      <c r="X195" s="192"/>
      <c r="Y195" s="194"/>
      <c r="Z195" s="194"/>
      <c r="AA195" s="194"/>
    </row>
    <row r="196" spans="1:27" ht="15.75" customHeight="1" x14ac:dyDescent="0.2">
      <c r="A196" s="192"/>
      <c r="B196" s="192"/>
      <c r="C196" s="192"/>
      <c r="D196" s="192"/>
      <c r="E196" s="192"/>
      <c r="F196" s="192"/>
      <c r="G196" s="192"/>
      <c r="H196" s="193"/>
      <c r="I196" s="192"/>
      <c r="J196" s="192"/>
      <c r="K196" s="192"/>
      <c r="L196" s="192"/>
      <c r="M196" s="192"/>
      <c r="N196" s="192"/>
      <c r="O196" s="192"/>
      <c r="P196" s="192"/>
      <c r="Q196" s="192"/>
      <c r="R196" s="192"/>
      <c r="S196" s="192"/>
      <c r="T196" s="192"/>
      <c r="U196" s="192"/>
      <c r="V196" s="192"/>
      <c r="W196" s="192"/>
      <c r="X196" s="192"/>
      <c r="Y196" s="194"/>
      <c r="Z196" s="194"/>
      <c r="AA196" s="194"/>
    </row>
    <row r="197" spans="1:27" ht="15.75" customHeight="1" x14ac:dyDescent="0.2">
      <c r="A197" s="192"/>
      <c r="B197" s="192"/>
      <c r="C197" s="192"/>
      <c r="D197" s="192"/>
      <c r="E197" s="192"/>
      <c r="F197" s="192"/>
      <c r="G197" s="192"/>
      <c r="H197" s="193"/>
      <c r="I197" s="192"/>
      <c r="J197" s="192"/>
      <c r="K197" s="192"/>
      <c r="L197" s="192"/>
      <c r="M197" s="192"/>
      <c r="N197" s="192"/>
      <c r="O197" s="192"/>
      <c r="P197" s="192"/>
      <c r="Q197" s="192"/>
      <c r="R197" s="192"/>
      <c r="S197" s="192"/>
      <c r="T197" s="192"/>
      <c r="U197" s="192"/>
      <c r="V197" s="192"/>
      <c r="W197" s="192"/>
      <c r="X197" s="192"/>
      <c r="Y197" s="194"/>
      <c r="Z197" s="194"/>
      <c r="AA197" s="194"/>
    </row>
    <row r="198" spans="1:27" ht="15.75" customHeight="1" x14ac:dyDescent="0.2">
      <c r="A198" s="192"/>
      <c r="B198" s="192"/>
      <c r="C198" s="192"/>
      <c r="D198" s="192"/>
      <c r="E198" s="192"/>
      <c r="F198" s="192"/>
      <c r="G198" s="192"/>
      <c r="H198" s="193"/>
      <c r="I198" s="192"/>
      <c r="J198" s="192"/>
      <c r="K198" s="192"/>
      <c r="L198" s="192"/>
      <c r="M198" s="192"/>
      <c r="N198" s="192"/>
      <c r="O198" s="192"/>
      <c r="P198" s="192"/>
      <c r="Q198" s="192"/>
      <c r="R198" s="192"/>
      <c r="S198" s="192"/>
      <c r="T198" s="192"/>
      <c r="U198" s="192"/>
      <c r="V198" s="192"/>
      <c r="W198" s="192"/>
      <c r="X198" s="192"/>
      <c r="Y198" s="194"/>
      <c r="Z198" s="194"/>
      <c r="AA198" s="194"/>
    </row>
    <row r="199" spans="1:27" ht="15.75" customHeight="1" x14ac:dyDescent="0.2">
      <c r="A199" s="192"/>
      <c r="B199" s="192"/>
      <c r="C199" s="192"/>
      <c r="D199" s="192"/>
      <c r="E199" s="192"/>
      <c r="F199" s="192"/>
      <c r="G199" s="192"/>
      <c r="H199" s="193"/>
      <c r="I199" s="192"/>
      <c r="J199" s="192"/>
      <c r="K199" s="192"/>
      <c r="L199" s="192"/>
      <c r="M199" s="192"/>
      <c r="N199" s="192"/>
      <c r="O199" s="192"/>
      <c r="P199" s="192"/>
      <c r="Q199" s="192"/>
      <c r="R199" s="192"/>
      <c r="S199" s="192"/>
      <c r="T199" s="192"/>
      <c r="U199" s="192"/>
      <c r="V199" s="192"/>
      <c r="W199" s="192"/>
      <c r="X199" s="192"/>
      <c r="Y199" s="194"/>
      <c r="Z199" s="194"/>
      <c r="AA199" s="194"/>
    </row>
    <row r="200" spans="1:27" ht="15.75" customHeight="1" x14ac:dyDescent="0.2">
      <c r="A200" s="192"/>
      <c r="B200" s="192"/>
      <c r="C200" s="192"/>
      <c r="D200" s="192"/>
      <c r="E200" s="192"/>
      <c r="F200" s="192"/>
      <c r="G200" s="192"/>
      <c r="H200" s="193"/>
      <c r="I200" s="192"/>
      <c r="J200" s="192"/>
      <c r="K200" s="192"/>
      <c r="L200" s="192"/>
      <c r="M200" s="192"/>
      <c r="N200" s="192"/>
      <c r="O200" s="192"/>
      <c r="P200" s="192"/>
      <c r="Q200" s="192"/>
      <c r="R200" s="192"/>
      <c r="S200" s="192"/>
      <c r="T200" s="192"/>
      <c r="U200" s="192"/>
      <c r="V200" s="192"/>
      <c r="W200" s="192"/>
      <c r="X200" s="192"/>
      <c r="Y200" s="194"/>
      <c r="Z200" s="194"/>
      <c r="AA200" s="194"/>
    </row>
    <row r="201" spans="1:27" ht="15.75" customHeight="1" x14ac:dyDescent="0.2">
      <c r="A201" s="192"/>
      <c r="B201" s="192"/>
      <c r="C201" s="192"/>
      <c r="D201" s="192"/>
      <c r="E201" s="192"/>
      <c r="F201" s="192"/>
      <c r="G201" s="192"/>
      <c r="H201" s="193"/>
      <c r="I201" s="192"/>
      <c r="J201" s="192"/>
      <c r="K201" s="192"/>
      <c r="L201" s="192"/>
      <c r="M201" s="192"/>
      <c r="N201" s="192"/>
      <c r="O201" s="192"/>
      <c r="P201" s="192"/>
      <c r="Q201" s="192"/>
      <c r="R201" s="192"/>
      <c r="S201" s="192"/>
      <c r="T201" s="192"/>
      <c r="U201" s="192"/>
      <c r="V201" s="192"/>
      <c r="W201" s="192"/>
      <c r="X201" s="192"/>
      <c r="Y201" s="194"/>
      <c r="Z201" s="194"/>
      <c r="AA201" s="194"/>
    </row>
    <row r="202" spans="1:27" ht="15.75" customHeight="1" x14ac:dyDescent="0.2">
      <c r="A202" s="192"/>
      <c r="B202" s="192"/>
      <c r="C202" s="192"/>
      <c r="D202" s="192"/>
      <c r="E202" s="192"/>
      <c r="F202" s="192"/>
      <c r="G202" s="192"/>
      <c r="H202" s="193"/>
      <c r="I202" s="192"/>
      <c r="J202" s="192"/>
      <c r="K202" s="192"/>
      <c r="L202" s="192"/>
      <c r="M202" s="192"/>
      <c r="N202" s="192"/>
      <c r="O202" s="192"/>
      <c r="P202" s="192"/>
      <c r="Q202" s="192"/>
      <c r="R202" s="192"/>
      <c r="S202" s="192"/>
      <c r="T202" s="192"/>
      <c r="U202" s="192"/>
      <c r="V202" s="192"/>
      <c r="W202" s="192"/>
      <c r="X202" s="192"/>
      <c r="Y202" s="194"/>
      <c r="Z202" s="194"/>
      <c r="AA202" s="194"/>
    </row>
    <row r="203" spans="1:27" ht="15.75" customHeight="1" x14ac:dyDescent="0.2">
      <c r="A203" s="192"/>
      <c r="B203" s="192"/>
      <c r="C203" s="192"/>
      <c r="D203" s="192"/>
      <c r="E203" s="192"/>
      <c r="F203" s="192"/>
      <c r="G203" s="192"/>
      <c r="H203" s="193"/>
      <c r="I203" s="192"/>
      <c r="J203" s="192"/>
      <c r="K203" s="192"/>
      <c r="L203" s="192"/>
      <c r="M203" s="192"/>
      <c r="N203" s="192"/>
      <c r="O203" s="192"/>
      <c r="P203" s="192"/>
      <c r="Q203" s="192"/>
      <c r="R203" s="192"/>
      <c r="S203" s="192"/>
      <c r="T203" s="192"/>
      <c r="U203" s="192"/>
      <c r="V203" s="192"/>
      <c r="W203" s="192"/>
      <c r="X203" s="192"/>
      <c r="Y203" s="194"/>
      <c r="Z203" s="194"/>
      <c r="AA203" s="194"/>
    </row>
    <row r="204" spans="1:27" ht="15.75" customHeight="1" x14ac:dyDescent="0.2">
      <c r="A204" s="192"/>
      <c r="B204" s="192"/>
      <c r="C204" s="192"/>
      <c r="D204" s="192"/>
      <c r="E204" s="192"/>
      <c r="F204" s="192"/>
      <c r="G204" s="192"/>
      <c r="H204" s="193"/>
      <c r="I204" s="192"/>
      <c r="J204" s="192"/>
      <c r="K204" s="192"/>
      <c r="L204" s="192"/>
      <c r="M204" s="192"/>
      <c r="N204" s="192"/>
      <c r="O204" s="192"/>
      <c r="P204" s="192"/>
      <c r="Q204" s="192"/>
      <c r="R204" s="192"/>
      <c r="S204" s="192"/>
      <c r="T204" s="192"/>
      <c r="U204" s="192"/>
      <c r="V204" s="192"/>
      <c r="W204" s="192"/>
      <c r="X204" s="192"/>
      <c r="Y204" s="194"/>
      <c r="Z204" s="194"/>
      <c r="AA204" s="194"/>
    </row>
    <row r="205" spans="1:27" ht="15.75" customHeight="1" x14ac:dyDescent="0.2">
      <c r="A205" s="192"/>
      <c r="B205" s="192"/>
      <c r="C205" s="192"/>
      <c r="D205" s="192"/>
      <c r="E205" s="192"/>
      <c r="F205" s="192"/>
      <c r="G205" s="192"/>
      <c r="H205" s="193"/>
      <c r="I205" s="192"/>
      <c r="J205" s="192"/>
      <c r="K205" s="192"/>
      <c r="L205" s="192"/>
      <c r="M205" s="192"/>
      <c r="N205" s="192"/>
      <c r="O205" s="192"/>
      <c r="P205" s="192"/>
      <c r="Q205" s="192"/>
      <c r="R205" s="192"/>
      <c r="S205" s="192"/>
      <c r="T205" s="192"/>
      <c r="U205" s="192"/>
      <c r="V205" s="192"/>
      <c r="W205" s="192"/>
      <c r="X205" s="192"/>
      <c r="Y205" s="194"/>
      <c r="Z205" s="194"/>
      <c r="AA205" s="194"/>
    </row>
    <row r="206" spans="1:27" ht="15.75" customHeight="1" x14ac:dyDescent="0.2">
      <c r="A206" s="192"/>
      <c r="B206" s="192"/>
      <c r="C206" s="192"/>
      <c r="D206" s="192"/>
      <c r="E206" s="192"/>
      <c r="F206" s="192"/>
      <c r="G206" s="192"/>
      <c r="H206" s="193"/>
      <c r="I206" s="192"/>
      <c r="J206" s="192"/>
      <c r="K206" s="192"/>
      <c r="L206" s="192"/>
      <c r="M206" s="192"/>
      <c r="N206" s="192"/>
      <c r="O206" s="192"/>
      <c r="P206" s="192"/>
      <c r="Q206" s="192"/>
      <c r="R206" s="192"/>
      <c r="S206" s="192"/>
      <c r="T206" s="192"/>
      <c r="U206" s="192"/>
      <c r="V206" s="192"/>
      <c r="W206" s="192"/>
      <c r="X206" s="192"/>
      <c r="Y206" s="194"/>
      <c r="Z206" s="194"/>
      <c r="AA206" s="194"/>
    </row>
    <row r="207" spans="1:27" ht="15.75" customHeight="1" x14ac:dyDescent="0.2">
      <c r="A207" s="192"/>
      <c r="B207" s="192"/>
      <c r="C207" s="192"/>
      <c r="D207" s="192"/>
      <c r="E207" s="192"/>
      <c r="F207" s="192"/>
      <c r="G207" s="192"/>
      <c r="H207" s="193"/>
      <c r="I207" s="192"/>
      <c r="J207" s="192"/>
      <c r="K207" s="192"/>
      <c r="L207" s="192"/>
      <c r="M207" s="192"/>
      <c r="N207" s="192"/>
      <c r="O207" s="192"/>
      <c r="P207" s="192"/>
      <c r="Q207" s="192"/>
      <c r="R207" s="192"/>
      <c r="S207" s="192"/>
      <c r="T207" s="192"/>
      <c r="U207" s="192"/>
      <c r="V207" s="192"/>
      <c r="W207" s="192"/>
      <c r="X207" s="192"/>
      <c r="Y207" s="194"/>
      <c r="Z207" s="194"/>
      <c r="AA207" s="194"/>
    </row>
    <row r="208" spans="1:27" ht="15.75" customHeight="1" x14ac:dyDescent="0.2">
      <c r="A208" s="192"/>
      <c r="B208" s="192"/>
      <c r="C208" s="192"/>
      <c r="D208" s="192"/>
      <c r="E208" s="192"/>
      <c r="F208" s="192"/>
      <c r="G208" s="192"/>
      <c r="H208" s="193"/>
      <c r="I208" s="192"/>
      <c r="J208" s="192"/>
      <c r="K208" s="192"/>
      <c r="L208" s="192"/>
      <c r="M208" s="192"/>
      <c r="N208" s="192"/>
      <c r="O208" s="192"/>
      <c r="P208" s="192"/>
      <c r="Q208" s="192"/>
      <c r="R208" s="192"/>
      <c r="S208" s="192"/>
      <c r="T208" s="192"/>
      <c r="U208" s="192"/>
      <c r="V208" s="192"/>
      <c r="W208" s="192"/>
      <c r="X208" s="192"/>
      <c r="Y208" s="194"/>
      <c r="Z208" s="194"/>
      <c r="AA208" s="194"/>
    </row>
    <row r="209" spans="1:27" ht="15.75" customHeight="1" x14ac:dyDescent="0.2">
      <c r="A209" s="192"/>
      <c r="B209" s="192"/>
      <c r="C209" s="192"/>
      <c r="D209" s="192"/>
      <c r="E209" s="192"/>
      <c r="F209" s="192"/>
      <c r="G209" s="192"/>
      <c r="H209" s="193"/>
      <c r="I209" s="192"/>
      <c r="J209" s="192"/>
      <c r="K209" s="192"/>
      <c r="L209" s="192"/>
      <c r="M209" s="192"/>
      <c r="N209" s="192"/>
      <c r="O209" s="192"/>
      <c r="P209" s="192"/>
      <c r="Q209" s="192"/>
      <c r="R209" s="192"/>
      <c r="S209" s="192"/>
      <c r="T209" s="192"/>
      <c r="U209" s="192"/>
      <c r="V209" s="192"/>
      <c r="W209" s="192"/>
      <c r="X209" s="192"/>
      <c r="Y209" s="194"/>
      <c r="Z209" s="194"/>
      <c r="AA209" s="194"/>
    </row>
    <row r="210" spans="1:27" ht="15.75" customHeight="1" x14ac:dyDescent="0.2">
      <c r="A210" s="192"/>
      <c r="B210" s="192"/>
      <c r="C210" s="192"/>
      <c r="D210" s="192"/>
      <c r="E210" s="192"/>
      <c r="F210" s="192"/>
      <c r="G210" s="192"/>
      <c r="H210" s="193"/>
      <c r="I210" s="192"/>
      <c r="J210" s="192"/>
      <c r="K210" s="192"/>
      <c r="L210" s="192"/>
      <c r="M210" s="192"/>
      <c r="N210" s="192"/>
      <c r="O210" s="192"/>
      <c r="P210" s="192"/>
      <c r="Q210" s="192"/>
      <c r="R210" s="192"/>
      <c r="S210" s="192"/>
      <c r="T210" s="192"/>
      <c r="U210" s="192"/>
      <c r="V210" s="192"/>
      <c r="W210" s="192"/>
      <c r="X210" s="192"/>
      <c r="Y210" s="194"/>
      <c r="Z210" s="194"/>
      <c r="AA210" s="194"/>
    </row>
    <row r="211" spans="1:27" ht="15.75" customHeight="1" x14ac:dyDescent="0.2">
      <c r="A211" s="192"/>
      <c r="B211" s="192"/>
      <c r="C211" s="192"/>
      <c r="D211" s="192"/>
      <c r="E211" s="192"/>
      <c r="F211" s="192"/>
      <c r="G211" s="192"/>
      <c r="H211" s="193"/>
      <c r="I211" s="192"/>
      <c r="J211" s="192"/>
      <c r="K211" s="192"/>
      <c r="L211" s="192"/>
      <c r="M211" s="192"/>
      <c r="N211" s="192"/>
      <c r="O211" s="192"/>
      <c r="P211" s="192"/>
      <c r="Q211" s="192"/>
      <c r="R211" s="192"/>
      <c r="S211" s="192"/>
      <c r="T211" s="192"/>
      <c r="U211" s="192"/>
      <c r="V211" s="192"/>
      <c r="W211" s="192"/>
      <c r="X211" s="192"/>
      <c r="Y211" s="194"/>
      <c r="Z211" s="194"/>
      <c r="AA211" s="194"/>
    </row>
    <row r="212" spans="1:27" ht="15.75" customHeight="1" x14ac:dyDescent="0.2">
      <c r="A212" s="192"/>
      <c r="B212" s="192"/>
      <c r="C212" s="192"/>
      <c r="D212" s="192"/>
      <c r="E212" s="192"/>
      <c r="F212" s="192"/>
      <c r="G212" s="192"/>
      <c r="H212" s="193"/>
      <c r="I212" s="192"/>
      <c r="J212" s="192"/>
      <c r="K212" s="192"/>
      <c r="L212" s="192"/>
      <c r="M212" s="192"/>
      <c r="N212" s="192"/>
      <c r="O212" s="192"/>
      <c r="P212" s="192"/>
      <c r="Q212" s="192"/>
      <c r="R212" s="192"/>
      <c r="S212" s="192"/>
      <c r="T212" s="192"/>
      <c r="U212" s="192"/>
      <c r="V212" s="192"/>
      <c r="W212" s="192"/>
      <c r="X212" s="192"/>
      <c r="Y212" s="194"/>
      <c r="Z212" s="194"/>
      <c r="AA212" s="194"/>
    </row>
    <row r="213" spans="1:27" ht="15.75" customHeight="1" x14ac:dyDescent="0.2">
      <c r="A213" s="192"/>
      <c r="B213" s="192"/>
      <c r="C213" s="192"/>
      <c r="D213" s="192"/>
      <c r="E213" s="192"/>
      <c r="F213" s="192"/>
      <c r="G213" s="192"/>
      <c r="H213" s="193"/>
      <c r="I213" s="192"/>
      <c r="J213" s="192"/>
      <c r="K213" s="192"/>
      <c r="L213" s="192"/>
      <c r="M213" s="192"/>
      <c r="N213" s="192"/>
      <c r="O213" s="192"/>
      <c r="P213" s="192"/>
      <c r="Q213" s="192"/>
      <c r="R213" s="192"/>
      <c r="S213" s="192"/>
      <c r="T213" s="192"/>
      <c r="U213" s="192"/>
      <c r="V213" s="192"/>
      <c r="W213" s="192"/>
      <c r="X213" s="192"/>
      <c r="Y213" s="194"/>
      <c r="Z213" s="194"/>
      <c r="AA213" s="194"/>
    </row>
    <row r="214" spans="1:27" ht="15.75" customHeight="1" x14ac:dyDescent="0.2">
      <c r="A214" s="192"/>
      <c r="B214" s="192"/>
      <c r="C214" s="192"/>
      <c r="D214" s="192"/>
      <c r="E214" s="192"/>
      <c r="F214" s="192"/>
      <c r="G214" s="192"/>
      <c r="H214" s="193"/>
      <c r="I214" s="192"/>
      <c r="J214" s="192"/>
      <c r="K214" s="192"/>
      <c r="L214" s="192"/>
      <c r="M214" s="192"/>
      <c r="N214" s="192"/>
      <c r="O214" s="192"/>
      <c r="P214" s="192"/>
      <c r="Q214" s="192"/>
      <c r="R214" s="192"/>
      <c r="S214" s="192"/>
      <c r="T214" s="192"/>
      <c r="U214" s="192"/>
      <c r="V214" s="192"/>
      <c r="W214" s="192"/>
      <c r="X214" s="192"/>
      <c r="Y214" s="194"/>
      <c r="Z214" s="194"/>
      <c r="AA214" s="194"/>
    </row>
    <row r="215" spans="1:27" ht="15.75" customHeight="1" x14ac:dyDescent="0.2">
      <c r="A215" s="192"/>
      <c r="B215" s="192"/>
      <c r="C215" s="192"/>
      <c r="D215" s="192"/>
      <c r="E215" s="192"/>
      <c r="F215" s="192"/>
      <c r="G215" s="192"/>
      <c r="H215" s="193"/>
      <c r="I215" s="192"/>
      <c r="J215" s="192"/>
      <c r="K215" s="192"/>
      <c r="L215" s="192"/>
      <c r="M215" s="192"/>
      <c r="N215" s="192"/>
      <c r="O215" s="192"/>
      <c r="P215" s="192"/>
      <c r="Q215" s="192"/>
      <c r="R215" s="192"/>
      <c r="S215" s="192"/>
      <c r="T215" s="192"/>
      <c r="U215" s="192"/>
      <c r="V215" s="192"/>
      <c r="W215" s="192"/>
      <c r="X215" s="192"/>
      <c r="Y215" s="194"/>
      <c r="Z215" s="194"/>
      <c r="AA215" s="194"/>
    </row>
    <row r="216" spans="1:27" ht="15.75" customHeight="1" x14ac:dyDescent="0.2">
      <c r="A216" s="192"/>
      <c r="B216" s="192"/>
      <c r="C216" s="192"/>
      <c r="D216" s="192"/>
      <c r="E216" s="192"/>
      <c r="F216" s="192"/>
      <c r="G216" s="192"/>
      <c r="H216" s="193"/>
      <c r="I216" s="192"/>
      <c r="J216" s="192"/>
      <c r="K216" s="192"/>
      <c r="L216" s="192"/>
      <c r="M216" s="192"/>
      <c r="N216" s="192"/>
      <c r="O216" s="192"/>
      <c r="P216" s="192"/>
      <c r="Q216" s="192"/>
      <c r="R216" s="192"/>
      <c r="S216" s="192"/>
      <c r="T216" s="192"/>
      <c r="U216" s="192"/>
      <c r="V216" s="192"/>
      <c r="W216" s="192"/>
      <c r="X216" s="192"/>
      <c r="Y216" s="194"/>
      <c r="Z216" s="194"/>
      <c r="AA216" s="194"/>
    </row>
    <row r="217" spans="1:27" ht="15.75" customHeight="1" x14ac:dyDescent="0.2">
      <c r="A217" s="192"/>
      <c r="B217" s="192"/>
      <c r="C217" s="192"/>
      <c r="D217" s="192"/>
      <c r="E217" s="192"/>
      <c r="F217" s="192"/>
      <c r="G217" s="192"/>
      <c r="H217" s="193"/>
      <c r="I217" s="192"/>
      <c r="J217" s="192"/>
      <c r="K217" s="192"/>
      <c r="L217" s="192"/>
      <c r="M217" s="192"/>
      <c r="N217" s="192"/>
      <c r="O217" s="192"/>
      <c r="P217" s="192"/>
      <c r="Q217" s="192"/>
      <c r="R217" s="192"/>
      <c r="S217" s="192"/>
      <c r="T217" s="192"/>
      <c r="U217" s="192"/>
      <c r="V217" s="192"/>
      <c r="W217" s="192"/>
      <c r="X217" s="192"/>
      <c r="Y217" s="194"/>
      <c r="Z217" s="194"/>
      <c r="AA217" s="194"/>
    </row>
    <row r="218" spans="1:27" ht="15.75" customHeight="1" x14ac:dyDescent="0.2">
      <c r="A218" s="192"/>
      <c r="B218" s="192"/>
      <c r="C218" s="192"/>
      <c r="D218" s="192"/>
      <c r="E218" s="192"/>
      <c r="F218" s="192"/>
      <c r="G218" s="192"/>
      <c r="H218" s="193"/>
      <c r="I218" s="192"/>
      <c r="J218" s="192"/>
      <c r="K218" s="192"/>
      <c r="L218" s="192"/>
      <c r="M218" s="192"/>
      <c r="N218" s="192"/>
      <c r="O218" s="192"/>
      <c r="P218" s="192"/>
      <c r="Q218" s="192"/>
      <c r="R218" s="192"/>
      <c r="S218" s="192"/>
      <c r="T218" s="192"/>
      <c r="U218" s="192"/>
      <c r="V218" s="192"/>
      <c r="W218" s="192"/>
      <c r="X218" s="192"/>
      <c r="Y218" s="194"/>
      <c r="Z218" s="194"/>
      <c r="AA218" s="194"/>
    </row>
    <row r="219" spans="1:27" ht="15.75" customHeight="1" x14ac:dyDescent="0.2">
      <c r="A219" s="192"/>
      <c r="B219" s="192"/>
      <c r="C219" s="192"/>
      <c r="D219" s="192"/>
      <c r="E219" s="192"/>
      <c r="F219" s="192"/>
      <c r="G219" s="192"/>
      <c r="H219" s="193"/>
      <c r="I219" s="192"/>
      <c r="J219" s="192"/>
      <c r="K219" s="192"/>
      <c r="L219" s="192"/>
      <c r="M219" s="192"/>
      <c r="N219" s="192"/>
      <c r="O219" s="192"/>
      <c r="P219" s="192"/>
      <c r="Q219" s="192"/>
      <c r="R219" s="192"/>
      <c r="S219" s="192"/>
      <c r="T219" s="192"/>
      <c r="U219" s="192"/>
      <c r="V219" s="192"/>
      <c r="W219" s="192"/>
      <c r="X219" s="192"/>
      <c r="Y219" s="194"/>
      <c r="Z219" s="194"/>
      <c r="AA219" s="194"/>
    </row>
    <row r="220" spans="1:27" ht="15.75" customHeight="1" x14ac:dyDescent="0.2">
      <c r="A220" s="192"/>
      <c r="B220" s="192"/>
      <c r="C220" s="192"/>
      <c r="D220" s="192"/>
      <c r="E220" s="192"/>
      <c r="F220" s="192"/>
      <c r="G220" s="192"/>
      <c r="H220" s="193"/>
      <c r="I220" s="192"/>
      <c r="J220" s="192"/>
      <c r="K220" s="192"/>
      <c r="L220" s="192"/>
      <c r="M220" s="192"/>
      <c r="N220" s="192"/>
      <c r="O220" s="192"/>
      <c r="P220" s="192"/>
      <c r="Q220" s="192"/>
      <c r="R220" s="192"/>
      <c r="S220" s="192"/>
      <c r="T220" s="192"/>
      <c r="U220" s="192"/>
      <c r="V220" s="192"/>
      <c r="W220" s="192"/>
      <c r="X220" s="192"/>
      <c r="Y220" s="194"/>
      <c r="Z220" s="194"/>
      <c r="AA220" s="194"/>
    </row>
    <row r="221" spans="1:27" ht="15.75" customHeight="1" x14ac:dyDescent="0.2">
      <c r="A221" s="192"/>
      <c r="B221" s="192"/>
      <c r="C221" s="192"/>
      <c r="D221" s="192"/>
      <c r="E221" s="192"/>
      <c r="F221" s="192"/>
      <c r="G221" s="192"/>
      <c r="H221" s="193"/>
      <c r="I221" s="192"/>
      <c r="J221" s="192"/>
      <c r="K221" s="192"/>
      <c r="L221" s="192"/>
      <c r="M221" s="192"/>
      <c r="N221" s="192"/>
      <c r="O221" s="192"/>
      <c r="P221" s="192"/>
      <c r="Q221" s="192"/>
      <c r="R221" s="192"/>
      <c r="S221" s="192"/>
      <c r="T221" s="192"/>
      <c r="U221" s="192"/>
      <c r="V221" s="192"/>
      <c r="W221" s="192"/>
      <c r="X221" s="192"/>
      <c r="Y221" s="194"/>
      <c r="Z221" s="194"/>
      <c r="AA221" s="194"/>
    </row>
    <row r="222" spans="1:27" ht="15.75" customHeight="1" x14ac:dyDescent="0.2">
      <c r="A222" s="192"/>
      <c r="B222" s="192"/>
      <c r="C222" s="192"/>
      <c r="D222" s="192"/>
      <c r="E222" s="192"/>
      <c r="F222" s="192"/>
      <c r="G222" s="192"/>
      <c r="H222" s="193"/>
      <c r="I222" s="192"/>
      <c r="J222" s="192"/>
      <c r="K222" s="192"/>
      <c r="L222" s="192"/>
      <c r="M222" s="192"/>
      <c r="N222" s="192"/>
      <c r="O222" s="192"/>
      <c r="P222" s="192"/>
      <c r="Q222" s="192"/>
      <c r="R222" s="192"/>
      <c r="S222" s="192"/>
      <c r="T222" s="192"/>
      <c r="U222" s="192"/>
      <c r="V222" s="192"/>
      <c r="W222" s="192"/>
      <c r="X222" s="192"/>
      <c r="Y222" s="194"/>
      <c r="Z222" s="194"/>
      <c r="AA222" s="194"/>
    </row>
    <row r="223" spans="1:27" ht="15.75" customHeight="1" x14ac:dyDescent="0.2">
      <c r="A223" s="192"/>
      <c r="B223" s="192"/>
      <c r="C223" s="192"/>
      <c r="D223" s="192"/>
      <c r="E223" s="192"/>
      <c r="F223" s="192"/>
      <c r="G223" s="192"/>
      <c r="H223" s="193"/>
      <c r="I223" s="192"/>
      <c r="J223" s="192"/>
      <c r="K223" s="192"/>
      <c r="L223" s="192"/>
      <c r="M223" s="192"/>
      <c r="N223" s="192"/>
      <c r="O223" s="192"/>
      <c r="P223" s="192"/>
      <c r="Q223" s="192"/>
      <c r="R223" s="192"/>
      <c r="S223" s="192"/>
      <c r="T223" s="192"/>
      <c r="U223" s="192"/>
      <c r="V223" s="192"/>
      <c r="W223" s="192"/>
      <c r="X223" s="192"/>
      <c r="Y223" s="194"/>
      <c r="Z223" s="194"/>
      <c r="AA223" s="194"/>
    </row>
    <row r="224" spans="1:27" ht="15.75" customHeight="1" x14ac:dyDescent="0.2">
      <c r="A224" s="192"/>
      <c r="B224" s="192"/>
      <c r="C224" s="192"/>
      <c r="D224" s="192"/>
      <c r="E224" s="192"/>
      <c r="F224" s="192"/>
      <c r="G224" s="192"/>
      <c r="H224" s="193"/>
      <c r="I224" s="192"/>
      <c r="J224" s="192"/>
      <c r="K224" s="192"/>
      <c r="L224" s="192"/>
      <c r="M224" s="192"/>
      <c r="N224" s="192"/>
      <c r="O224" s="192"/>
      <c r="P224" s="192"/>
      <c r="Q224" s="192"/>
      <c r="R224" s="192"/>
      <c r="S224" s="192"/>
      <c r="T224" s="192"/>
      <c r="U224" s="192"/>
      <c r="V224" s="192"/>
      <c r="W224" s="192"/>
      <c r="X224" s="192"/>
      <c r="Y224" s="194"/>
      <c r="Z224" s="194"/>
      <c r="AA224" s="194"/>
    </row>
    <row r="225" spans="1:27" ht="15.75" customHeight="1" x14ac:dyDescent="0.2">
      <c r="A225" s="192"/>
      <c r="B225" s="192"/>
      <c r="C225" s="192"/>
      <c r="D225" s="192"/>
      <c r="E225" s="192"/>
      <c r="F225" s="192"/>
      <c r="G225" s="192"/>
      <c r="H225" s="193"/>
      <c r="I225" s="192"/>
      <c r="J225" s="192"/>
      <c r="K225" s="192"/>
      <c r="L225" s="192"/>
      <c r="M225" s="192"/>
      <c r="N225" s="192"/>
      <c r="O225" s="192"/>
      <c r="P225" s="192"/>
      <c r="Q225" s="192"/>
      <c r="R225" s="192"/>
      <c r="S225" s="192"/>
      <c r="T225" s="192"/>
      <c r="U225" s="192"/>
      <c r="V225" s="192"/>
      <c r="W225" s="192"/>
      <c r="X225" s="192"/>
      <c r="Y225" s="194"/>
      <c r="Z225" s="194"/>
      <c r="AA225" s="194"/>
    </row>
    <row r="226" spans="1:27" ht="15.75" customHeight="1" x14ac:dyDescent="0.2">
      <c r="A226" s="192"/>
      <c r="B226" s="192"/>
      <c r="C226" s="192"/>
      <c r="D226" s="192"/>
      <c r="E226" s="192"/>
      <c r="F226" s="192"/>
      <c r="G226" s="192"/>
      <c r="H226" s="193"/>
      <c r="I226" s="192"/>
      <c r="J226" s="192"/>
      <c r="K226" s="192"/>
      <c r="L226" s="192"/>
      <c r="M226" s="192"/>
      <c r="N226" s="192"/>
      <c r="O226" s="192"/>
      <c r="P226" s="192"/>
      <c r="Q226" s="192"/>
      <c r="R226" s="192"/>
      <c r="S226" s="192"/>
      <c r="T226" s="192"/>
      <c r="U226" s="192"/>
      <c r="V226" s="192"/>
      <c r="W226" s="192"/>
      <c r="X226" s="192"/>
      <c r="Y226" s="194"/>
      <c r="Z226" s="194"/>
      <c r="AA226" s="194"/>
    </row>
    <row r="227" spans="1:27" ht="15.75" customHeight="1" x14ac:dyDescent="0.2">
      <c r="A227" s="192"/>
      <c r="B227" s="192"/>
      <c r="C227" s="192"/>
      <c r="D227" s="192"/>
      <c r="E227" s="192"/>
      <c r="F227" s="192"/>
      <c r="G227" s="192"/>
      <c r="H227" s="193"/>
      <c r="I227" s="192"/>
      <c r="J227" s="192"/>
      <c r="K227" s="192"/>
      <c r="L227" s="192"/>
      <c r="M227" s="192"/>
      <c r="N227" s="192"/>
      <c r="O227" s="192"/>
      <c r="P227" s="192"/>
      <c r="Q227" s="192"/>
      <c r="R227" s="192"/>
      <c r="S227" s="192"/>
      <c r="T227" s="192"/>
      <c r="U227" s="192"/>
      <c r="V227" s="192"/>
      <c r="W227" s="192"/>
      <c r="X227" s="192"/>
      <c r="Y227" s="194"/>
      <c r="Z227" s="194"/>
      <c r="AA227" s="194"/>
    </row>
    <row r="228" spans="1:27" ht="15.75" customHeight="1" x14ac:dyDescent="0.2">
      <c r="A228" s="192"/>
      <c r="B228" s="192"/>
      <c r="C228" s="192"/>
      <c r="D228" s="192"/>
      <c r="E228" s="192"/>
      <c r="F228" s="192"/>
      <c r="G228" s="192"/>
      <c r="H228" s="193"/>
      <c r="I228" s="192"/>
      <c r="J228" s="192"/>
      <c r="K228" s="192"/>
      <c r="L228" s="192"/>
      <c r="M228" s="192"/>
      <c r="N228" s="192"/>
      <c r="O228" s="192"/>
      <c r="P228" s="192"/>
      <c r="Q228" s="192"/>
      <c r="R228" s="192"/>
      <c r="S228" s="192"/>
      <c r="T228" s="192"/>
      <c r="U228" s="192"/>
      <c r="V228" s="192"/>
      <c r="W228" s="192"/>
      <c r="X228" s="192"/>
      <c r="Y228" s="194"/>
      <c r="Z228" s="194"/>
      <c r="AA228" s="194"/>
    </row>
    <row r="229" spans="1:27" ht="15.75" customHeight="1" x14ac:dyDescent="0.2">
      <c r="A229" s="192"/>
      <c r="B229" s="192"/>
      <c r="C229" s="192"/>
      <c r="D229" s="192"/>
      <c r="E229" s="192"/>
      <c r="F229" s="192"/>
      <c r="G229" s="192"/>
      <c r="H229" s="193"/>
      <c r="I229" s="192"/>
      <c r="J229" s="192"/>
      <c r="K229" s="192"/>
      <c r="L229" s="192"/>
      <c r="M229" s="192"/>
      <c r="N229" s="192"/>
      <c r="O229" s="192"/>
      <c r="P229" s="192"/>
      <c r="Q229" s="192"/>
      <c r="R229" s="192"/>
      <c r="S229" s="192"/>
      <c r="T229" s="192"/>
      <c r="U229" s="192"/>
      <c r="V229" s="192"/>
      <c r="W229" s="192"/>
      <c r="X229" s="192"/>
      <c r="Y229" s="194"/>
      <c r="Z229" s="194"/>
      <c r="AA229" s="194"/>
    </row>
    <row r="230" spans="1:27" ht="15.75" customHeight="1" x14ac:dyDescent="0.2">
      <c r="A230" s="192"/>
      <c r="B230" s="192"/>
      <c r="C230" s="192"/>
      <c r="D230" s="192"/>
      <c r="E230" s="192"/>
      <c r="F230" s="192"/>
      <c r="G230" s="192"/>
      <c r="H230" s="193"/>
      <c r="I230" s="192"/>
      <c r="J230" s="192"/>
      <c r="K230" s="192"/>
      <c r="L230" s="192"/>
      <c r="M230" s="192"/>
      <c r="N230" s="192"/>
      <c r="O230" s="192"/>
      <c r="P230" s="192"/>
      <c r="Q230" s="192"/>
      <c r="R230" s="192"/>
      <c r="S230" s="192"/>
      <c r="T230" s="192"/>
      <c r="U230" s="192"/>
      <c r="V230" s="192"/>
      <c r="W230" s="192"/>
      <c r="X230" s="192"/>
      <c r="Y230" s="194"/>
      <c r="Z230" s="194"/>
      <c r="AA230" s="194"/>
    </row>
    <row r="231" spans="1:27" ht="15.75" customHeight="1" x14ac:dyDescent="0.2">
      <c r="A231" s="192"/>
      <c r="B231" s="192"/>
      <c r="C231" s="192"/>
      <c r="D231" s="192"/>
      <c r="E231" s="192"/>
      <c r="F231" s="192"/>
      <c r="G231" s="192"/>
      <c r="H231" s="193"/>
      <c r="I231" s="192"/>
      <c r="J231" s="192"/>
      <c r="K231" s="192"/>
      <c r="L231" s="192"/>
      <c r="M231" s="192"/>
      <c r="N231" s="192"/>
      <c r="O231" s="192"/>
      <c r="P231" s="192"/>
      <c r="Q231" s="192"/>
      <c r="R231" s="192"/>
      <c r="S231" s="192"/>
      <c r="T231" s="192"/>
      <c r="U231" s="192"/>
      <c r="V231" s="192"/>
      <c r="W231" s="192"/>
      <c r="X231" s="192"/>
      <c r="Y231" s="194"/>
      <c r="Z231" s="194"/>
      <c r="AA231" s="194"/>
    </row>
    <row r="232" spans="1:27" ht="15.75" customHeight="1" x14ac:dyDescent="0.2">
      <c r="A232" s="192"/>
      <c r="B232" s="192"/>
      <c r="C232" s="192"/>
      <c r="D232" s="192"/>
      <c r="E232" s="192"/>
      <c r="F232" s="192"/>
      <c r="G232" s="192"/>
      <c r="H232" s="193"/>
      <c r="I232" s="192"/>
      <c r="J232" s="192"/>
      <c r="K232" s="192"/>
      <c r="L232" s="192"/>
      <c r="M232" s="192"/>
      <c r="N232" s="192"/>
      <c r="O232" s="192"/>
      <c r="P232" s="192"/>
      <c r="Q232" s="192"/>
      <c r="R232" s="192"/>
      <c r="S232" s="192"/>
      <c r="T232" s="192"/>
      <c r="U232" s="192"/>
      <c r="V232" s="192"/>
      <c r="W232" s="192"/>
      <c r="X232" s="192"/>
      <c r="Y232" s="194"/>
      <c r="Z232" s="194"/>
      <c r="AA232" s="194"/>
    </row>
    <row r="233" spans="1:27" ht="15.75" customHeight="1" x14ac:dyDescent="0.2">
      <c r="A233" s="192"/>
      <c r="B233" s="192"/>
      <c r="C233" s="192"/>
      <c r="D233" s="192"/>
      <c r="E233" s="192"/>
      <c r="F233" s="192"/>
      <c r="G233" s="192"/>
      <c r="H233" s="193"/>
      <c r="I233" s="192"/>
      <c r="J233" s="192"/>
      <c r="K233" s="192"/>
      <c r="L233" s="192"/>
      <c r="M233" s="192"/>
      <c r="N233" s="192"/>
      <c r="O233" s="192"/>
      <c r="P233" s="192"/>
      <c r="Q233" s="192"/>
      <c r="R233" s="192"/>
      <c r="S233" s="192"/>
      <c r="T233" s="192"/>
      <c r="U233" s="192"/>
      <c r="V233" s="192"/>
      <c r="W233" s="192"/>
      <c r="X233" s="192"/>
      <c r="Y233" s="194"/>
      <c r="Z233" s="194"/>
      <c r="AA233" s="194"/>
    </row>
    <row r="234" spans="1:27" ht="15.75" customHeight="1" x14ac:dyDescent="0.2">
      <c r="A234" s="192"/>
      <c r="B234" s="192"/>
      <c r="C234" s="192"/>
      <c r="D234" s="192"/>
      <c r="E234" s="192"/>
      <c r="F234" s="192"/>
      <c r="G234" s="192"/>
      <c r="H234" s="193"/>
      <c r="I234" s="192"/>
      <c r="J234" s="192"/>
      <c r="K234" s="192"/>
      <c r="L234" s="192"/>
      <c r="M234" s="192"/>
      <c r="N234" s="192"/>
      <c r="O234" s="192"/>
      <c r="P234" s="192"/>
      <c r="Q234" s="192"/>
      <c r="R234" s="192"/>
      <c r="S234" s="192"/>
      <c r="T234" s="192"/>
      <c r="U234" s="192"/>
      <c r="V234" s="192"/>
      <c r="W234" s="192"/>
      <c r="X234" s="192"/>
      <c r="Y234" s="194"/>
      <c r="Z234" s="194"/>
      <c r="AA234" s="194"/>
    </row>
    <row r="235" spans="1:27" ht="15.75" customHeight="1" x14ac:dyDescent="0.2">
      <c r="A235" s="192"/>
      <c r="B235" s="192"/>
      <c r="C235" s="192"/>
      <c r="D235" s="192"/>
      <c r="E235" s="192"/>
      <c r="F235" s="192"/>
      <c r="G235" s="192"/>
      <c r="H235" s="193"/>
      <c r="I235" s="192"/>
      <c r="J235" s="192"/>
      <c r="K235" s="192"/>
      <c r="L235" s="192"/>
      <c r="M235" s="192"/>
      <c r="N235" s="192"/>
      <c r="O235" s="192"/>
      <c r="P235" s="192"/>
      <c r="Q235" s="192"/>
      <c r="R235" s="192"/>
      <c r="S235" s="192"/>
      <c r="T235" s="192"/>
      <c r="U235" s="192"/>
      <c r="V235" s="192"/>
      <c r="W235" s="192"/>
      <c r="X235" s="192"/>
      <c r="Y235" s="194"/>
      <c r="Z235" s="194"/>
      <c r="AA235" s="194"/>
    </row>
    <row r="236" spans="1:27" ht="15.75" customHeight="1" x14ac:dyDescent="0.2">
      <c r="A236" s="192"/>
      <c r="B236" s="192"/>
      <c r="C236" s="192"/>
      <c r="D236" s="192"/>
      <c r="E236" s="192"/>
      <c r="F236" s="192"/>
      <c r="G236" s="192"/>
      <c r="H236" s="193"/>
      <c r="I236" s="192"/>
      <c r="J236" s="192"/>
      <c r="K236" s="192"/>
      <c r="L236" s="192"/>
      <c r="M236" s="192"/>
      <c r="N236" s="192"/>
      <c r="O236" s="192"/>
      <c r="P236" s="192"/>
      <c r="Q236" s="192"/>
      <c r="R236" s="192"/>
      <c r="S236" s="192"/>
      <c r="T236" s="192"/>
      <c r="U236" s="192"/>
      <c r="V236" s="192"/>
      <c r="W236" s="192"/>
      <c r="X236" s="192"/>
      <c r="Y236" s="194"/>
      <c r="Z236" s="194"/>
      <c r="AA236" s="194"/>
    </row>
    <row r="237" spans="1:27" ht="15.75" customHeight="1" x14ac:dyDescent="0.2">
      <c r="A237" s="192"/>
      <c r="B237" s="192"/>
      <c r="C237" s="192"/>
      <c r="D237" s="192"/>
      <c r="E237" s="192"/>
      <c r="F237" s="192"/>
      <c r="G237" s="192"/>
      <c r="H237" s="193"/>
      <c r="I237" s="192"/>
      <c r="J237" s="192"/>
      <c r="K237" s="192"/>
      <c r="L237" s="192"/>
      <c r="M237" s="192"/>
      <c r="N237" s="192"/>
      <c r="O237" s="192"/>
      <c r="P237" s="192"/>
      <c r="Q237" s="192"/>
      <c r="R237" s="192"/>
      <c r="S237" s="192"/>
      <c r="T237" s="192"/>
      <c r="U237" s="192"/>
      <c r="V237" s="192"/>
      <c r="W237" s="192"/>
      <c r="X237" s="192"/>
      <c r="Y237" s="194"/>
      <c r="Z237" s="194"/>
      <c r="AA237" s="194"/>
    </row>
    <row r="238" spans="1:27" ht="15.75" customHeight="1" x14ac:dyDescent="0.2">
      <c r="A238" s="192"/>
      <c r="B238" s="192"/>
      <c r="C238" s="192"/>
      <c r="D238" s="192"/>
      <c r="E238" s="192"/>
      <c r="F238" s="192"/>
      <c r="G238" s="192"/>
      <c r="H238" s="193"/>
      <c r="I238" s="192"/>
      <c r="J238" s="192"/>
      <c r="K238" s="192"/>
      <c r="L238" s="192"/>
      <c r="M238" s="192"/>
      <c r="N238" s="192"/>
      <c r="O238" s="192"/>
      <c r="P238" s="192"/>
      <c r="Q238" s="192"/>
      <c r="R238" s="192"/>
      <c r="S238" s="192"/>
      <c r="T238" s="192"/>
      <c r="U238" s="192"/>
      <c r="V238" s="192"/>
      <c r="W238" s="192"/>
      <c r="X238" s="192"/>
      <c r="Y238" s="194"/>
      <c r="Z238" s="194"/>
      <c r="AA238" s="194"/>
    </row>
    <row r="239" spans="1:27" ht="15.75" customHeight="1" x14ac:dyDescent="0.2">
      <c r="A239" s="192"/>
      <c r="B239" s="192"/>
      <c r="C239" s="192"/>
      <c r="D239" s="192"/>
      <c r="E239" s="192"/>
      <c r="F239" s="192"/>
      <c r="G239" s="192"/>
      <c r="H239" s="193"/>
      <c r="I239" s="192"/>
      <c r="J239" s="192"/>
      <c r="K239" s="192"/>
      <c r="L239" s="192"/>
      <c r="M239" s="192"/>
      <c r="N239" s="192"/>
      <c r="O239" s="192"/>
      <c r="P239" s="192"/>
      <c r="Q239" s="192"/>
      <c r="R239" s="192"/>
      <c r="S239" s="192"/>
      <c r="T239" s="192"/>
      <c r="U239" s="192"/>
      <c r="V239" s="192"/>
      <c r="W239" s="192"/>
      <c r="X239" s="192"/>
      <c r="Y239" s="194"/>
      <c r="Z239" s="194"/>
      <c r="AA239" s="194"/>
    </row>
    <row r="240" spans="1:27" ht="15.75" customHeight="1" x14ac:dyDescent="0.2">
      <c r="A240" s="192"/>
      <c r="B240" s="192"/>
      <c r="C240" s="192"/>
      <c r="D240" s="192"/>
      <c r="E240" s="192"/>
      <c r="F240" s="192"/>
      <c r="G240" s="192"/>
      <c r="H240" s="193"/>
      <c r="I240" s="192"/>
      <c r="J240" s="192"/>
      <c r="K240" s="192"/>
      <c r="L240" s="192"/>
      <c r="M240" s="192"/>
      <c r="N240" s="192"/>
      <c r="O240" s="192"/>
      <c r="P240" s="192"/>
      <c r="Q240" s="192"/>
      <c r="R240" s="192"/>
      <c r="S240" s="192"/>
      <c r="T240" s="192"/>
      <c r="U240" s="192"/>
      <c r="V240" s="192"/>
      <c r="W240" s="192"/>
      <c r="X240" s="192"/>
      <c r="Y240" s="194"/>
      <c r="Z240" s="194"/>
      <c r="AA240" s="194"/>
    </row>
    <row r="241" spans="1:27" ht="15.75" customHeight="1" x14ac:dyDescent="0.2">
      <c r="A241" s="192"/>
      <c r="B241" s="192"/>
      <c r="C241" s="192"/>
      <c r="D241" s="192"/>
      <c r="E241" s="192"/>
      <c r="F241" s="192"/>
      <c r="G241" s="192"/>
      <c r="H241" s="193"/>
      <c r="I241" s="192"/>
      <c r="J241" s="192"/>
      <c r="K241" s="192"/>
      <c r="L241" s="192"/>
      <c r="M241" s="192"/>
      <c r="N241" s="192"/>
      <c r="O241" s="192"/>
      <c r="P241" s="192"/>
      <c r="Q241" s="192"/>
      <c r="R241" s="192"/>
      <c r="S241" s="192"/>
      <c r="T241" s="192"/>
      <c r="U241" s="192"/>
      <c r="V241" s="192"/>
      <c r="W241" s="192"/>
      <c r="X241" s="192"/>
      <c r="Y241" s="194"/>
      <c r="Z241" s="194"/>
      <c r="AA241" s="194"/>
    </row>
    <row r="242" spans="1:27" ht="15.75" customHeight="1" x14ac:dyDescent="0.2">
      <c r="A242" s="192"/>
      <c r="B242" s="192"/>
      <c r="C242" s="192"/>
      <c r="D242" s="192"/>
      <c r="E242" s="192"/>
      <c r="F242" s="192"/>
      <c r="G242" s="192"/>
      <c r="H242" s="193"/>
      <c r="I242" s="192"/>
      <c r="J242" s="192"/>
      <c r="K242" s="192"/>
      <c r="L242" s="192"/>
      <c r="M242" s="192"/>
      <c r="N242" s="192"/>
      <c r="O242" s="192"/>
      <c r="P242" s="192"/>
      <c r="Q242" s="192"/>
      <c r="R242" s="192"/>
      <c r="S242" s="192"/>
      <c r="T242" s="192"/>
      <c r="U242" s="192"/>
      <c r="V242" s="192"/>
      <c r="W242" s="192"/>
      <c r="X242" s="192"/>
      <c r="Y242" s="194"/>
      <c r="Z242" s="194"/>
      <c r="AA242" s="194"/>
    </row>
    <row r="243" spans="1:27" ht="15.75" customHeight="1" x14ac:dyDescent="0.2">
      <c r="A243" s="192"/>
      <c r="B243" s="192"/>
      <c r="C243" s="192"/>
      <c r="D243" s="192"/>
      <c r="E243" s="192"/>
      <c r="F243" s="192"/>
      <c r="G243" s="192"/>
      <c r="H243" s="193"/>
      <c r="I243" s="192"/>
      <c r="J243" s="192"/>
      <c r="K243" s="192"/>
      <c r="L243" s="192"/>
      <c r="M243" s="192"/>
      <c r="N243" s="192"/>
      <c r="O243" s="192"/>
      <c r="P243" s="192"/>
      <c r="Q243" s="192"/>
      <c r="R243" s="192"/>
      <c r="S243" s="192"/>
      <c r="T243" s="192"/>
      <c r="U243" s="192"/>
      <c r="V243" s="192"/>
      <c r="W243" s="192"/>
      <c r="X243" s="192"/>
      <c r="Y243" s="194"/>
      <c r="Z243" s="194"/>
      <c r="AA243" s="194"/>
    </row>
    <row r="244" spans="1:27" ht="15.75" customHeight="1" x14ac:dyDescent="0.2">
      <c r="A244" s="192"/>
      <c r="B244" s="192"/>
      <c r="C244" s="192"/>
      <c r="D244" s="192"/>
      <c r="E244" s="192"/>
      <c r="F244" s="192"/>
      <c r="G244" s="192"/>
      <c r="H244" s="193"/>
      <c r="I244" s="192"/>
      <c r="J244" s="192"/>
      <c r="K244" s="192"/>
      <c r="L244" s="192"/>
      <c r="M244" s="192"/>
      <c r="N244" s="192"/>
      <c r="O244" s="192"/>
      <c r="P244" s="192"/>
      <c r="Q244" s="192"/>
      <c r="R244" s="192"/>
      <c r="S244" s="192"/>
      <c r="T244" s="192"/>
      <c r="U244" s="192"/>
      <c r="V244" s="192"/>
      <c r="W244" s="192"/>
      <c r="X244" s="192"/>
      <c r="Y244" s="194"/>
      <c r="Z244" s="194"/>
      <c r="AA244" s="194"/>
    </row>
    <row r="245" spans="1:27" ht="15.75" customHeight="1" x14ac:dyDescent="0.2">
      <c r="A245" s="192"/>
      <c r="B245" s="192"/>
      <c r="C245" s="192"/>
      <c r="D245" s="192"/>
      <c r="E245" s="192"/>
      <c r="F245" s="192"/>
      <c r="G245" s="192"/>
      <c r="H245" s="193"/>
      <c r="I245" s="192"/>
      <c r="J245" s="192"/>
      <c r="K245" s="192"/>
      <c r="L245" s="192"/>
      <c r="M245" s="192"/>
      <c r="N245" s="192"/>
      <c r="O245" s="192"/>
      <c r="P245" s="192"/>
      <c r="Q245" s="192"/>
      <c r="R245" s="192"/>
      <c r="S245" s="192"/>
      <c r="T245" s="192"/>
      <c r="U245" s="192"/>
      <c r="V245" s="192"/>
      <c r="W245" s="192"/>
      <c r="X245" s="192"/>
      <c r="Y245" s="194"/>
      <c r="Z245" s="194"/>
      <c r="AA245" s="194"/>
    </row>
    <row r="246" spans="1:27" ht="15.75" customHeight="1" x14ac:dyDescent="0.2">
      <c r="A246" s="192"/>
      <c r="B246" s="192"/>
      <c r="C246" s="192"/>
      <c r="D246" s="192"/>
      <c r="E246" s="192"/>
      <c r="F246" s="192"/>
      <c r="G246" s="192"/>
      <c r="H246" s="193"/>
      <c r="I246" s="192"/>
      <c r="J246" s="192"/>
      <c r="K246" s="192"/>
      <c r="L246" s="192"/>
      <c r="M246" s="192"/>
      <c r="N246" s="192"/>
      <c r="O246" s="192"/>
      <c r="P246" s="192"/>
      <c r="Q246" s="192"/>
      <c r="R246" s="192"/>
      <c r="S246" s="192"/>
      <c r="T246" s="192"/>
      <c r="U246" s="192"/>
      <c r="V246" s="192"/>
      <c r="W246" s="192"/>
      <c r="X246" s="192"/>
      <c r="Y246" s="194"/>
      <c r="Z246" s="194"/>
      <c r="AA246" s="194"/>
    </row>
    <row r="247" spans="1:27" ht="15.75" customHeight="1" x14ac:dyDescent="0.2">
      <c r="A247" s="192"/>
      <c r="B247" s="192"/>
      <c r="C247" s="192"/>
      <c r="D247" s="192"/>
      <c r="E247" s="192"/>
      <c r="F247" s="192"/>
      <c r="G247" s="192"/>
      <c r="H247" s="193"/>
      <c r="I247" s="192"/>
      <c r="J247" s="192"/>
      <c r="K247" s="192"/>
      <c r="L247" s="192"/>
      <c r="M247" s="192"/>
      <c r="N247" s="192"/>
      <c r="O247" s="192"/>
      <c r="P247" s="192"/>
      <c r="Q247" s="192"/>
      <c r="R247" s="192"/>
      <c r="S247" s="192"/>
      <c r="T247" s="192"/>
      <c r="U247" s="192"/>
      <c r="V247" s="192"/>
      <c r="W247" s="192"/>
      <c r="X247" s="192"/>
      <c r="Y247" s="194"/>
      <c r="Z247" s="194"/>
      <c r="AA247" s="194"/>
    </row>
    <row r="248" spans="1:27" ht="15.75" customHeight="1" x14ac:dyDescent="0.2">
      <c r="A248" s="192"/>
      <c r="B248" s="192"/>
      <c r="C248" s="192"/>
      <c r="D248" s="192"/>
      <c r="E248" s="192"/>
      <c r="F248" s="192"/>
      <c r="G248" s="192"/>
      <c r="H248" s="193"/>
      <c r="I248" s="192"/>
      <c r="J248" s="192"/>
      <c r="K248" s="192"/>
      <c r="L248" s="192"/>
      <c r="M248" s="192"/>
      <c r="N248" s="192"/>
      <c r="O248" s="192"/>
      <c r="P248" s="192"/>
      <c r="Q248" s="192"/>
      <c r="R248" s="192"/>
      <c r="S248" s="192"/>
      <c r="T248" s="192"/>
      <c r="U248" s="192"/>
      <c r="V248" s="192"/>
      <c r="W248" s="192"/>
      <c r="X248" s="192"/>
      <c r="Y248" s="194"/>
      <c r="Z248" s="194"/>
      <c r="AA248" s="194"/>
    </row>
    <row r="249" spans="1:27" ht="15.75" customHeight="1" x14ac:dyDescent="0.2">
      <c r="A249" s="192"/>
      <c r="B249" s="192"/>
      <c r="C249" s="192"/>
      <c r="D249" s="192"/>
      <c r="E249" s="192"/>
      <c r="F249" s="192"/>
      <c r="G249" s="192"/>
      <c r="H249" s="193"/>
      <c r="I249" s="192"/>
      <c r="J249" s="192"/>
      <c r="K249" s="192"/>
      <c r="L249" s="192"/>
      <c r="M249" s="192"/>
      <c r="N249" s="192"/>
      <c r="O249" s="192"/>
      <c r="P249" s="192"/>
      <c r="Q249" s="192"/>
      <c r="R249" s="192"/>
      <c r="S249" s="192"/>
      <c r="T249" s="192"/>
      <c r="U249" s="192"/>
      <c r="V249" s="192"/>
      <c r="W249" s="192"/>
      <c r="X249" s="192"/>
      <c r="Y249" s="194"/>
      <c r="Z249" s="194"/>
      <c r="AA249" s="194"/>
    </row>
    <row r="250" spans="1:27" ht="15.75" customHeight="1" x14ac:dyDescent="0.2">
      <c r="A250" s="192"/>
      <c r="B250" s="192"/>
      <c r="C250" s="192"/>
      <c r="D250" s="192"/>
      <c r="E250" s="192"/>
      <c r="F250" s="192"/>
      <c r="G250" s="192"/>
      <c r="H250" s="193"/>
      <c r="I250" s="192"/>
      <c r="J250" s="192"/>
      <c r="K250" s="192"/>
      <c r="L250" s="192"/>
      <c r="M250" s="192"/>
      <c r="N250" s="192"/>
      <c r="O250" s="192"/>
      <c r="P250" s="192"/>
      <c r="Q250" s="192"/>
      <c r="R250" s="192"/>
      <c r="S250" s="192"/>
      <c r="T250" s="192"/>
      <c r="U250" s="192"/>
      <c r="V250" s="192"/>
      <c r="W250" s="192"/>
      <c r="X250" s="192"/>
      <c r="Y250" s="194"/>
      <c r="Z250" s="194"/>
      <c r="AA250" s="194"/>
    </row>
    <row r="251" spans="1:27" ht="15.75" customHeight="1" x14ac:dyDescent="0.2">
      <c r="A251" s="192"/>
      <c r="B251" s="192"/>
      <c r="C251" s="192"/>
      <c r="D251" s="192"/>
      <c r="E251" s="192"/>
      <c r="F251" s="192"/>
      <c r="G251" s="192"/>
      <c r="H251" s="193"/>
      <c r="I251" s="192"/>
      <c r="J251" s="192"/>
      <c r="K251" s="192"/>
      <c r="L251" s="192"/>
      <c r="M251" s="192"/>
      <c r="N251" s="192"/>
      <c r="O251" s="192"/>
      <c r="P251" s="192"/>
      <c r="Q251" s="192"/>
      <c r="R251" s="192"/>
      <c r="S251" s="192"/>
      <c r="T251" s="192"/>
      <c r="U251" s="192"/>
      <c r="V251" s="192"/>
      <c r="W251" s="192"/>
      <c r="X251" s="192"/>
      <c r="Y251" s="194"/>
      <c r="Z251" s="194"/>
      <c r="AA251" s="194"/>
    </row>
    <row r="252" spans="1:27" ht="15.75" customHeight="1" x14ac:dyDescent="0.2">
      <c r="A252" s="192"/>
      <c r="B252" s="192"/>
      <c r="C252" s="192"/>
      <c r="D252" s="192"/>
      <c r="E252" s="192"/>
      <c r="F252" s="192"/>
      <c r="G252" s="192"/>
      <c r="H252" s="193"/>
      <c r="I252" s="192"/>
      <c r="J252" s="192"/>
      <c r="K252" s="192"/>
      <c r="L252" s="192"/>
      <c r="M252" s="192"/>
      <c r="N252" s="192"/>
      <c r="O252" s="192"/>
      <c r="P252" s="192"/>
      <c r="Q252" s="192"/>
      <c r="R252" s="192"/>
      <c r="S252" s="192"/>
      <c r="T252" s="192"/>
      <c r="U252" s="192"/>
      <c r="V252" s="192"/>
      <c r="W252" s="192"/>
      <c r="X252" s="192"/>
      <c r="Y252" s="194"/>
      <c r="Z252" s="194"/>
      <c r="AA252" s="194"/>
    </row>
    <row r="253" spans="1:27" ht="15.75" customHeight="1" x14ac:dyDescent="0.2">
      <c r="A253" s="192"/>
      <c r="B253" s="192"/>
      <c r="C253" s="192"/>
      <c r="D253" s="192"/>
      <c r="E253" s="192"/>
      <c r="F253" s="192"/>
      <c r="G253" s="192"/>
      <c r="H253" s="193"/>
      <c r="I253" s="192"/>
      <c r="J253" s="192"/>
      <c r="K253" s="192"/>
      <c r="L253" s="192"/>
      <c r="M253" s="192"/>
      <c r="N253" s="192"/>
      <c r="O253" s="192"/>
      <c r="P253" s="192"/>
      <c r="Q253" s="192"/>
      <c r="R253" s="192"/>
      <c r="S253" s="192"/>
      <c r="T253" s="192"/>
      <c r="U253" s="192"/>
      <c r="V253" s="192"/>
      <c r="W253" s="192"/>
      <c r="X253" s="192"/>
      <c r="Y253" s="194"/>
      <c r="Z253" s="194"/>
      <c r="AA253" s="194"/>
    </row>
    <row r="254" spans="1:27" ht="15.75" customHeight="1" x14ac:dyDescent="0.2">
      <c r="A254" s="192"/>
      <c r="B254" s="192"/>
      <c r="C254" s="192"/>
      <c r="D254" s="192"/>
      <c r="E254" s="192"/>
      <c r="F254" s="192"/>
      <c r="G254" s="192"/>
      <c r="H254" s="193"/>
      <c r="I254" s="192"/>
      <c r="J254" s="192"/>
      <c r="K254" s="192"/>
      <c r="L254" s="192"/>
      <c r="M254" s="192"/>
      <c r="N254" s="192"/>
      <c r="O254" s="192"/>
      <c r="P254" s="192"/>
      <c r="Q254" s="192"/>
      <c r="R254" s="192"/>
      <c r="S254" s="192"/>
      <c r="T254" s="192"/>
      <c r="U254" s="192"/>
      <c r="V254" s="192"/>
      <c r="W254" s="192"/>
      <c r="X254" s="192"/>
      <c r="Y254" s="194"/>
      <c r="Z254" s="194"/>
      <c r="AA254" s="194"/>
    </row>
    <row r="255" spans="1:27" ht="15.75" customHeight="1" x14ac:dyDescent="0.2">
      <c r="A255" s="192"/>
      <c r="B255" s="192"/>
      <c r="C255" s="192"/>
      <c r="D255" s="192"/>
      <c r="E255" s="192"/>
      <c r="F255" s="192"/>
      <c r="G255" s="192"/>
      <c r="H255" s="193"/>
      <c r="I255" s="192"/>
      <c r="J255" s="192"/>
      <c r="K255" s="192"/>
      <c r="L255" s="192"/>
      <c r="M255" s="192"/>
      <c r="N255" s="192"/>
      <c r="O255" s="192"/>
      <c r="P255" s="192"/>
      <c r="Q255" s="192"/>
      <c r="R255" s="192"/>
      <c r="S255" s="192"/>
      <c r="T255" s="192"/>
      <c r="U255" s="192"/>
      <c r="V255" s="192"/>
      <c r="W255" s="192"/>
      <c r="X255" s="192"/>
      <c r="Y255" s="194"/>
      <c r="Z255" s="194"/>
      <c r="AA255" s="194"/>
    </row>
    <row r="256" spans="1:27" ht="15.75" customHeight="1" x14ac:dyDescent="0.2">
      <c r="A256" s="192"/>
      <c r="B256" s="192"/>
      <c r="C256" s="192"/>
      <c r="D256" s="192"/>
      <c r="E256" s="192"/>
      <c r="F256" s="192"/>
      <c r="G256" s="192"/>
      <c r="H256" s="193"/>
      <c r="I256" s="192"/>
      <c r="J256" s="192"/>
      <c r="K256" s="192"/>
      <c r="L256" s="192"/>
      <c r="M256" s="192"/>
      <c r="N256" s="192"/>
      <c r="O256" s="192"/>
      <c r="P256" s="192"/>
      <c r="Q256" s="192"/>
      <c r="R256" s="192"/>
      <c r="S256" s="192"/>
      <c r="T256" s="192"/>
      <c r="U256" s="192"/>
      <c r="V256" s="192"/>
      <c r="W256" s="192"/>
      <c r="X256" s="192"/>
      <c r="Y256" s="194"/>
      <c r="Z256" s="194"/>
      <c r="AA256" s="194"/>
    </row>
    <row r="257" spans="1:27" ht="15.75" customHeight="1" x14ac:dyDescent="0.2">
      <c r="A257" s="192"/>
      <c r="B257" s="192"/>
      <c r="C257" s="192"/>
      <c r="D257" s="192"/>
      <c r="E257" s="192"/>
      <c r="F257" s="192"/>
      <c r="G257" s="192"/>
      <c r="H257" s="193"/>
      <c r="I257" s="192"/>
      <c r="J257" s="192"/>
      <c r="K257" s="192"/>
      <c r="L257" s="192"/>
      <c r="M257" s="192"/>
      <c r="N257" s="192"/>
      <c r="O257" s="192"/>
      <c r="P257" s="192"/>
      <c r="Q257" s="192"/>
      <c r="R257" s="192"/>
      <c r="S257" s="192"/>
      <c r="T257" s="192"/>
      <c r="U257" s="192"/>
      <c r="V257" s="192"/>
      <c r="W257" s="192"/>
      <c r="X257" s="192"/>
      <c r="Y257" s="194"/>
      <c r="Z257" s="194"/>
      <c r="AA257" s="194"/>
    </row>
    <row r="258" spans="1:27" ht="15.75" customHeight="1" x14ac:dyDescent="0.2">
      <c r="A258" s="192"/>
      <c r="B258" s="192"/>
      <c r="C258" s="192"/>
      <c r="D258" s="192"/>
      <c r="E258" s="192"/>
      <c r="F258" s="192"/>
      <c r="G258" s="192"/>
      <c r="H258" s="193"/>
      <c r="I258" s="192"/>
      <c r="J258" s="192"/>
      <c r="K258" s="192"/>
      <c r="L258" s="192"/>
      <c r="M258" s="192"/>
      <c r="N258" s="192"/>
      <c r="O258" s="192"/>
      <c r="P258" s="192"/>
      <c r="Q258" s="192"/>
      <c r="R258" s="192"/>
      <c r="S258" s="192"/>
      <c r="T258" s="192"/>
      <c r="U258" s="192"/>
      <c r="V258" s="192"/>
      <c r="W258" s="192"/>
      <c r="X258" s="192"/>
      <c r="Y258" s="194"/>
      <c r="Z258" s="194"/>
      <c r="AA258" s="194"/>
    </row>
    <row r="259" spans="1:27" ht="15.75" customHeight="1" x14ac:dyDescent="0.2"/>
    <row r="260" spans="1:27" ht="15.75" customHeight="1" x14ac:dyDescent="0.2"/>
    <row r="261" spans="1:27" ht="15.75" customHeight="1" x14ac:dyDescent="0.2"/>
    <row r="262" spans="1:27" ht="15.75" customHeight="1" x14ac:dyDescent="0.2"/>
    <row r="263" spans="1:27" ht="15.75" customHeight="1" x14ac:dyDescent="0.2"/>
    <row r="264" spans="1:27" ht="15.75" customHeight="1" x14ac:dyDescent="0.2"/>
    <row r="265" spans="1:27" ht="15.75" customHeight="1" x14ac:dyDescent="0.2"/>
    <row r="266" spans="1:27" ht="15.75" customHeight="1" x14ac:dyDescent="0.2"/>
    <row r="267" spans="1:27" ht="15.75" customHeight="1" x14ac:dyDescent="0.2"/>
    <row r="268" spans="1:27" ht="15.75" customHeight="1" x14ac:dyDescent="0.2"/>
    <row r="269" spans="1:27" ht="15.75" customHeight="1" x14ac:dyDescent="0.2"/>
    <row r="270" spans="1:27" ht="15.75" customHeight="1" x14ac:dyDescent="0.2"/>
    <row r="271" spans="1:27" ht="15.75" customHeight="1" x14ac:dyDescent="0.2"/>
    <row r="272" spans="1:27"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2">
    <mergeCell ref="C1:D2"/>
    <mergeCell ref="E1:G2"/>
  </mergeCells>
  <conditionalFormatting sqref="E1:G2">
    <cfRule type="notContainsBlanks" dxfId="0" priority="1">
      <formula>LEN(TRIM(E1))&gt;0</formula>
    </cfRule>
  </conditionalFormatting>
  <dataValidations count="1">
    <dataValidation type="list" allowBlank="1" sqref="E1" xr:uid="{00000000-0002-0000-0600-000000000000}">
      <formula1>$Z$7:$Z$11</formula1>
    </dataValidation>
  </dataValidation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U1000"/>
  <sheetViews>
    <sheetView workbookViewId="0">
      <selection sqref="A1:U1000"/>
    </sheetView>
  </sheetViews>
  <sheetFormatPr defaultColWidth="12.5703125" defaultRowHeight="15" customHeight="1" x14ac:dyDescent="0.2"/>
  <cols>
    <col min="1" max="1" width="17.85546875" customWidth="1"/>
    <col min="2" max="2" width="17.140625" customWidth="1"/>
    <col min="3" max="3" width="14.42578125" customWidth="1"/>
    <col min="4" max="4" width="19.85546875" customWidth="1"/>
    <col min="5" max="5" width="14.42578125" customWidth="1"/>
    <col min="6" max="6" width="12.5703125" customWidth="1"/>
  </cols>
  <sheetData>
    <row r="1" spans="1:21" ht="15.75" customHeight="1" x14ac:dyDescent="0.25">
      <c r="A1" s="306" t="s">
        <v>61</v>
      </c>
      <c r="B1" s="307"/>
      <c r="C1" s="307"/>
      <c r="D1" s="307"/>
      <c r="E1" s="307"/>
      <c r="F1" s="308"/>
      <c r="G1" s="6"/>
      <c r="H1" s="6"/>
      <c r="I1" s="6"/>
      <c r="J1" s="213"/>
      <c r="K1" s="213"/>
      <c r="L1" s="213"/>
      <c r="M1" s="213"/>
      <c r="N1" s="214">
        <v>46251</v>
      </c>
      <c r="O1" s="310" t="s">
        <v>62</v>
      </c>
      <c r="P1" s="311"/>
      <c r="Q1" s="311"/>
      <c r="R1" s="310" t="s">
        <v>63</v>
      </c>
      <c r="S1" s="311"/>
      <c r="T1" s="311"/>
      <c r="U1" s="311"/>
    </row>
    <row r="2" spans="1:21" ht="15.75" customHeight="1" x14ac:dyDescent="0.2">
      <c r="A2" s="274"/>
      <c r="B2" s="274"/>
      <c r="C2" s="274"/>
      <c r="D2" s="274"/>
      <c r="E2" s="274"/>
      <c r="F2" s="309"/>
      <c r="G2" s="6"/>
      <c r="H2" s="6"/>
      <c r="I2" s="6"/>
      <c r="J2" s="213"/>
      <c r="K2" s="213"/>
      <c r="L2" s="213"/>
      <c r="M2" s="213"/>
      <c r="N2" s="213"/>
      <c r="O2" s="215" t="s">
        <v>6</v>
      </c>
      <c r="P2" s="215" t="s">
        <v>7</v>
      </c>
      <c r="Q2" s="215" t="s">
        <v>8</v>
      </c>
      <c r="R2" s="215" t="s">
        <v>12</v>
      </c>
      <c r="S2" s="215" t="s">
        <v>11</v>
      </c>
      <c r="T2" s="215" t="s">
        <v>64</v>
      </c>
      <c r="U2" s="215" t="s">
        <v>65</v>
      </c>
    </row>
    <row r="3" spans="1:21" ht="15.75" customHeight="1" x14ac:dyDescent="0.25">
      <c r="A3" s="216"/>
      <c r="B3" s="312" t="s">
        <v>62</v>
      </c>
      <c r="C3" s="311"/>
      <c r="D3" s="311"/>
      <c r="E3" s="313" t="s">
        <v>63</v>
      </c>
      <c r="F3" s="283"/>
      <c r="G3" s="217"/>
      <c r="H3" s="217"/>
      <c r="I3" s="217"/>
      <c r="J3" s="218"/>
      <c r="K3" s="218"/>
      <c r="L3" s="218"/>
      <c r="M3" s="218"/>
      <c r="N3" s="218"/>
      <c r="O3" s="219" t="s">
        <v>66</v>
      </c>
      <c r="P3" s="219"/>
      <c r="Q3" s="219"/>
      <c r="R3" s="219"/>
      <c r="S3" s="219"/>
      <c r="T3" s="219" t="s">
        <v>67</v>
      </c>
      <c r="U3" s="219" t="s">
        <v>68</v>
      </c>
    </row>
    <row r="4" spans="1:21" ht="39" customHeight="1" x14ac:dyDescent="0.25">
      <c r="A4" s="220" t="s">
        <v>56</v>
      </c>
      <c r="B4" s="96" t="s">
        <v>6</v>
      </c>
      <c r="C4" s="96" t="s">
        <v>7</v>
      </c>
      <c r="D4" s="96" t="s">
        <v>8</v>
      </c>
      <c r="E4" s="93" t="s">
        <v>12</v>
      </c>
      <c r="F4" s="93" t="s">
        <v>11</v>
      </c>
      <c r="G4" s="221"/>
      <c r="H4" s="221"/>
      <c r="I4" s="221"/>
      <c r="J4" s="222"/>
      <c r="K4" s="222"/>
      <c r="L4" s="222"/>
      <c r="M4" s="222"/>
      <c r="N4" s="222"/>
      <c r="O4" s="219">
        <v>12819</v>
      </c>
      <c r="P4" s="219">
        <v>12817</v>
      </c>
      <c r="Q4" s="219">
        <v>12818</v>
      </c>
      <c r="R4" s="219">
        <v>13579</v>
      </c>
      <c r="S4" s="219">
        <v>13578</v>
      </c>
      <c r="T4" s="219">
        <v>14205</v>
      </c>
      <c r="U4" s="219">
        <v>14204</v>
      </c>
    </row>
    <row r="5" spans="1:21" ht="15.75" hidden="1" customHeight="1" x14ac:dyDescent="0.25">
      <c r="A5" s="223"/>
      <c r="B5" s="26" t="s">
        <v>66</v>
      </c>
      <c r="C5" s="26"/>
      <c r="D5" s="26"/>
      <c r="E5" s="26"/>
      <c r="F5" s="26"/>
      <c r="G5" s="6"/>
      <c r="H5" s="6"/>
      <c r="I5" s="6"/>
      <c r="J5" s="213"/>
      <c r="K5" s="213"/>
      <c r="L5" s="213"/>
      <c r="M5" s="213"/>
      <c r="N5" s="213"/>
      <c r="O5" s="318">
        <v>1870.3952868850902</v>
      </c>
      <c r="P5" s="213">
        <v>0</v>
      </c>
      <c r="Q5" s="213">
        <v>0</v>
      </c>
      <c r="R5" s="213">
        <v>0</v>
      </c>
      <c r="S5" s="213">
        <v>503.8984375</v>
      </c>
      <c r="T5" s="213"/>
      <c r="U5" s="213"/>
    </row>
    <row r="6" spans="1:21" ht="15.75" hidden="1" customHeight="1" x14ac:dyDescent="0.25">
      <c r="A6" s="223"/>
      <c r="B6" s="26">
        <v>12819</v>
      </c>
      <c r="C6" s="26">
        <v>12817</v>
      </c>
      <c r="D6" s="26">
        <v>12818</v>
      </c>
      <c r="E6" s="26">
        <v>13579</v>
      </c>
      <c r="F6" s="26">
        <v>13578</v>
      </c>
      <c r="G6" s="6"/>
      <c r="H6" s="6"/>
      <c r="I6" s="6"/>
      <c r="J6" s="213"/>
      <c r="K6" s="213"/>
      <c r="L6" s="213"/>
      <c r="M6" s="213"/>
      <c r="N6" s="213"/>
      <c r="O6" s="213"/>
      <c r="P6" s="213"/>
      <c r="Q6" s="213"/>
      <c r="R6" s="213"/>
      <c r="S6" s="213"/>
      <c r="T6" s="213"/>
      <c r="U6" s="213"/>
    </row>
    <row r="7" spans="1:21" ht="15.75" customHeight="1" x14ac:dyDescent="0.2">
      <c r="A7" s="224">
        <v>46235</v>
      </c>
      <c r="B7" s="225">
        <v>1522.6202868851833</v>
      </c>
      <c r="C7" s="225">
        <v>0</v>
      </c>
      <c r="D7" s="225">
        <v>0</v>
      </c>
      <c r="E7" s="225">
        <v>0</v>
      </c>
      <c r="F7" s="225">
        <v>423.515625</v>
      </c>
      <c r="G7" s="6"/>
      <c r="H7" s="6"/>
      <c r="I7" s="6"/>
      <c r="J7" s="213"/>
      <c r="K7" s="213"/>
      <c r="L7" s="213"/>
      <c r="M7" s="213"/>
      <c r="N7" s="213"/>
      <c r="O7" s="213"/>
      <c r="P7" s="213"/>
      <c r="Q7" s="213"/>
      <c r="R7" s="213"/>
      <c r="S7" s="213"/>
      <c r="T7" s="213"/>
      <c r="U7" s="213"/>
    </row>
    <row r="8" spans="1:21" ht="15.75" customHeight="1" x14ac:dyDescent="0.2">
      <c r="A8" s="226">
        <v>46236</v>
      </c>
      <c r="B8" s="227">
        <v>868.43755209771916</v>
      </c>
      <c r="C8" s="227">
        <v>207.578125</v>
      </c>
      <c r="D8" s="227">
        <v>0</v>
      </c>
      <c r="E8" s="227">
        <v>0.3515625</v>
      </c>
      <c r="F8" s="227">
        <v>99.006249999976717</v>
      </c>
      <c r="G8" s="6"/>
      <c r="H8" s="6"/>
      <c r="I8" s="6"/>
      <c r="J8" s="213"/>
      <c r="K8" s="213"/>
      <c r="L8" s="213"/>
      <c r="M8" s="213"/>
      <c r="N8" s="213"/>
      <c r="O8" s="213"/>
      <c r="P8" s="213"/>
      <c r="Q8" s="213"/>
      <c r="R8" s="213"/>
      <c r="S8" s="213"/>
      <c r="T8" s="213"/>
      <c r="U8" s="213"/>
    </row>
    <row r="9" spans="1:21" ht="15.75" customHeight="1" x14ac:dyDescent="0.2">
      <c r="A9" s="226">
        <v>46237</v>
      </c>
      <c r="B9" s="227">
        <v>1891.6046610171907</v>
      </c>
      <c r="C9" s="227">
        <v>0</v>
      </c>
      <c r="D9" s="227">
        <v>0</v>
      </c>
      <c r="E9" s="227">
        <v>0</v>
      </c>
      <c r="F9" s="227">
        <v>399.05312499997672</v>
      </c>
      <c r="G9" s="6"/>
      <c r="H9" s="6"/>
      <c r="I9" s="6"/>
      <c r="J9" s="213"/>
      <c r="K9" s="213"/>
      <c r="L9" s="213"/>
      <c r="M9" s="213"/>
      <c r="N9" s="213"/>
      <c r="O9" s="213"/>
      <c r="P9" s="213"/>
      <c r="Q9" s="213"/>
      <c r="R9" s="213"/>
      <c r="S9" s="213"/>
      <c r="T9" s="213"/>
      <c r="U9" s="213"/>
    </row>
    <row r="10" spans="1:21" ht="15.75" customHeight="1" x14ac:dyDescent="0.2">
      <c r="A10" s="226">
        <v>46238</v>
      </c>
      <c r="B10" s="227">
        <v>1908.8125</v>
      </c>
      <c r="C10" s="227">
        <v>0</v>
      </c>
      <c r="D10" s="227">
        <v>0</v>
      </c>
      <c r="E10" s="227">
        <v>0</v>
      </c>
      <c r="F10" s="227">
        <v>414.36250000004657</v>
      </c>
      <c r="G10" s="6"/>
      <c r="H10" s="6"/>
      <c r="I10" s="6"/>
      <c r="J10" s="213"/>
      <c r="K10" s="213"/>
      <c r="L10" s="213"/>
      <c r="M10" s="213"/>
      <c r="N10" s="213"/>
      <c r="O10" s="213"/>
      <c r="P10" s="213"/>
      <c r="Q10" s="213"/>
      <c r="R10" s="213"/>
      <c r="S10" s="213"/>
      <c r="T10" s="213"/>
      <c r="U10" s="213"/>
    </row>
    <row r="11" spans="1:21" ht="15.75" customHeight="1" x14ac:dyDescent="0.2">
      <c r="A11" s="226">
        <v>46239</v>
      </c>
      <c r="B11" s="227">
        <v>1813.5</v>
      </c>
      <c r="C11" s="227">
        <v>36</v>
      </c>
      <c r="D11" s="227">
        <v>0</v>
      </c>
      <c r="E11" s="227">
        <v>0</v>
      </c>
      <c r="F11" s="227">
        <v>386.76714939018711</v>
      </c>
      <c r="G11" s="6"/>
      <c r="H11" s="6"/>
      <c r="I11" s="6"/>
      <c r="J11" s="213"/>
      <c r="K11" s="213"/>
      <c r="L11" s="213"/>
      <c r="M11" s="213"/>
      <c r="N11" s="213"/>
      <c r="O11" s="213"/>
      <c r="P11" s="213"/>
      <c r="Q11" s="213"/>
      <c r="R11" s="213"/>
      <c r="S11" s="213"/>
      <c r="T11" s="213"/>
      <c r="U11" s="213"/>
    </row>
    <row r="12" spans="1:21" ht="15.75" customHeight="1" x14ac:dyDescent="0.2">
      <c r="A12" s="226">
        <v>46240</v>
      </c>
      <c r="B12" s="227">
        <v>1902.2791666663252</v>
      </c>
      <c r="C12" s="227">
        <v>0</v>
      </c>
      <c r="D12" s="227">
        <v>0</v>
      </c>
      <c r="E12" s="227">
        <v>0</v>
      </c>
      <c r="F12" s="227">
        <v>386.9392650835216</v>
      </c>
      <c r="G12" s="6"/>
      <c r="H12" s="6"/>
      <c r="I12" s="6"/>
      <c r="J12" s="213"/>
      <c r="K12" s="213"/>
      <c r="L12" s="213"/>
      <c r="M12" s="213"/>
      <c r="N12" s="213"/>
      <c r="O12" s="213"/>
      <c r="P12" s="213"/>
      <c r="Q12" s="213"/>
      <c r="R12" s="213"/>
      <c r="S12" s="213"/>
      <c r="T12" s="213"/>
      <c r="U12" s="213"/>
    </row>
    <row r="13" spans="1:21" ht="15.75" customHeight="1" x14ac:dyDescent="0.2">
      <c r="A13" s="226">
        <v>46241</v>
      </c>
      <c r="B13" s="227">
        <v>1833.4083333336748</v>
      </c>
      <c r="C13" s="227">
        <v>0</v>
      </c>
      <c r="D13" s="227">
        <v>0</v>
      </c>
      <c r="E13" s="227">
        <v>0</v>
      </c>
      <c r="F13" s="227">
        <v>396.713898026268</v>
      </c>
      <c r="G13" s="6"/>
      <c r="H13" s="6"/>
      <c r="I13" s="6"/>
      <c r="J13" s="213"/>
      <c r="K13" s="213"/>
      <c r="L13" s="213"/>
      <c r="M13" s="213"/>
      <c r="N13" s="213"/>
      <c r="O13" s="213"/>
      <c r="P13" s="213"/>
      <c r="Q13" s="213"/>
      <c r="R13" s="213"/>
      <c r="S13" s="213"/>
      <c r="T13" s="213"/>
      <c r="U13" s="213"/>
    </row>
    <row r="14" spans="1:21" ht="15.75" customHeight="1" x14ac:dyDescent="0.2">
      <c r="A14" s="226">
        <v>46242</v>
      </c>
      <c r="B14" s="227">
        <v>1103.4749999996275</v>
      </c>
      <c r="C14" s="227">
        <v>81.828125</v>
      </c>
      <c r="D14" s="227">
        <v>0</v>
      </c>
      <c r="E14" s="227">
        <v>1.76953125</v>
      </c>
      <c r="F14" s="227">
        <v>382.97031250002328</v>
      </c>
      <c r="G14" s="6"/>
      <c r="H14" s="6"/>
      <c r="I14" s="6"/>
      <c r="J14" s="213"/>
      <c r="K14" s="213"/>
      <c r="L14" s="213"/>
      <c r="M14" s="213"/>
      <c r="N14" s="213"/>
      <c r="O14" s="213"/>
      <c r="P14" s="213"/>
      <c r="Q14" s="213"/>
      <c r="R14" s="213"/>
      <c r="S14" s="213"/>
      <c r="T14" s="213"/>
      <c r="U14" s="213"/>
    </row>
    <row r="15" spans="1:21" ht="15.75" customHeight="1" x14ac:dyDescent="0.2">
      <c r="A15" s="226">
        <v>46243</v>
      </c>
      <c r="B15" s="227">
        <v>965.01147540984675</v>
      </c>
      <c r="C15" s="227">
        <v>2.8984375</v>
      </c>
      <c r="D15" s="227">
        <v>0</v>
      </c>
      <c r="E15" s="227">
        <v>0</v>
      </c>
      <c r="F15" s="227">
        <v>91.560937499976717</v>
      </c>
      <c r="G15" s="6"/>
      <c r="H15" s="6"/>
      <c r="I15" s="6"/>
      <c r="J15" s="213"/>
      <c r="K15" s="213"/>
      <c r="L15" s="213"/>
      <c r="M15" s="213"/>
      <c r="N15" s="213"/>
      <c r="O15" s="213"/>
      <c r="P15" s="213"/>
      <c r="Q15" s="213"/>
      <c r="R15" s="213"/>
      <c r="S15" s="213"/>
      <c r="T15" s="213"/>
      <c r="U15" s="213"/>
    </row>
    <row r="16" spans="1:21" ht="15.75" customHeight="1" x14ac:dyDescent="0.2">
      <c r="A16" s="226">
        <v>46244</v>
      </c>
      <c r="B16" s="227">
        <v>1922.4760245904326</v>
      </c>
      <c r="C16" s="227">
        <v>0</v>
      </c>
      <c r="D16" s="227">
        <v>0</v>
      </c>
      <c r="E16" s="227">
        <v>0</v>
      </c>
      <c r="F16" s="227">
        <v>422.47031250002328</v>
      </c>
      <c r="G16" s="6"/>
      <c r="H16" s="6"/>
      <c r="I16" s="6"/>
      <c r="J16" s="213"/>
      <c r="K16" s="213"/>
      <c r="L16" s="213"/>
      <c r="M16" s="213"/>
      <c r="N16" s="213"/>
      <c r="O16" s="213"/>
      <c r="P16" s="213"/>
      <c r="Q16" s="213"/>
      <c r="R16" s="213"/>
      <c r="S16" s="213"/>
      <c r="T16" s="213"/>
      <c r="U16" s="213"/>
    </row>
    <row r="17" spans="1:21" ht="15.75" customHeight="1" x14ac:dyDescent="0.2">
      <c r="A17" s="226">
        <v>46245</v>
      </c>
      <c r="B17" s="227">
        <v>2046.8249999997206</v>
      </c>
      <c r="C17" s="227">
        <v>0</v>
      </c>
      <c r="D17" s="227">
        <v>0</v>
      </c>
      <c r="E17" s="227">
        <v>0</v>
      </c>
      <c r="F17" s="227">
        <v>426.19374999997672</v>
      </c>
      <c r="G17" s="6"/>
      <c r="H17" s="6"/>
      <c r="I17" s="6"/>
      <c r="J17" s="213"/>
      <c r="K17" s="213"/>
      <c r="L17" s="213"/>
      <c r="M17" s="213"/>
      <c r="N17" s="213"/>
      <c r="O17" s="213"/>
      <c r="P17" s="213"/>
      <c r="Q17" s="213"/>
      <c r="R17" s="213"/>
      <c r="S17" s="213"/>
      <c r="T17" s="213"/>
      <c r="U17" s="213"/>
    </row>
    <row r="18" spans="1:21" ht="15.75" customHeight="1" x14ac:dyDescent="0.2">
      <c r="A18" s="226">
        <v>46246</v>
      </c>
      <c r="B18" s="227">
        <v>1530.7291666669771</v>
      </c>
      <c r="C18" s="227">
        <v>519.09375</v>
      </c>
      <c r="D18" s="227">
        <v>0</v>
      </c>
      <c r="E18" s="227">
        <v>0.51171875</v>
      </c>
      <c r="F18" s="227">
        <v>470.41249999997672</v>
      </c>
      <c r="G18" s="6"/>
      <c r="H18" s="6"/>
      <c r="I18" s="6"/>
      <c r="J18" s="213"/>
      <c r="K18" s="213"/>
      <c r="L18" s="213"/>
      <c r="M18" s="213"/>
      <c r="N18" s="213"/>
      <c r="O18" s="213"/>
      <c r="P18" s="213"/>
      <c r="Q18" s="213"/>
      <c r="R18" s="213"/>
      <c r="S18" s="213"/>
      <c r="T18" s="213"/>
      <c r="U18" s="213"/>
    </row>
    <row r="19" spans="1:21" ht="15.75" customHeight="1" x14ac:dyDescent="0.2">
      <c r="A19" s="226">
        <v>46247</v>
      </c>
      <c r="B19" s="227">
        <v>1964.7250000000931</v>
      </c>
      <c r="C19" s="227">
        <v>0</v>
      </c>
      <c r="D19" s="227">
        <v>0</v>
      </c>
      <c r="E19" s="227">
        <v>128.455078125</v>
      </c>
      <c r="F19" s="227">
        <v>362.66718750004657</v>
      </c>
      <c r="G19" s="6"/>
      <c r="H19" s="6"/>
      <c r="I19" s="6"/>
      <c r="J19" s="213"/>
      <c r="K19" s="213"/>
      <c r="L19" s="213"/>
      <c r="M19" s="213"/>
      <c r="N19" s="213"/>
      <c r="O19" s="213"/>
      <c r="P19" s="213"/>
      <c r="Q19" s="213"/>
      <c r="R19" s="213"/>
      <c r="S19" s="213"/>
      <c r="T19" s="213"/>
      <c r="U19" s="213"/>
    </row>
    <row r="20" spans="1:21" ht="15.75" customHeight="1" x14ac:dyDescent="0.2">
      <c r="A20" s="226">
        <v>46248</v>
      </c>
      <c r="B20" s="227">
        <v>1949.3999999999069</v>
      </c>
      <c r="C20" s="227">
        <v>0</v>
      </c>
      <c r="D20" s="227">
        <v>0</v>
      </c>
      <c r="E20" s="227">
        <v>1.595703125</v>
      </c>
      <c r="F20" s="227">
        <v>451.22122713411227</v>
      </c>
      <c r="G20" s="6"/>
      <c r="H20" s="6"/>
      <c r="I20" s="6"/>
      <c r="J20" s="213"/>
      <c r="K20" s="213"/>
      <c r="L20" s="213"/>
      <c r="M20" s="213"/>
      <c r="N20" s="213"/>
      <c r="O20" s="213"/>
      <c r="P20" s="213"/>
      <c r="Q20" s="213"/>
      <c r="R20" s="213"/>
      <c r="S20" s="213"/>
      <c r="T20" s="213"/>
      <c r="U20" s="213"/>
    </row>
    <row r="21" spans="1:21" ht="15.75" customHeight="1" x14ac:dyDescent="0.2">
      <c r="A21" s="226">
        <v>46249</v>
      </c>
      <c r="B21" s="227">
        <v>1058.8333333330229</v>
      </c>
      <c r="C21" s="227">
        <v>0</v>
      </c>
      <c r="D21" s="227">
        <v>0</v>
      </c>
      <c r="E21" s="227">
        <v>0</v>
      </c>
      <c r="F21" s="227">
        <v>98.74045441346243</v>
      </c>
      <c r="G21" s="6"/>
      <c r="H21" s="6"/>
      <c r="I21" s="6"/>
      <c r="J21" s="213"/>
      <c r="K21" s="213"/>
      <c r="L21" s="213"/>
      <c r="M21" s="213"/>
      <c r="N21" s="213"/>
      <c r="O21" s="213"/>
      <c r="P21" s="213"/>
      <c r="Q21" s="213"/>
      <c r="R21" s="213"/>
      <c r="S21" s="213"/>
      <c r="T21" s="213"/>
      <c r="U21" s="213"/>
    </row>
    <row r="22" spans="1:21" ht="15.75" customHeight="1" x14ac:dyDescent="0.2">
      <c r="A22" s="226">
        <v>46250</v>
      </c>
      <c r="B22" s="227">
        <v>1001.4172131149098</v>
      </c>
      <c r="C22" s="227">
        <v>0</v>
      </c>
      <c r="D22" s="227">
        <v>0</v>
      </c>
      <c r="E22" s="227">
        <v>28.900390625</v>
      </c>
      <c r="F22" s="227">
        <v>149.73831845237873</v>
      </c>
      <c r="G22" s="6"/>
      <c r="H22" s="6"/>
      <c r="I22" s="6"/>
      <c r="J22" s="213"/>
      <c r="K22" s="213"/>
      <c r="L22" s="213"/>
      <c r="M22" s="213"/>
      <c r="N22" s="213"/>
      <c r="O22" s="213"/>
      <c r="P22" s="213"/>
      <c r="Q22" s="213"/>
      <c r="R22" s="213"/>
      <c r="S22" s="213"/>
      <c r="T22" s="213"/>
      <c r="U22" s="213"/>
    </row>
    <row r="23" spans="1:21" ht="15.75" customHeight="1" x14ac:dyDescent="0.2">
      <c r="A23" s="226">
        <v>46251</v>
      </c>
      <c r="B23" s="227">
        <v>1870.3952868850902</v>
      </c>
      <c r="C23" s="227">
        <v>0</v>
      </c>
      <c r="D23" s="227">
        <v>0</v>
      </c>
      <c r="E23" s="227">
        <v>0</v>
      </c>
      <c r="F23" s="227">
        <v>503.8984375</v>
      </c>
      <c r="G23" s="6"/>
      <c r="H23" s="6"/>
      <c r="I23" s="6"/>
      <c r="J23" s="213"/>
      <c r="K23" s="213"/>
      <c r="L23" s="213"/>
      <c r="M23" s="213"/>
      <c r="N23" s="213"/>
      <c r="O23" s="213"/>
      <c r="P23" s="213"/>
      <c r="Q23" s="213"/>
      <c r="R23" s="213"/>
      <c r="S23" s="213"/>
      <c r="T23" s="213"/>
      <c r="U23" s="213"/>
    </row>
    <row r="24" spans="1:21" ht="15.75" customHeight="1" x14ac:dyDescent="0.2">
      <c r="A24" s="226">
        <v>46252</v>
      </c>
      <c r="B24" s="227"/>
      <c r="C24" s="227"/>
      <c r="D24" s="227"/>
      <c r="E24" s="227"/>
      <c r="F24" s="227"/>
      <c r="G24" s="6"/>
      <c r="H24" s="6"/>
      <c r="I24" s="6"/>
      <c r="J24" s="213"/>
      <c r="K24" s="213"/>
      <c r="L24" s="213"/>
      <c r="M24" s="213"/>
      <c r="N24" s="213"/>
      <c r="O24" s="213"/>
      <c r="P24" s="213"/>
      <c r="Q24" s="213"/>
      <c r="R24" s="213"/>
      <c r="S24" s="213"/>
      <c r="T24" s="213"/>
      <c r="U24" s="213"/>
    </row>
    <row r="25" spans="1:21" ht="15.75" customHeight="1" x14ac:dyDescent="0.2">
      <c r="A25" s="226">
        <v>46253</v>
      </c>
      <c r="B25" s="227"/>
      <c r="C25" s="227"/>
      <c r="D25" s="227"/>
      <c r="E25" s="227"/>
      <c r="F25" s="227"/>
      <c r="G25" s="6"/>
      <c r="H25" s="6"/>
      <c r="I25" s="6"/>
      <c r="J25" s="213"/>
      <c r="K25" s="213"/>
      <c r="L25" s="213"/>
      <c r="M25" s="213"/>
      <c r="N25" s="213"/>
      <c r="O25" s="213"/>
      <c r="P25" s="213"/>
      <c r="Q25" s="213"/>
      <c r="R25" s="213"/>
      <c r="S25" s="213"/>
      <c r="T25" s="213"/>
      <c r="U25" s="213"/>
    </row>
    <row r="26" spans="1:21" ht="15.75" customHeight="1" x14ac:dyDescent="0.2">
      <c r="A26" s="226">
        <v>46254</v>
      </c>
      <c r="B26" s="227"/>
      <c r="C26" s="227"/>
      <c r="D26" s="227"/>
      <c r="E26" s="227"/>
      <c r="F26" s="227"/>
      <c r="G26" s="6"/>
      <c r="H26" s="6"/>
      <c r="I26" s="6"/>
      <c r="J26" s="213"/>
      <c r="K26" s="213"/>
      <c r="L26" s="213"/>
      <c r="M26" s="213"/>
      <c r="N26" s="213"/>
      <c r="O26" s="213"/>
      <c r="P26" s="213"/>
      <c r="Q26" s="213"/>
      <c r="R26" s="213"/>
      <c r="S26" s="213"/>
      <c r="T26" s="213"/>
      <c r="U26" s="213"/>
    </row>
    <row r="27" spans="1:21" ht="15.75" customHeight="1" x14ac:dyDescent="0.2">
      <c r="A27" s="226">
        <v>46255</v>
      </c>
      <c r="B27" s="227"/>
      <c r="C27" s="227"/>
      <c r="D27" s="227"/>
      <c r="E27" s="227"/>
      <c r="F27" s="227"/>
      <c r="G27" s="6"/>
      <c r="H27" s="6"/>
      <c r="I27" s="6"/>
      <c r="J27" s="213"/>
      <c r="K27" s="213"/>
      <c r="L27" s="213"/>
      <c r="M27" s="213"/>
      <c r="N27" s="213"/>
      <c r="O27" s="213"/>
      <c r="P27" s="213"/>
      <c r="Q27" s="213"/>
      <c r="R27" s="213"/>
      <c r="S27" s="213"/>
      <c r="T27" s="213"/>
      <c r="U27" s="213"/>
    </row>
    <row r="28" spans="1:21" ht="15.75" customHeight="1" x14ac:dyDescent="0.2">
      <c r="A28" s="226">
        <v>46256</v>
      </c>
      <c r="B28" s="227"/>
      <c r="C28" s="227"/>
      <c r="D28" s="227"/>
      <c r="E28" s="227"/>
      <c r="F28" s="227"/>
      <c r="G28" s="6"/>
      <c r="H28" s="6"/>
      <c r="I28" s="6"/>
      <c r="J28" s="213"/>
      <c r="K28" s="213"/>
      <c r="L28" s="213"/>
      <c r="M28" s="213"/>
      <c r="N28" s="213"/>
      <c r="O28" s="213"/>
      <c r="P28" s="213"/>
      <c r="Q28" s="213"/>
      <c r="R28" s="213"/>
      <c r="S28" s="213"/>
      <c r="T28" s="213"/>
      <c r="U28" s="213"/>
    </row>
    <row r="29" spans="1:21" ht="15.75" customHeight="1" x14ac:dyDescent="0.2">
      <c r="A29" s="226">
        <v>46257</v>
      </c>
      <c r="B29" s="227"/>
      <c r="C29" s="227"/>
      <c r="D29" s="227"/>
      <c r="E29" s="227"/>
      <c r="F29" s="227"/>
      <c r="G29" s="6"/>
      <c r="H29" s="6"/>
      <c r="I29" s="6"/>
      <c r="J29" s="213"/>
      <c r="K29" s="213"/>
      <c r="L29" s="213"/>
      <c r="M29" s="213"/>
      <c r="N29" s="213"/>
      <c r="O29" s="213"/>
      <c r="P29" s="213"/>
      <c r="Q29" s="213"/>
      <c r="R29" s="213"/>
      <c r="S29" s="213"/>
      <c r="T29" s="213"/>
      <c r="U29" s="213"/>
    </row>
    <row r="30" spans="1:21" ht="15.75" customHeight="1" x14ac:dyDescent="0.2">
      <c r="A30" s="226">
        <v>46258</v>
      </c>
      <c r="B30" s="227"/>
      <c r="C30" s="227"/>
      <c r="D30" s="227"/>
      <c r="E30" s="227"/>
      <c r="F30" s="227"/>
      <c r="G30" s="6"/>
      <c r="H30" s="6"/>
      <c r="I30" s="6"/>
      <c r="J30" s="213"/>
      <c r="K30" s="213"/>
      <c r="L30" s="213"/>
      <c r="M30" s="213"/>
      <c r="N30" s="213"/>
      <c r="O30" s="213"/>
      <c r="P30" s="213"/>
      <c r="Q30" s="213"/>
      <c r="R30" s="213"/>
      <c r="S30" s="213"/>
      <c r="T30" s="213"/>
      <c r="U30" s="213"/>
    </row>
    <row r="31" spans="1:21" ht="15.75" customHeight="1" x14ac:dyDescent="0.2">
      <c r="A31" s="226">
        <v>46259</v>
      </c>
      <c r="B31" s="227"/>
      <c r="C31" s="227"/>
      <c r="D31" s="227"/>
      <c r="E31" s="227"/>
      <c r="F31" s="227"/>
      <c r="G31" s="6"/>
      <c r="H31" s="6"/>
      <c r="I31" s="6"/>
      <c r="J31" s="213"/>
      <c r="K31" s="213"/>
      <c r="L31" s="213"/>
      <c r="M31" s="213"/>
      <c r="N31" s="213"/>
      <c r="O31" s="213"/>
      <c r="P31" s="213"/>
      <c r="Q31" s="213"/>
      <c r="R31" s="213"/>
      <c r="S31" s="213"/>
      <c r="T31" s="213"/>
      <c r="U31" s="213"/>
    </row>
    <row r="32" spans="1:21" ht="15.75" customHeight="1" x14ac:dyDescent="0.2">
      <c r="A32" s="226">
        <v>46260</v>
      </c>
      <c r="B32" s="227"/>
      <c r="C32" s="227"/>
      <c r="D32" s="227"/>
      <c r="E32" s="227"/>
      <c r="F32" s="227"/>
      <c r="G32" s="6"/>
      <c r="H32" s="6"/>
      <c r="I32" s="6"/>
      <c r="J32" s="213"/>
      <c r="K32" s="213"/>
      <c r="L32" s="213"/>
      <c r="M32" s="213"/>
      <c r="N32" s="213"/>
      <c r="O32" s="213"/>
      <c r="P32" s="213"/>
      <c r="Q32" s="213"/>
      <c r="R32" s="213"/>
      <c r="S32" s="213"/>
      <c r="T32" s="213"/>
      <c r="U32" s="213"/>
    </row>
    <row r="33" spans="1:21" ht="15.75" customHeight="1" x14ac:dyDescent="0.2">
      <c r="A33" s="226">
        <v>46261</v>
      </c>
      <c r="B33" s="227"/>
      <c r="C33" s="227"/>
      <c r="D33" s="227"/>
      <c r="E33" s="227"/>
      <c r="F33" s="227"/>
      <c r="G33" s="6"/>
      <c r="H33" s="6"/>
      <c r="I33" s="6"/>
      <c r="J33" s="213"/>
      <c r="K33" s="213"/>
      <c r="L33" s="213"/>
      <c r="M33" s="213"/>
      <c r="N33" s="213"/>
      <c r="O33" s="213"/>
      <c r="P33" s="213"/>
      <c r="Q33" s="213"/>
      <c r="R33" s="213"/>
      <c r="S33" s="213"/>
      <c r="T33" s="213"/>
      <c r="U33" s="213"/>
    </row>
    <row r="34" spans="1:21" ht="15.75" customHeight="1" x14ac:dyDescent="0.2">
      <c r="A34" s="226">
        <v>46262</v>
      </c>
      <c r="B34" s="227"/>
      <c r="C34" s="227"/>
      <c r="D34" s="227"/>
      <c r="E34" s="227"/>
      <c r="F34" s="227"/>
      <c r="G34" s="6"/>
      <c r="H34" s="6"/>
      <c r="I34" s="6"/>
      <c r="J34" s="213"/>
      <c r="K34" s="213"/>
      <c r="L34" s="213"/>
      <c r="M34" s="213"/>
      <c r="N34" s="213"/>
      <c r="O34" s="213"/>
      <c r="P34" s="213"/>
      <c r="Q34" s="213"/>
      <c r="R34" s="213"/>
      <c r="S34" s="213"/>
      <c r="T34" s="213"/>
      <c r="U34" s="213"/>
    </row>
    <row r="35" spans="1:21" ht="15.75" customHeight="1" x14ac:dyDescent="0.2">
      <c r="A35" s="226">
        <v>46263</v>
      </c>
      <c r="B35" s="227"/>
      <c r="C35" s="227"/>
      <c r="D35" s="227"/>
      <c r="E35" s="227"/>
      <c r="F35" s="227"/>
      <c r="G35" s="6"/>
      <c r="H35" s="6"/>
      <c r="I35" s="6"/>
      <c r="J35" s="213"/>
      <c r="K35" s="213"/>
      <c r="L35" s="213"/>
      <c r="M35" s="213"/>
      <c r="N35" s="213"/>
      <c r="O35" s="213"/>
      <c r="P35" s="213"/>
      <c r="Q35" s="213"/>
      <c r="R35" s="213"/>
      <c r="S35" s="213"/>
      <c r="T35" s="213"/>
      <c r="U35" s="213"/>
    </row>
    <row r="36" spans="1:21" ht="15.75" customHeight="1" x14ac:dyDescent="0.2">
      <c r="A36" s="226">
        <v>46264</v>
      </c>
      <c r="B36" s="227"/>
      <c r="C36" s="227"/>
      <c r="D36" s="227"/>
      <c r="E36" s="227"/>
      <c r="F36" s="227"/>
      <c r="G36" s="6"/>
      <c r="H36" s="6"/>
      <c r="I36" s="6"/>
      <c r="J36" s="213"/>
      <c r="K36" s="213"/>
      <c r="L36" s="213"/>
      <c r="M36" s="213"/>
      <c r="N36" s="213"/>
      <c r="O36" s="213"/>
      <c r="P36" s="213"/>
      <c r="Q36" s="213"/>
      <c r="R36" s="213"/>
      <c r="S36" s="213"/>
      <c r="T36" s="213"/>
      <c r="U36" s="213"/>
    </row>
    <row r="37" spans="1:21" ht="15.75" customHeight="1" x14ac:dyDescent="0.2">
      <c r="A37" s="226">
        <v>46265</v>
      </c>
      <c r="B37" s="227"/>
      <c r="C37" s="227"/>
      <c r="D37" s="227"/>
      <c r="E37" s="227"/>
      <c r="F37" s="227"/>
      <c r="G37" s="6"/>
      <c r="H37" s="6"/>
      <c r="I37" s="6"/>
      <c r="J37" s="213"/>
      <c r="K37" s="213"/>
      <c r="L37" s="213"/>
      <c r="M37" s="213"/>
      <c r="N37" s="213"/>
      <c r="O37" s="213"/>
      <c r="P37" s="213"/>
      <c r="Q37" s="213"/>
      <c r="R37" s="213"/>
      <c r="S37" s="213"/>
      <c r="T37" s="213"/>
      <c r="U37" s="213"/>
    </row>
    <row r="38" spans="1:21" ht="15.75" customHeight="1" x14ac:dyDescent="0.2">
      <c r="A38" s="228"/>
      <c r="B38" s="229"/>
      <c r="C38" s="229"/>
      <c r="D38" s="229"/>
      <c r="E38" s="229"/>
      <c r="F38" s="229"/>
      <c r="G38" s="6"/>
      <c r="H38" s="6"/>
      <c r="I38" s="6"/>
      <c r="J38" s="213"/>
      <c r="K38" s="213"/>
      <c r="L38" s="213"/>
      <c r="M38" s="213"/>
      <c r="N38" s="213"/>
      <c r="O38" s="213"/>
      <c r="P38" s="213"/>
      <c r="Q38" s="213"/>
      <c r="R38" s="213"/>
      <c r="S38" s="213"/>
      <c r="T38" s="213"/>
      <c r="U38" s="213"/>
    </row>
    <row r="39" spans="1:21" ht="15.75" customHeight="1" x14ac:dyDescent="0.2">
      <c r="A39" s="230" t="s">
        <v>29</v>
      </c>
      <c r="B39" s="231">
        <v>27153.949999999721</v>
      </c>
      <c r="C39" s="231">
        <v>847.3984375</v>
      </c>
      <c r="D39" s="231">
        <v>0</v>
      </c>
      <c r="E39" s="231">
        <v>161.583984375</v>
      </c>
      <c r="F39" s="231">
        <v>5866.2312499999534</v>
      </c>
      <c r="G39" s="6"/>
      <c r="H39" s="6"/>
      <c r="I39" s="6"/>
      <c r="J39" s="213"/>
      <c r="K39" s="213"/>
      <c r="L39" s="213"/>
      <c r="M39" s="213"/>
      <c r="N39" s="213"/>
      <c r="O39" s="213"/>
      <c r="P39" s="213"/>
      <c r="Q39" s="213"/>
      <c r="R39" s="213"/>
      <c r="S39" s="213"/>
      <c r="T39" s="213"/>
      <c r="U39" s="213"/>
    </row>
    <row r="40" spans="1:21" ht="15.75" customHeight="1" x14ac:dyDescent="0.2">
      <c r="A40" s="6"/>
      <c r="B40" s="6"/>
      <c r="C40" s="6"/>
      <c r="D40" s="6"/>
      <c r="E40" s="6"/>
      <c r="F40" s="6"/>
      <c r="G40" s="6"/>
      <c r="H40" s="6"/>
      <c r="I40" s="6"/>
      <c r="J40" s="213"/>
      <c r="K40" s="213"/>
      <c r="L40" s="213"/>
      <c r="M40" s="213"/>
      <c r="N40" s="213"/>
      <c r="O40" s="213"/>
      <c r="P40" s="213"/>
      <c r="Q40" s="213"/>
      <c r="R40" s="213"/>
      <c r="S40" s="213"/>
      <c r="T40" s="213"/>
      <c r="U40" s="213"/>
    </row>
    <row r="41" spans="1:21" ht="15.75" customHeight="1" x14ac:dyDescent="0.2">
      <c r="A41" s="6"/>
      <c r="B41" s="6"/>
      <c r="C41" s="6"/>
      <c r="D41" s="6"/>
      <c r="E41" s="6"/>
      <c r="F41" s="6"/>
      <c r="G41" s="6"/>
      <c r="H41" s="6"/>
      <c r="I41" s="6"/>
      <c r="J41" s="213"/>
      <c r="K41" s="213"/>
      <c r="L41" s="213"/>
      <c r="M41" s="213"/>
      <c r="N41" s="213"/>
      <c r="O41" s="213"/>
      <c r="P41" s="213"/>
      <c r="Q41" s="213"/>
      <c r="R41" s="213"/>
      <c r="S41" s="213"/>
      <c r="T41" s="213"/>
      <c r="U41" s="213"/>
    </row>
    <row r="42" spans="1:21" ht="15.75" customHeight="1" x14ac:dyDescent="0.2">
      <c r="A42" s="6"/>
      <c r="B42" s="6"/>
      <c r="C42" s="6"/>
      <c r="D42" s="6"/>
      <c r="E42" s="6"/>
      <c r="F42" s="6"/>
      <c r="G42" s="6"/>
      <c r="H42" s="6"/>
      <c r="I42" s="6"/>
      <c r="J42" s="213"/>
      <c r="K42" s="213"/>
      <c r="L42" s="213"/>
      <c r="M42" s="213"/>
      <c r="N42" s="213"/>
      <c r="O42" s="213"/>
      <c r="P42" s="213"/>
      <c r="Q42" s="213"/>
      <c r="R42" s="213"/>
      <c r="S42" s="213"/>
      <c r="T42" s="213"/>
      <c r="U42" s="213"/>
    </row>
    <row r="43" spans="1:21" ht="15.75" customHeight="1" x14ac:dyDescent="0.2">
      <c r="A43" s="6"/>
      <c r="B43" s="6"/>
      <c r="C43" s="6"/>
      <c r="D43" s="6"/>
      <c r="E43" s="6"/>
      <c r="F43" s="6"/>
      <c r="G43" s="6"/>
      <c r="H43" s="6"/>
      <c r="I43" s="6"/>
      <c r="J43" s="213"/>
      <c r="K43" s="213"/>
      <c r="L43" s="213"/>
      <c r="M43" s="213"/>
      <c r="N43" s="213"/>
      <c r="O43" s="213"/>
      <c r="P43" s="213"/>
      <c r="Q43" s="213"/>
      <c r="R43" s="213"/>
      <c r="S43" s="213"/>
      <c r="T43" s="213"/>
      <c r="U43" s="213"/>
    </row>
    <row r="44" spans="1:21" ht="15.75" customHeight="1" x14ac:dyDescent="0.2">
      <c r="A44" s="6"/>
      <c r="B44" s="6"/>
      <c r="C44" s="6"/>
      <c r="D44" s="6"/>
      <c r="E44" s="6"/>
      <c r="F44" s="6"/>
      <c r="G44" s="6"/>
      <c r="H44" s="6"/>
      <c r="I44" s="6"/>
      <c r="J44" s="213"/>
      <c r="K44" s="213"/>
      <c r="L44" s="213"/>
      <c r="M44" s="213"/>
      <c r="N44" s="213"/>
      <c r="O44" s="213"/>
      <c r="P44" s="213"/>
      <c r="Q44" s="213"/>
      <c r="R44" s="213"/>
      <c r="S44" s="213"/>
      <c r="T44" s="213"/>
      <c r="U44" s="213"/>
    </row>
    <row r="45" spans="1:21" ht="15.75" customHeight="1" x14ac:dyDescent="0.2">
      <c r="A45" s="6"/>
      <c r="B45" s="6"/>
      <c r="C45" s="6"/>
      <c r="D45" s="6"/>
      <c r="E45" s="6"/>
      <c r="F45" s="6"/>
      <c r="G45" s="6"/>
      <c r="H45" s="6"/>
      <c r="I45" s="6"/>
      <c r="J45" s="213"/>
      <c r="K45" s="213"/>
      <c r="L45" s="213"/>
      <c r="M45" s="213"/>
      <c r="N45" s="213"/>
      <c r="O45" s="213"/>
      <c r="P45" s="213"/>
      <c r="Q45" s="213"/>
      <c r="R45" s="213"/>
      <c r="S45" s="213"/>
      <c r="T45" s="213"/>
      <c r="U45" s="213"/>
    </row>
    <row r="46" spans="1:21" ht="15.75" customHeight="1" x14ac:dyDescent="0.2">
      <c r="A46" s="6"/>
      <c r="B46" s="6"/>
      <c r="C46" s="6"/>
      <c r="D46" s="6"/>
      <c r="E46" s="6"/>
      <c r="F46" s="6"/>
      <c r="G46" s="6"/>
      <c r="H46" s="6"/>
      <c r="I46" s="6"/>
      <c r="J46" s="213"/>
      <c r="K46" s="213"/>
      <c r="L46" s="213"/>
      <c r="M46" s="213"/>
      <c r="N46" s="213"/>
      <c r="O46" s="213"/>
      <c r="P46" s="213"/>
      <c r="Q46" s="213"/>
      <c r="R46" s="213"/>
      <c r="S46" s="213"/>
      <c r="T46" s="213"/>
      <c r="U46" s="213"/>
    </row>
    <row r="47" spans="1:21" ht="15.75" customHeight="1" x14ac:dyDescent="0.2">
      <c r="A47" s="6"/>
      <c r="B47" s="6"/>
      <c r="C47" s="6"/>
      <c r="D47" s="6"/>
      <c r="E47" s="6"/>
      <c r="F47" s="6"/>
      <c r="G47" s="6"/>
      <c r="H47" s="6"/>
      <c r="I47" s="6"/>
      <c r="J47" s="213"/>
      <c r="K47" s="213"/>
      <c r="L47" s="213"/>
      <c r="M47" s="213"/>
      <c r="N47" s="213"/>
      <c r="O47" s="213"/>
      <c r="P47" s="213"/>
      <c r="Q47" s="213"/>
      <c r="R47" s="213"/>
      <c r="S47" s="213"/>
      <c r="T47" s="213"/>
      <c r="U47" s="213"/>
    </row>
    <row r="48" spans="1:21" ht="15.75" customHeight="1" x14ac:dyDescent="0.2">
      <c r="A48" s="6"/>
      <c r="B48" s="6"/>
      <c r="C48" s="6"/>
      <c r="D48" s="6"/>
      <c r="E48" s="6"/>
      <c r="F48" s="6"/>
      <c r="G48" s="6"/>
      <c r="H48" s="6"/>
      <c r="I48" s="6"/>
      <c r="J48" s="213"/>
      <c r="K48" s="213"/>
      <c r="L48" s="213"/>
      <c r="M48" s="213"/>
      <c r="N48" s="213"/>
      <c r="O48" s="213"/>
      <c r="P48" s="213"/>
      <c r="Q48" s="213"/>
      <c r="R48" s="213"/>
      <c r="S48" s="213"/>
      <c r="T48" s="213"/>
      <c r="U48" s="213"/>
    </row>
    <row r="49" spans="1:21" ht="15.75" customHeight="1" x14ac:dyDescent="0.2">
      <c r="A49" s="6"/>
      <c r="B49" s="6"/>
      <c r="C49" s="6"/>
      <c r="D49" s="6"/>
      <c r="E49" s="6"/>
      <c r="F49" s="6"/>
      <c r="G49" s="6"/>
      <c r="H49" s="6"/>
      <c r="I49" s="6"/>
      <c r="J49" s="213"/>
      <c r="K49" s="213"/>
      <c r="L49" s="213"/>
      <c r="M49" s="213"/>
      <c r="N49" s="213"/>
      <c r="O49" s="213"/>
      <c r="P49" s="213"/>
      <c r="Q49" s="213"/>
      <c r="R49" s="213"/>
      <c r="S49" s="213"/>
      <c r="T49" s="213"/>
      <c r="U49" s="213"/>
    </row>
    <row r="50" spans="1:21" ht="15.75" customHeight="1" x14ac:dyDescent="0.2">
      <c r="A50" s="6"/>
      <c r="B50" s="6"/>
      <c r="C50" s="6"/>
      <c r="D50" s="6"/>
      <c r="E50" s="6"/>
      <c r="F50" s="6"/>
      <c r="G50" s="6"/>
      <c r="H50" s="6"/>
      <c r="I50" s="6"/>
      <c r="J50" s="213"/>
      <c r="K50" s="213"/>
      <c r="L50" s="213"/>
      <c r="M50" s="213"/>
      <c r="N50" s="213"/>
      <c r="O50" s="213"/>
      <c r="P50" s="213"/>
      <c r="Q50" s="213"/>
      <c r="R50" s="213"/>
      <c r="S50" s="213"/>
      <c r="T50" s="213"/>
      <c r="U50" s="213"/>
    </row>
    <row r="51" spans="1:21" ht="15.75" customHeight="1" x14ac:dyDescent="0.2">
      <c r="A51" s="6"/>
      <c r="B51" s="6"/>
      <c r="C51" s="6"/>
      <c r="D51" s="6"/>
      <c r="E51" s="6"/>
      <c r="F51" s="6"/>
      <c r="G51" s="6"/>
      <c r="H51" s="6"/>
      <c r="I51" s="6"/>
      <c r="J51" s="213"/>
      <c r="K51" s="213"/>
      <c r="L51" s="213"/>
      <c r="M51" s="213"/>
      <c r="N51" s="213"/>
      <c r="O51" s="213"/>
      <c r="P51" s="213"/>
      <c r="Q51" s="213"/>
      <c r="R51" s="213"/>
      <c r="S51" s="213"/>
      <c r="T51" s="213"/>
      <c r="U51" s="213"/>
    </row>
    <row r="52" spans="1:21" ht="15.75" customHeight="1" x14ac:dyDescent="0.2">
      <c r="A52" s="6"/>
      <c r="B52" s="6"/>
      <c r="C52" s="6"/>
      <c r="D52" s="6"/>
      <c r="E52" s="6"/>
      <c r="F52" s="6"/>
      <c r="G52" s="6"/>
      <c r="H52" s="6"/>
      <c r="I52" s="6"/>
      <c r="J52" s="213"/>
      <c r="K52" s="213"/>
      <c r="L52" s="213"/>
      <c r="M52" s="213"/>
      <c r="N52" s="213"/>
      <c r="O52" s="213"/>
      <c r="P52" s="213"/>
      <c r="Q52" s="213"/>
      <c r="R52" s="213"/>
      <c r="S52" s="213"/>
      <c r="T52" s="213"/>
      <c r="U52" s="213"/>
    </row>
    <row r="53" spans="1:21" ht="15.75" customHeight="1" x14ac:dyDescent="0.2">
      <c r="A53" s="6"/>
      <c r="B53" s="6"/>
      <c r="C53" s="6"/>
      <c r="D53" s="6"/>
      <c r="E53" s="6"/>
      <c r="F53" s="6"/>
      <c r="G53" s="6"/>
      <c r="H53" s="6"/>
      <c r="I53" s="6"/>
      <c r="J53" s="213"/>
      <c r="K53" s="213"/>
      <c r="L53" s="213"/>
      <c r="M53" s="213"/>
      <c r="N53" s="213"/>
      <c r="O53" s="213"/>
      <c r="P53" s="213"/>
      <c r="Q53" s="213"/>
      <c r="R53" s="213"/>
      <c r="S53" s="213"/>
      <c r="T53" s="213"/>
      <c r="U53" s="213"/>
    </row>
    <row r="54" spans="1:21" ht="15.75" customHeight="1" x14ac:dyDescent="0.2">
      <c r="A54" s="6"/>
      <c r="B54" s="6"/>
      <c r="C54" s="6"/>
      <c r="D54" s="6"/>
      <c r="E54" s="6"/>
      <c r="F54" s="6"/>
      <c r="G54" s="6"/>
      <c r="H54" s="6"/>
      <c r="I54" s="6"/>
      <c r="J54" s="213"/>
      <c r="K54" s="213"/>
      <c r="L54" s="213"/>
      <c r="M54" s="213"/>
      <c r="N54" s="213"/>
      <c r="O54" s="213"/>
      <c r="P54" s="213"/>
      <c r="Q54" s="213"/>
      <c r="R54" s="213"/>
      <c r="S54" s="213"/>
      <c r="T54" s="213"/>
      <c r="U54" s="213"/>
    </row>
    <row r="55" spans="1:21" ht="15.75" customHeight="1" x14ac:dyDescent="0.2">
      <c r="A55" s="6"/>
      <c r="B55" s="6"/>
      <c r="C55" s="6"/>
      <c r="D55" s="6"/>
      <c r="E55" s="6"/>
      <c r="F55" s="6"/>
      <c r="G55" s="6"/>
      <c r="H55" s="6"/>
      <c r="I55" s="6"/>
      <c r="J55" s="213"/>
      <c r="K55" s="213"/>
      <c r="L55" s="213"/>
      <c r="M55" s="213"/>
      <c r="N55" s="213"/>
      <c r="O55" s="213"/>
      <c r="P55" s="213"/>
      <c r="Q55" s="213"/>
      <c r="R55" s="213"/>
      <c r="S55" s="213"/>
      <c r="T55" s="213"/>
      <c r="U55" s="213"/>
    </row>
    <row r="56" spans="1:21" ht="15.75" customHeight="1" x14ac:dyDescent="0.2">
      <c r="A56" s="6"/>
      <c r="B56" s="6"/>
      <c r="C56" s="6"/>
      <c r="D56" s="6"/>
      <c r="E56" s="6"/>
      <c r="F56" s="6"/>
      <c r="G56" s="6"/>
      <c r="H56" s="6"/>
      <c r="I56" s="6"/>
      <c r="J56" s="213"/>
      <c r="K56" s="213"/>
      <c r="L56" s="213"/>
      <c r="M56" s="213"/>
      <c r="N56" s="213"/>
      <c r="O56" s="213"/>
      <c r="P56" s="213"/>
      <c r="Q56" s="213"/>
      <c r="R56" s="213"/>
      <c r="S56" s="213"/>
      <c r="T56" s="213"/>
      <c r="U56" s="213"/>
    </row>
    <row r="57" spans="1:21" ht="15.75" customHeight="1" x14ac:dyDescent="0.2">
      <c r="A57" s="6"/>
      <c r="B57" s="6"/>
      <c r="C57" s="6"/>
      <c r="D57" s="6"/>
      <c r="E57" s="6"/>
      <c r="F57" s="6"/>
      <c r="G57" s="6"/>
      <c r="H57" s="6"/>
      <c r="I57" s="6"/>
      <c r="J57" s="213"/>
      <c r="K57" s="213"/>
      <c r="L57" s="213"/>
      <c r="M57" s="213"/>
      <c r="N57" s="213"/>
      <c r="O57" s="213"/>
      <c r="P57" s="213"/>
      <c r="Q57" s="213"/>
      <c r="R57" s="213"/>
      <c r="S57" s="213"/>
      <c r="T57" s="213"/>
      <c r="U57" s="213"/>
    </row>
    <row r="58" spans="1:21" ht="15.75" customHeight="1" x14ac:dyDescent="0.2">
      <c r="A58" s="6"/>
      <c r="B58" s="6"/>
      <c r="C58" s="6"/>
      <c r="D58" s="6"/>
      <c r="E58" s="6"/>
      <c r="F58" s="6"/>
      <c r="G58" s="6"/>
      <c r="H58" s="6"/>
      <c r="I58" s="6"/>
      <c r="J58" s="213"/>
      <c r="K58" s="213"/>
      <c r="L58" s="213"/>
      <c r="M58" s="213"/>
      <c r="N58" s="213"/>
      <c r="O58" s="213"/>
      <c r="P58" s="213"/>
      <c r="Q58" s="213"/>
      <c r="R58" s="213"/>
      <c r="S58" s="213"/>
      <c r="T58" s="213"/>
      <c r="U58" s="213"/>
    </row>
    <row r="59" spans="1:21" ht="15.75" customHeight="1" x14ac:dyDescent="0.2">
      <c r="A59" s="6"/>
      <c r="B59" s="6"/>
      <c r="C59" s="6"/>
      <c r="D59" s="6"/>
      <c r="E59" s="6"/>
      <c r="F59" s="6"/>
      <c r="G59" s="6"/>
      <c r="H59" s="6"/>
      <c r="I59" s="6"/>
      <c r="J59" s="213"/>
      <c r="K59" s="213"/>
      <c r="L59" s="213"/>
      <c r="M59" s="213"/>
      <c r="N59" s="213"/>
      <c r="O59" s="213"/>
      <c r="P59" s="213"/>
      <c r="Q59" s="213"/>
      <c r="R59" s="213"/>
      <c r="S59" s="213"/>
      <c r="T59" s="213"/>
      <c r="U59" s="213"/>
    </row>
    <row r="60" spans="1:21" ht="15.75" customHeight="1" x14ac:dyDescent="0.2">
      <c r="A60" s="6"/>
      <c r="B60" s="6"/>
      <c r="C60" s="6"/>
      <c r="D60" s="6"/>
      <c r="E60" s="6"/>
      <c r="F60" s="6"/>
      <c r="G60" s="6"/>
      <c r="H60" s="6"/>
      <c r="I60" s="6"/>
      <c r="J60" s="213"/>
      <c r="K60" s="213"/>
      <c r="L60" s="213"/>
      <c r="M60" s="213"/>
      <c r="N60" s="213"/>
      <c r="O60" s="213"/>
      <c r="P60" s="213"/>
      <c r="Q60" s="213"/>
      <c r="R60" s="213"/>
      <c r="S60" s="213"/>
      <c r="T60" s="213"/>
      <c r="U60" s="213"/>
    </row>
    <row r="61" spans="1:21" ht="15.75" customHeight="1" x14ac:dyDescent="0.2">
      <c r="A61" s="6"/>
      <c r="B61" s="6"/>
      <c r="C61" s="6"/>
      <c r="D61" s="6"/>
      <c r="E61" s="6"/>
      <c r="F61" s="6"/>
      <c r="G61" s="6"/>
      <c r="H61" s="6"/>
      <c r="I61" s="6"/>
      <c r="J61" s="213"/>
      <c r="K61" s="213"/>
      <c r="L61" s="213"/>
      <c r="M61" s="213"/>
      <c r="N61" s="213"/>
      <c r="O61" s="213"/>
      <c r="P61" s="213"/>
      <c r="Q61" s="213"/>
      <c r="R61" s="213"/>
      <c r="S61" s="213"/>
      <c r="T61" s="213"/>
      <c r="U61" s="213"/>
    </row>
    <row r="62" spans="1:21" ht="15.75" customHeight="1" x14ac:dyDescent="0.2">
      <c r="A62" s="6"/>
      <c r="B62" s="6"/>
      <c r="C62" s="6"/>
      <c r="D62" s="6"/>
      <c r="E62" s="6"/>
      <c r="F62" s="6"/>
      <c r="G62" s="6"/>
      <c r="H62" s="6"/>
      <c r="I62" s="6"/>
      <c r="J62" s="213"/>
      <c r="K62" s="213"/>
      <c r="L62" s="213"/>
      <c r="M62" s="213"/>
      <c r="N62" s="213"/>
      <c r="O62" s="213"/>
      <c r="P62" s="213"/>
      <c r="Q62" s="213"/>
      <c r="R62" s="213"/>
      <c r="S62" s="213"/>
      <c r="T62" s="213"/>
      <c r="U62" s="213"/>
    </row>
    <row r="63" spans="1:21" ht="15.75" customHeight="1" x14ac:dyDescent="0.2">
      <c r="A63" s="6"/>
      <c r="B63" s="6"/>
      <c r="C63" s="6"/>
      <c r="D63" s="6"/>
      <c r="E63" s="6"/>
      <c r="F63" s="6"/>
      <c r="G63" s="6"/>
      <c r="H63" s="6"/>
      <c r="I63" s="6"/>
      <c r="J63" s="213"/>
      <c r="K63" s="213"/>
      <c r="L63" s="213"/>
      <c r="M63" s="213"/>
      <c r="N63" s="213"/>
      <c r="O63" s="213"/>
      <c r="P63" s="213"/>
      <c r="Q63" s="213"/>
      <c r="R63" s="213"/>
      <c r="S63" s="213"/>
      <c r="T63" s="213"/>
      <c r="U63" s="213"/>
    </row>
    <row r="64" spans="1:21" ht="15.75" customHeight="1" x14ac:dyDescent="0.2">
      <c r="A64" s="6"/>
      <c r="B64" s="6"/>
      <c r="C64" s="6"/>
      <c r="D64" s="6"/>
      <c r="E64" s="6"/>
      <c r="F64" s="6"/>
      <c r="G64" s="6"/>
      <c r="H64" s="6"/>
      <c r="I64" s="6"/>
      <c r="J64" s="213"/>
      <c r="K64" s="213"/>
      <c r="L64" s="213"/>
      <c r="M64" s="213"/>
      <c r="N64" s="213"/>
      <c r="O64" s="213"/>
      <c r="P64" s="213"/>
      <c r="Q64" s="213"/>
      <c r="R64" s="213"/>
      <c r="S64" s="213"/>
      <c r="T64" s="213"/>
      <c r="U64" s="213"/>
    </row>
    <row r="65" spans="1:21" ht="15.75" customHeight="1" x14ac:dyDescent="0.2">
      <c r="A65" s="6"/>
      <c r="B65" s="6"/>
      <c r="C65" s="6"/>
      <c r="D65" s="6"/>
      <c r="E65" s="6"/>
      <c r="F65" s="6"/>
      <c r="G65" s="6"/>
      <c r="H65" s="6"/>
      <c r="I65" s="6"/>
      <c r="J65" s="213"/>
      <c r="K65" s="213"/>
      <c r="L65" s="213"/>
      <c r="M65" s="213"/>
      <c r="N65" s="213"/>
      <c r="O65" s="213"/>
      <c r="P65" s="213"/>
      <c r="Q65" s="213"/>
      <c r="R65" s="213"/>
      <c r="S65" s="213"/>
      <c r="T65" s="213"/>
      <c r="U65" s="213"/>
    </row>
    <row r="66" spans="1:21" ht="15.75" customHeight="1" x14ac:dyDescent="0.2">
      <c r="A66" s="6"/>
      <c r="B66" s="6"/>
      <c r="C66" s="6"/>
      <c r="D66" s="6"/>
      <c r="E66" s="6"/>
      <c r="F66" s="6"/>
      <c r="G66" s="6"/>
      <c r="H66" s="6"/>
      <c r="I66" s="6"/>
      <c r="J66" s="213"/>
      <c r="K66" s="213"/>
      <c r="L66" s="213"/>
      <c r="M66" s="213"/>
      <c r="N66" s="213"/>
      <c r="O66" s="213"/>
      <c r="P66" s="213"/>
      <c r="Q66" s="213"/>
      <c r="R66" s="213"/>
      <c r="S66" s="213"/>
      <c r="T66" s="213"/>
      <c r="U66" s="213"/>
    </row>
    <row r="67" spans="1:21" ht="15.75" customHeight="1" x14ac:dyDescent="0.2">
      <c r="A67" s="6"/>
      <c r="B67" s="6"/>
      <c r="C67" s="6"/>
      <c r="D67" s="6"/>
      <c r="E67" s="6"/>
      <c r="F67" s="6"/>
      <c r="G67" s="6"/>
      <c r="H67" s="6"/>
      <c r="I67" s="6"/>
      <c r="J67" s="213"/>
      <c r="K67" s="213"/>
      <c r="L67" s="213"/>
      <c r="M67" s="213"/>
      <c r="N67" s="213"/>
      <c r="O67" s="213"/>
      <c r="P67" s="213"/>
      <c r="Q67" s="213"/>
      <c r="R67" s="213"/>
      <c r="S67" s="213"/>
      <c r="T67" s="213"/>
      <c r="U67" s="213"/>
    </row>
    <row r="68" spans="1:21" ht="15.75" customHeight="1" x14ac:dyDescent="0.2">
      <c r="A68" s="6"/>
      <c r="B68" s="6"/>
      <c r="C68" s="6"/>
      <c r="D68" s="6"/>
      <c r="E68" s="6"/>
      <c r="F68" s="6"/>
      <c r="G68" s="6"/>
      <c r="H68" s="6"/>
      <c r="I68" s="6"/>
      <c r="J68" s="213"/>
      <c r="K68" s="213"/>
      <c r="L68" s="213"/>
      <c r="M68" s="213"/>
      <c r="N68" s="213"/>
      <c r="O68" s="213"/>
      <c r="P68" s="213"/>
      <c r="Q68" s="213"/>
      <c r="R68" s="213"/>
      <c r="S68" s="213"/>
      <c r="T68" s="213"/>
      <c r="U68" s="213"/>
    </row>
    <row r="69" spans="1:21" ht="15.75" customHeight="1" x14ac:dyDescent="0.2">
      <c r="A69" s="6"/>
      <c r="B69" s="6"/>
      <c r="C69" s="6"/>
      <c r="D69" s="6"/>
      <c r="E69" s="6"/>
      <c r="F69" s="6"/>
      <c r="G69" s="6"/>
      <c r="H69" s="6"/>
      <c r="I69" s="6"/>
      <c r="J69" s="213"/>
      <c r="K69" s="213"/>
      <c r="L69" s="213"/>
      <c r="M69" s="213"/>
      <c r="N69" s="213"/>
      <c r="O69" s="213"/>
      <c r="P69" s="213"/>
      <c r="Q69" s="213"/>
      <c r="R69" s="213"/>
      <c r="S69" s="213"/>
      <c r="T69" s="213"/>
      <c r="U69" s="213"/>
    </row>
    <row r="70" spans="1:21" ht="15.75" customHeight="1" x14ac:dyDescent="0.2">
      <c r="A70" s="6"/>
      <c r="B70" s="6"/>
      <c r="C70" s="6"/>
      <c r="D70" s="6"/>
      <c r="E70" s="6"/>
      <c r="F70" s="6"/>
      <c r="G70" s="6"/>
      <c r="H70" s="6"/>
      <c r="I70" s="6"/>
      <c r="J70" s="213"/>
      <c r="K70" s="213"/>
      <c r="L70" s="213"/>
      <c r="M70" s="213"/>
      <c r="N70" s="213"/>
      <c r="O70" s="213"/>
      <c r="P70" s="213"/>
      <c r="Q70" s="213"/>
      <c r="R70" s="213"/>
      <c r="S70" s="213"/>
      <c r="T70" s="213"/>
      <c r="U70" s="213"/>
    </row>
    <row r="71" spans="1:21" ht="15.75" customHeight="1" x14ac:dyDescent="0.2">
      <c r="A71" s="6"/>
      <c r="B71" s="6"/>
      <c r="C71" s="6"/>
      <c r="D71" s="6"/>
      <c r="E71" s="6"/>
      <c r="F71" s="6"/>
      <c r="G71" s="6"/>
      <c r="H71" s="6"/>
      <c r="I71" s="6"/>
      <c r="J71" s="213"/>
      <c r="K71" s="213"/>
      <c r="L71" s="213"/>
      <c r="M71" s="213"/>
      <c r="N71" s="213"/>
      <c r="O71" s="213"/>
      <c r="P71" s="213"/>
      <c r="Q71" s="213"/>
      <c r="R71" s="213"/>
      <c r="S71" s="213"/>
      <c r="T71" s="213"/>
      <c r="U71" s="213"/>
    </row>
    <row r="72" spans="1:21" ht="15.75" customHeight="1" x14ac:dyDescent="0.2">
      <c r="A72" s="6"/>
      <c r="B72" s="6"/>
      <c r="C72" s="6"/>
      <c r="D72" s="6"/>
      <c r="E72" s="6"/>
      <c r="F72" s="6"/>
      <c r="G72" s="6"/>
      <c r="H72" s="6"/>
      <c r="I72" s="6"/>
      <c r="J72" s="213"/>
      <c r="K72" s="213"/>
      <c r="L72" s="213"/>
      <c r="M72" s="213"/>
      <c r="N72" s="213"/>
      <c r="O72" s="213"/>
      <c r="P72" s="213"/>
      <c r="Q72" s="213"/>
      <c r="R72" s="213"/>
      <c r="S72" s="213"/>
      <c r="T72" s="213"/>
      <c r="U72" s="213"/>
    </row>
    <row r="73" spans="1:21" ht="15.75" customHeight="1" x14ac:dyDescent="0.2">
      <c r="A73" s="6"/>
      <c r="B73" s="6"/>
      <c r="C73" s="6"/>
      <c r="D73" s="6"/>
      <c r="E73" s="6"/>
      <c r="F73" s="6"/>
      <c r="G73" s="6"/>
      <c r="H73" s="6"/>
      <c r="I73" s="6"/>
      <c r="J73" s="213"/>
      <c r="K73" s="213"/>
      <c r="L73" s="213"/>
      <c r="M73" s="213"/>
      <c r="N73" s="213"/>
      <c r="O73" s="213"/>
      <c r="P73" s="213"/>
      <c r="Q73" s="213"/>
      <c r="R73" s="213"/>
      <c r="S73" s="213"/>
      <c r="T73" s="213"/>
      <c r="U73" s="213"/>
    </row>
    <row r="74" spans="1:21" ht="15.75" customHeight="1" x14ac:dyDescent="0.2">
      <c r="A74" s="6"/>
      <c r="B74" s="6"/>
      <c r="C74" s="6"/>
      <c r="D74" s="6"/>
      <c r="E74" s="6"/>
      <c r="F74" s="6"/>
      <c r="G74" s="6"/>
      <c r="H74" s="6"/>
      <c r="I74" s="6"/>
      <c r="J74" s="213"/>
      <c r="K74" s="213"/>
      <c r="L74" s="213"/>
      <c r="M74" s="213"/>
      <c r="N74" s="213"/>
      <c r="O74" s="213"/>
      <c r="P74" s="213"/>
      <c r="Q74" s="213"/>
      <c r="R74" s="213"/>
      <c r="S74" s="213"/>
      <c r="T74" s="213"/>
      <c r="U74" s="213"/>
    </row>
    <row r="75" spans="1:21" ht="15.75" customHeight="1" x14ac:dyDescent="0.2">
      <c r="A75" s="6"/>
      <c r="B75" s="6"/>
      <c r="C75" s="6"/>
      <c r="D75" s="6"/>
      <c r="E75" s="6"/>
      <c r="F75" s="6"/>
      <c r="G75" s="6"/>
      <c r="H75" s="6"/>
      <c r="I75" s="6"/>
      <c r="J75" s="213"/>
      <c r="K75" s="213"/>
      <c r="L75" s="213"/>
      <c r="M75" s="213"/>
      <c r="N75" s="213"/>
      <c r="O75" s="213"/>
      <c r="P75" s="213"/>
      <c r="Q75" s="213"/>
      <c r="R75" s="213"/>
      <c r="S75" s="213"/>
      <c r="T75" s="213"/>
      <c r="U75" s="213"/>
    </row>
    <row r="76" spans="1:21" ht="15.75" customHeight="1" x14ac:dyDescent="0.2">
      <c r="A76" s="6"/>
      <c r="B76" s="6"/>
      <c r="C76" s="6"/>
      <c r="D76" s="6"/>
      <c r="E76" s="6"/>
      <c r="F76" s="6"/>
      <c r="G76" s="6"/>
      <c r="H76" s="6"/>
      <c r="I76" s="6"/>
      <c r="J76" s="213"/>
      <c r="K76" s="213"/>
      <c r="L76" s="213"/>
      <c r="M76" s="213"/>
      <c r="N76" s="213"/>
      <c r="O76" s="213"/>
      <c r="P76" s="213"/>
      <c r="Q76" s="213"/>
      <c r="R76" s="213"/>
      <c r="S76" s="213"/>
      <c r="T76" s="213"/>
      <c r="U76" s="213"/>
    </row>
    <row r="77" spans="1:21" ht="15.75" customHeight="1" x14ac:dyDescent="0.2">
      <c r="A77" s="6"/>
      <c r="B77" s="6"/>
      <c r="C77" s="6"/>
      <c r="D77" s="6"/>
      <c r="E77" s="6"/>
      <c r="F77" s="6"/>
      <c r="G77" s="6"/>
      <c r="H77" s="6"/>
      <c r="I77" s="6"/>
      <c r="J77" s="213"/>
      <c r="K77" s="213"/>
      <c r="L77" s="213"/>
      <c r="M77" s="213"/>
      <c r="N77" s="213"/>
      <c r="O77" s="213"/>
      <c r="P77" s="213"/>
      <c r="Q77" s="213"/>
      <c r="R77" s="213"/>
      <c r="S77" s="213"/>
      <c r="T77" s="213"/>
      <c r="U77" s="213"/>
    </row>
    <row r="78" spans="1:21" ht="15.75" customHeight="1" x14ac:dyDescent="0.2">
      <c r="A78" s="6"/>
      <c r="B78" s="6"/>
      <c r="C78" s="6"/>
      <c r="D78" s="6"/>
      <c r="E78" s="6"/>
      <c r="F78" s="6"/>
      <c r="G78" s="6"/>
      <c r="H78" s="6"/>
      <c r="I78" s="6"/>
      <c r="J78" s="213"/>
      <c r="K78" s="213"/>
      <c r="L78" s="213"/>
      <c r="M78" s="213"/>
      <c r="N78" s="213"/>
      <c r="O78" s="213"/>
      <c r="P78" s="213"/>
      <c r="Q78" s="213"/>
      <c r="R78" s="213"/>
      <c r="S78" s="213"/>
      <c r="T78" s="213"/>
      <c r="U78" s="213"/>
    </row>
    <row r="79" spans="1:21" ht="15.75" customHeight="1" x14ac:dyDescent="0.2">
      <c r="A79" s="6"/>
      <c r="B79" s="6"/>
      <c r="C79" s="6"/>
      <c r="D79" s="6"/>
      <c r="E79" s="6"/>
      <c r="F79" s="6"/>
      <c r="G79" s="6"/>
      <c r="H79" s="6"/>
      <c r="I79" s="6"/>
      <c r="J79" s="213"/>
      <c r="K79" s="213"/>
      <c r="L79" s="213"/>
      <c r="M79" s="213"/>
      <c r="N79" s="213"/>
      <c r="O79" s="213"/>
      <c r="P79" s="213"/>
      <c r="Q79" s="213"/>
      <c r="R79" s="213"/>
      <c r="S79" s="213"/>
      <c r="T79" s="213"/>
      <c r="U79" s="213"/>
    </row>
    <row r="80" spans="1:21" ht="15.75" customHeight="1" x14ac:dyDescent="0.2">
      <c r="A80" s="6"/>
      <c r="B80" s="6"/>
      <c r="C80" s="6"/>
      <c r="D80" s="6"/>
      <c r="E80" s="6"/>
      <c r="F80" s="6"/>
      <c r="G80" s="6"/>
      <c r="H80" s="6"/>
      <c r="I80" s="6"/>
      <c r="J80" s="213"/>
      <c r="K80" s="213"/>
      <c r="L80" s="213"/>
      <c r="M80" s="213"/>
      <c r="N80" s="213"/>
      <c r="O80" s="213"/>
      <c r="P80" s="213"/>
      <c r="Q80" s="213"/>
      <c r="R80" s="213"/>
      <c r="S80" s="213"/>
      <c r="T80" s="213"/>
      <c r="U80" s="213"/>
    </row>
    <row r="81" spans="1:21" ht="15.75" customHeight="1" x14ac:dyDescent="0.2">
      <c r="A81" s="6"/>
      <c r="B81" s="6"/>
      <c r="C81" s="6"/>
      <c r="D81" s="6"/>
      <c r="E81" s="6"/>
      <c r="F81" s="6"/>
      <c r="G81" s="6"/>
      <c r="H81" s="6"/>
      <c r="I81" s="6"/>
      <c r="J81" s="213"/>
      <c r="K81" s="213"/>
      <c r="L81" s="213"/>
      <c r="M81" s="213"/>
      <c r="N81" s="213"/>
      <c r="O81" s="213"/>
      <c r="P81" s="213"/>
      <c r="Q81" s="213"/>
      <c r="R81" s="213"/>
      <c r="S81" s="213"/>
      <c r="T81" s="213"/>
      <c r="U81" s="213"/>
    </row>
    <row r="82" spans="1:21" ht="15.75" customHeight="1" x14ac:dyDescent="0.2">
      <c r="A82" s="6"/>
      <c r="B82" s="6"/>
      <c r="C82" s="6"/>
      <c r="D82" s="6"/>
      <c r="E82" s="6"/>
      <c r="F82" s="6"/>
      <c r="G82" s="6"/>
      <c r="H82" s="6"/>
      <c r="I82" s="6"/>
      <c r="J82" s="213"/>
      <c r="K82" s="213"/>
      <c r="L82" s="213"/>
      <c r="M82" s="213"/>
      <c r="N82" s="213"/>
      <c r="O82" s="213"/>
      <c r="P82" s="213"/>
      <c r="Q82" s="213"/>
      <c r="R82" s="213"/>
      <c r="S82" s="213"/>
      <c r="T82" s="213"/>
      <c r="U82" s="213"/>
    </row>
    <row r="83" spans="1:21" ht="15.75" customHeight="1" x14ac:dyDescent="0.2">
      <c r="A83" s="6"/>
      <c r="B83" s="6"/>
      <c r="C83" s="6"/>
      <c r="D83" s="6"/>
      <c r="E83" s="6"/>
      <c r="F83" s="6"/>
      <c r="G83" s="6"/>
      <c r="H83" s="6"/>
      <c r="I83" s="6"/>
      <c r="J83" s="213"/>
      <c r="K83" s="213"/>
      <c r="L83" s="213"/>
      <c r="M83" s="213"/>
      <c r="N83" s="213"/>
      <c r="O83" s="213"/>
      <c r="P83" s="213"/>
      <c r="Q83" s="213"/>
      <c r="R83" s="213"/>
      <c r="S83" s="213"/>
      <c r="T83" s="213"/>
      <c r="U83" s="213"/>
    </row>
    <row r="84" spans="1:21" ht="15.75" customHeight="1" x14ac:dyDescent="0.2">
      <c r="A84" s="6"/>
      <c r="B84" s="6"/>
      <c r="C84" s="6"/>
      <c r="D84" s="6"/>
      <c r="E84" s="6"/>
      <c r="F84" s="6"/>
      <c r="G84" s="6"/>
      <c r="H84" s="6"/>
      <c r="I84" s="6"/>
      <c r="J84" s="213"/>
      <c r="K84" s="213"/>
      <c r="L84" s="213"/>
      <c r="M84" s="213"/>
      <c r="N84" s="213"/>
      <c r="O84" s="213"/>
      <c r="P84" s="213"/>
      <c r="Q84" s="213"/>
      <c r="R84" s="213"/>
      <c r="S84" s="213"/>
      <c r="T84" s="213"/>
      <c r="U84" s="213"/>
    </row>
    <row r="85" spans="1:21" ht="15.75" customHeight="1" x14ac:dyDescent="0.2">
      <c r="A85" s="6"/>
      <c r="B85" s="6"/>
      <c r="C85" s="6"/>
      <c r="D85" s="6"/>
      <c r="E85" s="6"/>
      <c r="F85" s="6"/>
      <c r="G85" s="6"/>
      <c r="H85" s="6"/>
      <c r="I85" s="6"/>
      <c r="J85" s="213"/>
      <c r="K85" s="213"/>
      <c r="L85" s="213"/>
      <c r="M85" s="213"/>
      <c r="N85" s="213"/>
      <c r="O85" s="213"/>
      <c r="P85" s="213"/>
      <c r="Q85" s="213"/>
      <c r="R85" s="213"/>
      <c r="S85" s="213"/>
      <c r="T85" s="213"/>
      <c r="U85" s="213"/>
    </row>
    <row r="86" spans="1:21" ht="15.75" customHeight="1" x14ac:dyDescent="0.2">
      <c r="A86" s="6"/>
      <c r="B86" s="6"/>
      <c r="C86" s="6"/>
      <c r="D86" s="6"/>
      <c r="E86" s="6"/>
      <c r="F86" s="6"/>
      <c r="G86" s="6"/>
      <c r="H86" s="6"/>
      <c r="I86" s="6"/>
      <c r="J86" s="213"/>
      <c r="K86" s="213"/>
      <c r="L86" s="213"/>
      <c r="M86" s="213"/>
      <c r="N86" s="213"/>
      <c r="O86" s="213"/>
      <c r="P86" s="213"/>
      <c r="Q86" s="213"/>
      <c r="R86" s="213"/>
      <c r="S86" s="213"/>
      <c r="T86" s="213"/>
      <c r="U86" s="213"/>
    </row>
    <row r="87" spans="1:21" ht="15.75" customHeight="1" x14ac:dyDescent="0.2">
      <c r="A87" s="6"/>
      <c r="B87" s="6"/>
      <c r="C87" s="6"/>
      <c r="D87" s="6"/>
      <c r="E87" s="6"/>
      <c r="F87" s="6"/>
      <c r="G87" s="6"/>
      <c r="H87" s="6"/>
      <c r="I87" s="6"/>
      <c r="J87" s="213"/>
      <c r="K87" s="213"/>
      <c r="L87" s="213"/>
      <c r="M87" s="213"/>
      <c r="N87" s="213"/>
      <c r="O87" s="213"/>
      <c r="P87" s="213"/>
      <c r="Q87" s="213"/>
      <c r="R87" s="213"/>
      <c r="S87" s="213"/>
      <c r="T87" s="213"/>
      <c r="U87" s="213"/>
    </row>
    <row r="88" spans="1:21" ht="15.75" customHeight="1" x14ac:dyDescent="0.2">
      <c r="A88" s="6"/>
      <c r="B88" s="6"/>
      <c r="C88" s="6"/>
      <c r="D88" s="6"/>
      <c r="E88" s="6"/>
      <c r="F88" s="6"/>
      <c r="G88" s="6"/>
      <c r="H88" s="6"/>
      <c r="I88" s="6"/>
      <c r="J88" s="213"/>
      <c r="K88" s="213"/>
      <c r="L88" s="213"/>
      <c r="M88" s="213"/>
      <c r="N88" s="213"/>
      <c r="O88" s="213"/>
      <c r="P88" s="213"/>
      <c r="Q88" s="213"/>
      <c r="R88" s="213"/>
      <c r="S88" s="213"/>
      <c r="T88" s="213"/>
      <c r="U88" s="213"/>
    </row>
    <row r="89" spans="1:21" ht="15.75" customHeight="1" x14ac:dyDescent="0.2">
      <c r="A89" s="6"/>
      <c r="B89" s="6"/>
      <c r="C89" s="6"/>
      <c r="D89" s="6"/>
      <c r="E89" s="6"/>
      <c r="F89" s="6"/>
      <c r="G89" s="6"/>
      <c r="H89" s="6"/>
      <c r="I89" s="6"/>
      <c r="J89" s="213"/>
      <c r="K89" s="213"/>
      <c r="L89" s="213"/>
      <c r="M89" s="213"/>
      <c r="N89" s="213"/>
      <c r="O89" s="213"/>
      <c r="P89" s="213"/>
      <c r="Q89" s="213"/>
      <c r="R89" s="213"/>
      <c r="S89" s="213"/>
      <c r="T89" s="213"/>
      <c r="U89" s="213"/>
    </row>
    <row r="90" spans="1:21" ht="15.75" customHeight="1" x14ac:dyDescent="0.2">
      <c r="A90" s="6"/>
      <c r="B90" s="6"/>
      <c r="C90" s="6"/>
      <c r="D90" s="6"/>
      <c r="E90" s="6"/>
      <c r="F90" s="6"/>
      <c r="G90" s="6"/>
      <c r="H90" s="6"/>
      <c r="I90" s="6"/>
      <c r="J90" s="213"/>
      <c r="K90" s="213"/>
      <c r="L90" s="213"/>
      <c r="M90" s="213"/>
      <c r="N90" s="213"/>
      <c r="O90" s="213"/>
      <c r="P90" s="213"/>
      <c r="Q90" s="213"/>
      <c r="R90" s="213"/>
      <c r="S90" s="213"/>
      <c r="T90" s="213"/>
      <c r="U90" s="213"/>
    </row>
    <row r="91" spans="1:21" ht="15.75" customHeight="1" x14ac:dyDescent="0.2">
      <c r="A91" s="6"/>
      <c r="B91" s="6"/>
      <c r="C91" s="6"/>
      <c r="D91" s="6"/>
      <c r="E91" s="6"/>
      <c r="F91" s="6"/>
      <c r="G91" s="6"/>
      <c r="H91" s="6"/>
      <c r="I91" s="6"/>
      <c r="J91" s="213"/>
      <c r="K91" s="213"/>
      <c r="L91" s="213"/>
      <c r="M91" s="213"/>
      <c r="N91" s="213"/>
      <c r="O91" s="213"/>
      <c r="P91" s="213"/>
      <c r="Q91" s="213"/>
      <c r="R91" s="213"/>
      <c r="S91" s="213"/>
      <c r="T91" s="213"/>
      <c r="U91" s="213"/>
    </row>
    <row r="92" spans="1:21" ht="15.75" customHeight="1" x14ac:dyDescent="0.2">
      <c r="A92" s="6"/>
      <c r="B92" s="6"/>
      <c r="C92" s="6"/>
      <c r="D92" s="6"/>
      <c r="E92" s="6"/>
      <c r="F92" s="6"/>
      <c r="G92" s="6"/>
      <c r="H92" s="6"/>
      <c r="I92" s="6"/>
      <c r="J92" s="213"/>
      <c r="K92" s="213"/>
      <c r="L92" s="213"/>
      <c r="M92" s="213"/>
      <c r="N92" s="213"/>
      <c r="O92" s="213"/>
      <c r="P92" s="213"/>
      <c r="Q92" s="213"/>
      <c r="R92" s="213"/>
      <c r="S92" s="213"/>
      <c r="T92" s="213"/>
      <c r="U92" s="213"/>
    </row>
    <row r="93" spans="1:21" ht="15.75" customHeight="1" x14ac:dyDescent="0.2">
      <c r="A93" s="6"/>
      <c r="B93" s="6"/>
      <c r="C93" s="6"/>
      <c r="D93" s="6"/>
      <c r="E93" s="6"/>
      <c r="F93" s="6"/>
      <c r="G93" s="6"/>
      <c r="H93" s="6"/>
      <c r="I93" s="6"/>
      <c r="J93" s="213"/>
      <c r="K93" s="213"/>
      <c r="L93" s="213"/>
      <c r="M93" s="213"/>
      <c r="N93" s="213"/>
      <c r="O93" s="213"/>
      <c r="P93" s="213"/>
      <c r="Q93" s="213"/>
      <c r="R93" s="213"/>
      <c r="S93" s="213"/>
      <c r="T93" s="213"/>
      <c r="U93" s="213"/>
    </row>
    <row r="94" spans="1:21" ht="15.75" customHeight="1" x14ac:dyDescent="0.2">
      <c r="A94" s="6"/>
      <c r="B94" s="6"/>
      <c r="C94" s="6"/>
      <c r="D94" s="6"/>
      <c r="E94" s="6"/>
      <c r="F94" s="6"/>
      <c r="G94" s="6"/>
      <c r="H94" s="6"/>
      <c r="I94" s="6"/>
      <c r="J94" s="213"/>
      <c r="K94" s="213"/>
      <c r="L94" s="213"/>
      <c r="M94" s="213"/>
      <c r="N94" s="213"/>
      <c r="O94" s="213"/>
      <c r="P94" s="213"/>
      <c r="Q94" s="213"/>
      <c r="R94" s="213"/>
      <c r="S94" s="213"/>
      <c r="T94" s="213"/>
      <c r="U94" s="213"/>
    </row>
    <row r="95" spans="1:21" ht="15.75" customHeight="1" x14ac:dyDescent="0.2">
      <c r="A95" s="6"/>
      <c r="B95" s="6"/>
      <c r="C95" s="6"/>
      <c r="D95" s="6"/>
      <c r="E95" s="6"/>
      <c r="F95" s="6"/>
      <c r="G95" s="6"/>
      <c r="H95" s="6"/>
      <c r="I95" s="6"/>
      <c r="J95" s="213"/>
      <c r="K95" s="213"/>
      <c r="L95" s="213"/>
      <c r="M95" s="213"/>
      <c r="N95" s="213"/>
      <c r="O95" s="213"/>
      <c r="P95" s="213"/>
      <c r="Q95" s="213"/>
      <c r="R95" s="213"/>
      <c r="S95" s="213"/>
      <c r="T95" s="213"/>
      <c r="U95" s="213"/>
    </row>
    <row r="96" spans="1:21" ht="15.75" customHeight="1" x14ac:dyDescent="0.2">
      <c r="A96" s="6"/>
      <c r="B96" s="6"/>
      <c r="C96" s="6"/>
      <c r="D96" s="6"/>
      <c r="E96" s="6"/>
      <c r="F96" s="6"/>
      <c r="G96" s="6"/>
      <c r="H96" s="6"/>
      <c r="I96" s="6"/>
      <c r="J96" s="213"/>
      <c r="K96" s="213"/>
      <c r="L96" s="213"/>
      <c r="M96" s="213"/>
      <c r="N96" s="213"/>
      <c r="O96" s="213"/>
      <c r="P96" s="213"/>
      <c r="Q96" s="213"/>
      <c r="R96" s="213"/>
      <c r="S96" s="213"/>
      <c r="T96" s="213"/>
      <c r="U96" s="213"/>
    </row>
    <row r="97" spans="1:21" ht="15.75" customHeight="1" x14ac:dyDescent="0.2">
      <c r="A97" s="6"/>
      <c r="B97" s="6"/>
      <c r="C97" s="6"/>
      <c r="D97" s="6"/>
      <c r="E97" s="6"/>
      <c r="F97" s="6"/>
      <c r="G97" s="6"/>
      <c r="H97" s="6"/>
      <c r="I97" s="6"/>
      <c r="J97" s="213"/>
      <c r="K97" s="213"/>
      <c r="L97" s="213"/>
      <c r="M97" s="213"/>
      <c r="N97" s="213"/>
      <c r="O97" s="213"/>
      <c r="P97" s="213"/>
      <c r="Q97" s="213"/>
      <c r="R97" s="213"/>
      <c r="S97" s="213"/>
      <c r="T97" s="213"/>
      <c r="U97" s="213"/>
    </row>
    <row r="98" spans="1:21" ht="15.75" customHeight="1" x14ac:dyDescent="0.2">
      <c r="A98" s="6"/>
      <c r="B98" s="6"/>
      <c r="C98" s="6"/>
      <c r="D98" s="6"/>
      <c r="E98" s="6"/>
      <c r="F98" s="6"/>
      <c r="G98" s="6"/>
      <c r="H98" s="6"/>
      <c r="I98" s="6"/>
      <c r="J98" s="213"/>
      <c r="K98" s="213"/>
      <c r="L98" s="213"/>
      <c r="M98" s="213"/>
      <c r="N98" s="213"/>
      <c r="O98" s="213"/>
      <c r="P98" s="213"/>
      <c r="Q98" s="213"/>
      <c r="R98" s="213"/>
      <c r="S98" s="213"/>
      <c r="T98" s="213"/>
      <c r="U98" s="213"/>
    </row>
    <row r="99" spans="1:21" ht="15.75" customHeight="1" x14ac:dyDescent="0.2">
      <c r="A99" s="6"/>
      <c r="B99" s="6"/>
      <c r="C99" s="6"/>
      <c r="D99" s="6"/>
      <c r="E99" s="6"/>
      <c r="F99" s="6"/>
      <c r="G99" s="6"/>
      <c r="H99" s="6"/>
      <c r="I99" s="6"/>
      <c r="J99" s="213"/>
      <c r="K99" s="213"/>
      <c r="L99" s="213"/>
      <c r="M99" s="213"/>
      <c r="N99" s="213"/>
      <c r="O99" s="213"/>
      <c r="P99" s="213"/>
      <c r="Q99" s="213"/>
      <c r="R99" s="213"/>
      <c r="S99" s="213"/>
      <c r="T99" s="213"/>
      <c r="U99" s="213"/>
    </row>
    <row r="100" spans="1:21" ht="15.75" customHeight="1" x14ac:dyDescent="0.2">
      <c r="A100" s="6"/>
      <c r="B100" s="6"/>
      <c r="C100" s="6"/>
      <c r="D100" s="6"/>
      <c r="E100" s="6"/>
      <c r="F100" s="6"/>
      <c r="G100" s="6"/>
      <c r="H100" s="6"/>
      <c r="I100" s="6"/>
      <c r="J100" s="213"/>
      <c r="K100" s="213"/>
      <c r="L100" s="213"/>
      <c r="M100" s="213"/>
      <c r="N100" s="213"/>
      <c r="O100" s="213"/>
      <c r="P100" s="213"/>
      <c r="Q100" s="213"/>
      <c r="R100" s="213"/>
      <c r="S100" s="213"/>
      <c r="T100" s="213"/>
      <c r="U100" s="213"/>
    </row>
    <row r="101" spans="1:21" ht="15.75" customHeight="1" x14ac:dyDescent="0.2">
      <c r="A101" s="6"/>
      <c r="B101" s="6"/>
      <c r="C101" s="6"/>
      <c r="D101" s="6"/>
      <c r="E101" s="6"/>
      <c r="F101" s="6"/>
      <c r="G101" s="6"/>
      <c r="H101" s="6"/>
      <c r="I101" s="6"/>
      <c r="J101" s="213"/>
      <c r="K101" s="213"/>
      <c r="L101" s="213"/>
      <c r="M101" s="213"/>
      <c r="N101" s="213"/>
      <c r="O101" s="213"/>
      <c r="P101" s="213"/>
      <c r="Q101" s="213"/>
      <c r="R101" s="213"/>
      <c r="S101" s="213"/>
      <c r="T101" s="213"/>
      <c r="U101" s="213"/>
    </row>
    <row r="102" spans="1:21" ht="15.75" customHeight="1" x14ac:dyDescent="0.2">
      <c r="A102" s="6"/>
      <c r="B102" s="6"/>
      <c r="C102" s="6"/>
      <c r="D102" s="6"/>
      <c r="E102" s="6"/>
      <c r="F102" s="6"/>
      <c r="G102" s="6"/>
      <c r="H102" s="6"/>
      <c r="I102" s="6"/>
      <c r="J102" s="213"/>
      <c r="K102" s="213"/>
      <c r="L102" s="213"/>
      <c r="M102" s="213"/>
      <c r="N102" s="213"/>
      <c r="O102" s="213"/>
      <c r="P102" s="213"/>
      <c r="Q102" s="213"/>
      <c r="R102" s="213"/>
      <c r="S102" s="213"/>
      <c r="T102" s="213"/>
      <c r="U102" s="213"/>
    </row>
    <row r="103" spans="1:21" ht="15.75" customHeight="1" x14ac:dyDescent="0.2">
      <c r="A103" s="6"/>
      <c r="B103" s="6"/>
      <c r="C103" s="6"/>
      <c r="D103" s="6"/>
      <c r="E103" s="6"/>
      <c r="F103" s="6"/>
      <c r="G103" s="6"/>
      <c r="H103" s="6"/>
      <c r="I103" s="6"/>
      <c r="J103" s="213"/>
      <c r="K103" s="213"/>
      <c r="L103" s="213"/>
      <c r="M103" s="213"/>
      <c r="N103" s="213"/>
      <c r="O103" s="213"/>
      <c r="P103" s="213"/>
      <c r="Q103" s="213"/>
      <c r="R103" s="213"/>
      <c r="S103" s="213"/>
      <c r="T103" s="213"/>
      <c r="U103" s="213"/>
    </row>
    <row r="104" spans="1:21" ht="15.75" customHeight="1" x14ac:dyDescent="0.2">
      <c r="A104" s="6"/>
      <c r="B104" s="6"/>
      <c r="C104" s="6"/>
      <c r="D104" s="6"/>
      <c r="E104" s="6"/>
      <c r="F104" s="6"/>
      <c r="G104" s="6"/>
      <c r="H104" s="6"/>
      <c r="I104" s="6"/>
      <c r="J104" s="213"/>
      <c r="K104" s="213"/>
      <c r="L104" s="213"/>
      <c r="M104" s="213"/>
      <c r="N104" s="213"/>
      <c r="O104" s="213"/>
      <c r="P104" s="213"/>
      <c r="Q104" s="213"/>
      <c r="R104" s="213"/>
      <c r="S104" s="213"/>
      <c r="T104" s="213"/>
      <c r="U104" s="213"/>
    </row>
    <row r="105" spans="1:21" ht="15.75" customHeight="1" x14ac:dyDescent="0.2">
      <c r="A105" s="6"/>
      <c r="B105" s="6"/>
      <c r="C105" s="6"/>
      <c r="D105" s="6"/>
      <c r="E105" s="6"/>
      <c r="F105" s="6"/>
      <c r="G105" s="6"/>
      <c r="H105" s="6"/>
      <c r="I105" s="6"/>
      <c r="J105" s="213"/>
      <c r="K105" s="213"/>
      <c r="L105" s="213"/>
      <c r="M105" s="213"/>
      <c r="N105" s="213"/>
      <c r="O105" s="213"/>
      <c r="P105" s="213"/>
      <c r="Q105" s="213"/>
      <c r="R105" s="213"/>
      <c r="S105" s="213"/>
      <c r="T105" s="213"/>
      <c r="U105" s="213"/>
    </row>
    <row r="106" spans="1:21" ht="15.75" customHeight="1" x14ac:dyDescent="0.2">
      <c r="A106" s="6"/>
      <c r="B106" s="6"/>
      <c r="C106" s="6"/>
      <c r="D106" s="6"/>
      <c r="E106" s="6"/>
      <c r="F106" s="6"/>
      <c r="G106" s="6"/>
      <c r="H106" s="6"/>
      <c r="I106" s="6"/>
      <c r="J106" s="213"/>
      <c r="K106" s="213"/>
      <c r="L106" s="213"/>
      <c r="M106" s="213"/>
      <c r="N106" s="213"/>
      <c r="O106" s="213"/>
      <c r="P106" s="213"/>
      <c r="Q106" s="213"/>
      <c r="R106" s="213"/>
      <c r="S106" s="213"/>
      <c r="T106" s="213"/>
      <c r="U106" s="213"/>
    </row>
    <row r="107" spans="1:21" ht="15.75" customHeight="1" x14ac:dyDescent="0.2">
      <c r="A107" s="6"/>
      <c r="B107" s="6"/>
      <c r="C107" s="6"/>
      <c r="D107" s="6"/>
      <c r="E107" s="6"/>
      <c r="F107" s="6"/>
      <c r="G107" s="6"/>
      <c r="H107" s="6"/>
      <c r="I107" s="6"/>
      <c r="J107" s="213"/>
      <c r="K107" s="213"/>
      <c r="L107" s="213"/>
      <c r="M107" s="213"/>
      <c r="N107" s="213"/>
      <c r="O107" s="213"/>
      <c r="P107" s="213"/>
      <c r="Q107" s="213"/>
      <c r="R107" s="213"/>
      <c r="S107" s="213"/>
      <c r="T107" s="213"/>
      <c r="U107" s="213"/>
    </row>
    <row r="108" spans="1:21" ht="15.75" customHeight="1" x14ac:dyDescent="0.2">
      <c r="A108" s="6"/>
      <c r="B108" s="6"/>
      <c r="C108" s="6"/>
      <c r="D108" s="6"/>
      <c r="E108" s="6"/>
      <c r="F108" s="6"/>
      <c r="G108" s="6"/>
      <c r="H108" s="6"/>
      <c r="I108" s="6"/>
      <c r="J108" s="213"/>
      <c r="K108" s="213"/>
      <c r="L108" s="213"/>
      <c r="M108" s="213"/>
      <c r="N108" s="213"/>
      <c r="O108" s="213"/>
      <c r="P108" s="213"/>
      <c r="Q108" s="213"/>
      <c r="R108" s="213"/>
      <c r="S108" s="213"/>
      <c r="T108" s="213"/>
      <c r="U108" s="213"/>
    </row>
    <row r="109" spans="1:21" ht="15.75" customHeight="1" x14ac:dyDescent="0.2">
      <c r="A109" s="6"/>
      <c r="B109" s="6"/>
      <c r="C109" s="6"/>
      <c r="D109" s="6"/>
      <c r="E109" s="6"/>
      <c r="F109" s="6"/>
      <c r="G109" s="6"/>
      <c r="H109" s="6"/>
      <c r="I109" s="6"/>
      <c r="J109" s="213"/>
      <c r="K109" s="213"/>
      <c r="L109" s="213"/>
      <c r="M109" s="213"/>
      <c r="N109" s="213"/>
      <c r="O109" s="213"/>
      <c r="P109" s="213"/>
      <c r="Q109" s="213"/>
      <c r="R109" s="213"/>
      <c r="S109" s="213"/>
      <c r="T109" s="213"/>
      <c r="U109" s="213"/>
    </row>
    <row r="110" spans="1:21" ht="15.75" customHeight="1" x14ac:dyDescent="0.2">
      <c r="A110" s="6"/>
      <c r="B110" s="6"/>
      <c r="C110" s="6"/>
      <c r="D110" s="6"/>
      <c r="E110" s="6"/>
      <c r="F110" s="6"/>
      <c r="G110" s="6"/>
      <c r="H110" s="6"/>
      <c r="I110" s="6"/>
      <c r="J110" s="213"/>
      <c r="K110" s="213"/>
      <c r="L110" s="213"/>
      <c r="M110" s="213"/>
      <c r="N110" s="213"/>
      <c r="O110" s="213"/>
      <c r="P110" s="213"/>
      <c r="Q110" s="213"/>
      <c r="R110" s="213"/>
      <c r="S110" s="213"/>
      <c r="T110" s="213"/>
      <c r="U110" s="213"/>
    </row>
    <row r="111" spans="1:21" ht="15.75" customHeight="1" x14ac:dyDescent="0.2">
      <c r="A111" s="6"/>
      <c r="B111" s="6"/>
      <c r="C111" s="6"/>
      <c r="D111" s="6"/>
      <c r="E111" s="6"/>
      <c r="F111" s="6"/>
      <c r="G111" s="6"/>
      <c r="H111" s="6"/>
      <c r="I111" s="6"/>
      <c r="J111" s="213"/>
      <c r="K111" s="213"/>
      <c r="L111" s="213"/>
      <c r="M111" s="213"/>
      <c r="N111" s="213"/>
      <c r="O111" s="213"/>
      <c r="P111" s="213"/>
      <c r="Q111" s="213"/>
      <c r="R111" s="213"/>
      <c r="S111" s="213"/>
      <c r="T111" s="213"/>
      <c r="U111" s="213"/>
    </row>
    <row r="112" spans="1:21" ht="15.75" customHeight="1" x14ac:dyDescent="0.2">
      <c r="A112" s="6"/>
      <c r="B112" s="6"/>
      <c r="C112" s="6"/>
      <c r="D112" s="6"/>
      <c r="E112" s="6"/>
      <c r="F112" s="6"/>
      <c r="G112" s="6"/>
      <c r="H112" s="6"/>
      <c r="I112" s="6"/>
      <c r="J112" s="213"/>
      <c r="K112" s="213"/>
      <c r="L112" s="213"/>
      <c r="M112" s="213"/>
      <c r="N112" s="213"/>
      <c r="O112" s="213"/>
      <c r="P112" s="213"/>
      <c r="Q112" s="213"/>
      <c r="R112" s="213"/>
      <c r="S112" s="213"/>
      <c r="T112" s="213"/>
      <c r="U112" s="213"/>
    </row>
    <row r="113" spans="1:21" ht="15.75" customHeight="1" x14ac:dyDescent="0.2">
      <c r="A113" s="6"/>
      <c r="B113" s="6"/>
      <c r="C113" s="6"/>
      <c r="D113" s="6"/>
      <c r="E113" s="6"/>
      <c r="F113" s="6"/>
      <c r="G113" s="6"/>
      <c r="H113" s="6"/>
      <c r="I113" s="6"/>
      <c r="J113" s="213"/>
      <c r="K113" s="213"/>
      <c r="L113" s="213"/>
      <c r="M113" s="213"/>
      <c r="N113" s="213"/>
      <c r="O113" s="213"/>
      <c r="P113" s="213"/>
      <c r="Q113" s="213"/>
      <c r="R113" s="213"/>
      <c r="S113" s="213"/>
      <c r="T113" s="213"/>
      <c r="U113" s="213"/>
    </row>
    <row r="114" spans="1:21" ht="15.75" customHeight="1" x14ac:dyDescent="0.2">
      <c r="A114" s="6"/>
      <c r="B114" s="6"/>
      <c r="C114" s="6"/>
      <c r="D114" s="6"/>
      <c r="E114" s="6"/>
      <c r="F114" s="6"/>
      <c r="G114" s="6"/>
      <c r="H114" s="6"/>
      <c r="I114" s="6"/>
      <c r="J114" s="213"/>
      <c r="K114" s="213"/>
      <c r="L114" s="213"/>
      <c r="M114" s="213"/>
      <c r="N114" s="213"/>
      <c r="O114" s="213"/>
      <c r="P114" s="213"/>
      <c r="Q114" s="213"/>
      <c r="R114" s="213"/>
      <c r="S114" s="213"/>
      <c r="T114" s="213"/>
      <c r="U114" s="213"/>
    </row>
    <row r="115" spans="1:21" ht="15.75" customHeight="1" x14ac:dyDescent="0.2">
      <c r="A115" s="6"/>
      <c r="B115" s="6"/>
      <c r="C115" s="6"/>
      <c r="D115" s="6"/>
      <c r="E115" s="6"/>
      <c r="F115" s="6"/>
      <c r="G115" s="6"/>
      <c r="H115" s="6"/>
      <c r="I115" s="6"/>
      <c r="J115" s="213"/>
      <c r="K115" s="213"/>
      <c r="L115" s="213"/>
      <c r="M115" s="213"/>
      <c r="N115" s="213"/>
      <c r="O115" s="213"/>
      <c r="P115" s="213"/>
      <c r="Q115" s="213"/>
      <c r="R115" s="213"/>
      <c r="S115" s="213"/>
      <c r="T115" s="213"/>
      <c r="U115" s="213"/>
    </row>
    <row r="116" spans="1:21" ht="15.75" customHeight="1" x14ac:dyDescent="0.2">
      <c r="A116" s="6"/>
      <c r="B116" s="6"/>
      <c r="C116" s="6"/>
      <c r="D116" s="6"/>
      <c r="E116" s="6"/>
      <c r="F116" s="6"/>
      <c r="G116" s="6"/>
      <c r="H116" s="6"/>
      <c r="I116" s="6"/>
      <c r="J116" s="213"/>
      <c r="K116" s="213"/>
      <c r="L116" s="213"/>
      <c r="M116" s="213"/>
      <c r="N116" s="213"/>
      <c r="O116" s="213"/>
      <c r="P116" s="213"/>
      <c r="Q116" s="213"/>
      <c r="R116" s="213"/>
      <c r="S116" s="213"/>
      <c r="T116" s="213"/>
      <c r="U116" s="213"/>
    </row>
    <row r="117" spans="1:21" ht="15.75" customHeight="1" x14ac:dyDescent="0.2">
      <c r="A117" s="6"/>
      <c r="B117" s="6"/>
      <c r="C117" s="6"/>
      <c r="D117" s="6"/>
      <c r="E117" s="6"/>
      <c r="F117" s="6"/>
      <c r="G117" s="6"/>
      <c r="H117" s="6"/>
      <c r="I117" s="6"/>
      <c r="J117" s="213"/>
      <c r="K117" s="213"/>
      <c r="L117" s="213"/>
      <c r="M117" s="213"/>
      <c r="N117" s="213"/>
      <c r="O117" s="213"/>
      <c r="P117" s="213"/>
      <c r="Q117" s="213"/>
      <c r="R117" s="213"/>
      <c r="S117" s="213"/>
      <c r="T117" s="213"/>
      <c r="U117" s="213"/>
    </row>
    <row r="118" spans="1:21" ht="15.75" customHeight="1" x14ac:dyDescent="0.2">
      <c r="A118" s="6"/>
      <c r="B118" s="6"/>
      <c r="C118" s="6"/>
      <c r="D118" s="6"/>
      <c r="E118" s="6"/>
      <c r="F118" s="6"/>
      <c r="G118" s="6"/>
      <c r="H118" s="6"/>
      <c r="I118" s="6"/>
      <c r="J118" s="213"/>
      <c r="K118" s="213"/>
      <c r="L118" s="213"/>
      <c r="M118" s="213"/>
      <c r="N118" s="213"/>
      <c r="O118" s="213"/>
      <c r="P118" s="213"/>
      <c r="Q118" s="213"/>
      <c r="R118" s="213"/>
      <c r="S118" s="213"/>
      <c r="T118" s="213"/>
      <c r="U118" s="213"/>
    </row>
    <row r="119" spans="1:21" ht="15.75" customHeight="1" x14ac:dyDescent="0.2">
      <c r="A119" s="6"/>
      <c r="B119" s="6"/>
      <c r="C119" s="6"/>
      <c r="D119" s="6"/>
      <c r="E119" s="6"/>
      <c r="F119" s="6"/>
      <c r="G119" s="6"/>
      <c r="H119" s="6"/>
      <c r="I119" s="6"/>
      <c r="J119" s="213"/>
      <c r="K119" s="213"/>
      <c r="L119" s="213"/>
      <c r="M119" s="213"/>
      <c r="N119" s="213"/>
      <c r="O119" s="213"/>
      <c r="P119" s="213"/>
      <c r="Q119" s="213"/>
      <c r="R119" s="213"/>
      <c r="S119" s="213"/>
      <c r="T119" s="213"/>
      <c r="U119" s="213"/>
    </row>
    <row r="120" spans="1:21" ht="15.75" customHeight="1" x14ac:dyDescent="0.2">
      <c r="A120" s="6"/>
      <c r="B120" s="6"/>
      <c r="C120" s="6"/>
      <c r="D120" s="6"/>
      <c r="E120" s="6"/>
      <c r="F120" s="6"/>
      <c r="G120" s="6"/>
      <c r="H120" s="6"/>
      <c r="I120" s="6"/>
      <c r="J120" s="213"/>
      <c r="K120" s="213"/>
      <c r="L120" s="213"/>
      <c r="M120" s="213"/>
      <c r="N120" s="213"/>
      <c r="O120" s="213"/>
      <c r="P120" s="213"/>
      <c r="Q120" s="213"/>
      <c r="R120" s="213"/>
      <c r="S120" s="213"/>
      <c r="T120" s="213"/>
      <c r="U120" s="213"/>
    </row>
    <row r="121" spans="1:21" ht="15.75" customHeight="1" x14ac:dyDescent="0.2">
      <c r="A121" s="6"/>
      <c r="B121" s="6"/>
      <c r="C121" s="6"/>
      <c r="D121" s="6"/>
      <c r="E121" s="6"/>
      <c r="F121" s="6"/>
      <c r="G121" s="6"/>
      <c r="H121" s="6"/>
      <c r="I121" s="6"/>
      <c r="J121" s="213"/>
      <c r="K121" s="213"/>
      <c r="L121" s="213"/>
      <c r="M121" s="213"/>
      <c r="N121" s="213"/>
      <c r="O121" s="213"/>
      <c r="P121" s="213"/>
      <c r="Q121" s="213"/>
      <c r="R121" s="213"/>
      <c r="S121" s="213"/>
      <c r="T121" s="213"/>
      <c r="U121" s="213"/>
    </row>
    <row r="122" spans="1:21" ht="15.75" customHeight="1" x14ac:dyDescent="0.2">
      <c r="A122" s="6"/>
      <c r="B122" s="6"/>
      <c r="C122" s="6"/>
      <c r="D122" s="6"/>
      <c r="E122" s="6"/>
      <c r="F122" s="6"/>
      <c r="G122" s="6"/>
      <c r="H122" s="6"/>
      <c r="I122" s="6"/>
      <c r="J122" s="213"/>
      <c r="K122" s="213"/>
      <c r="L122" s="213"/>
      <c r="M122" s="213"/>
      <c r="N122" s="213"/>
      <c r="O122" s="213"/>
      <c r="P122" s="213"/>
      <c r="Q122" s="213"/>
      <c r="R122" s="213"/>
      <c r="S122" s="213"/>
      <c r="T122" s="213"/>
      <c r="U122" s="213"/>
    </row>
    <row r="123" spans="1:21" ht="15.75" customHeight="1" x14ac:dyDescent="0.2">
      <c r="A123" s="6"/>
      <c r="B123" s="6"/>
      <c r="C123" s="6"/>
      <c r="D123" s="6"/>
      <c r="E123" s="6"/>
      <c r="F123" s="6"/>
      <c r="G123" s="6"/>
      <c r="H123" s="6"/>
      <c r="I123" s="6"/>
      <c r="J123" s="213"/>
      <c r="K123" s="213"/>
      <c r="L123" s="213"/>
      <c r="M123" s="213"/>
      <c r="N123" s="213"/>
      <c r="O123" s="213"/>
      <c r="P123" s="213"/>
      <c r="Q123" s="213"/>
      <c r="R123" s="213"/>
      <c r="S123" s="213"/>
      <c r="T123" s="213"/>
      <c r="U123" s="213"/>
    </row>
    <row r="124" spans="1:21" ht="15.75" customHeight="1" x14ac:dyDescent="0.2">
      <c r="A124" s="6"/>
      <c r="B124" s="6"/>
      <c r="C124" s="6"/>
      <c r="D124" s="6"/>
      <c r="E124" s="6"/>
      <c r="F124" s="6"/>
      <c r="G124" s="6"/>
      <c r="H124" s="6"/>
      <c r="I124" s="6"/>
      <c r="J124" s="213"/>
      <c r="K124" s="213"/>
      <c r="L124" s="213"/>
      <c r="M124" s="213"/>
      <c r="N124" s="213"/>
      <c r="O124" s="213"/>
      <c r="P124" s="213"/>
      <c r="Q124" s="213"/>
      <c r="R124" s="213"/>
      <c r="S124" s="213"/>
      <c r="T124" s="213"/>
      <c r="U124" s="213"/>
    </row>
    <row r="125" spans="1:21" ht="15.75" customHeight="1" x14ac:dyDescent="0.2">
      <c r="A125" s="6"/>
      <c r="B125" s="6"/>
      <c r="C125" s="6"/>
      <c r="D125" s="6"/>
      <c r="E125" s="6"/>
      <c r="F125" s="6"/>
      <c r="G125" s="6"/>
      <c r="H125" s="6"/>
      <c r="I125" s="6"/>
      <c r="J125" s="213"/>
      <c r="K125" s="213"/>
      <c r="L125" s="213"/>
      <c r="M125" s="213"/>
      <c r="N125" s="213"/>
      <c r="O125" s="213"/>
      <c r="P125" s="213"/>
      <c r="Q125" s="213"/>
      <c r="R125" s="213"/>
      <c r="S125" s="213"/>
      <c r="T125" s="213"/>
      <c r="U125" s="213"/>
    </row>
    <row r="126" spans="1:21" ht="15.75" customHeight="1" x14ac:dyDescent="0.2">
      <c r="A126" s="6"/>
      <c r="B126" s="6"/>
      <c r="C126" s="6"/>
      <c r="D126" s="6"/>
      <c r="E126" s="6"/>
      <c r="F126" s="6"/>
      <c r="G126" s="6"/>
      <c r="H126" s="6"/>
      <c r="I126" s="6"/>
      <c r="J126" s="213"/>
      <c r="K126" s="213"/>
      <c r="L126" s="213"/>
      <c r="M126" s="213"/>
      <c r="N126" s="213"/>
      <c r="O126" s="213"/>
      <c r="P126" s="213"/>
      <c r="Q126" s="213"/>
      <c r="R126" s="213"/>
      <c r="S126" s="213"/>
      <c r="T126" s="213"/>
      <c r="U126" s="213"/>
    </row>
    <row r="127" spans="1:21" ht="15.75" customHeight="1" x14ac:dyDescent="0.2">
      <c r="A127" s="6"/>
      <c r="B127" s="6"/>
      <c r="C127" s="6"/>
      <c r="D127" s="6"/>
      <c r="E127" s="6"/>
      <c r="F127" s="6"/>
      <c r="G127" s="6"/>
      <c r="H127" s="6"/>
      <c r="I127" s="6"/>
      <c r="J127" s="213"/>
      <c r="K127" s="213"/>
      <c r="L127" s="213"/>
      <c r="M127" s="213"/>
      <c r="N127" s="213"/>
      <c r="O127" s="213"/>
      <c r="P127" s="213"/>
      <c r="Q127" s="213"/>
      <c r="R127" s="213"/>
      <c r="S127" s="213"/>
      <c r="T127" s="213"/>
      <c r="U127" s="213"/>
    </row>
    <row r="128" spans="1:21" ht="15.75" customHeight="1" x14ac:dyDescent="0.2">
      <c r="A128" s="6"/>
      <c r="B128" s="6"/>
      <c r="C128" s="6"/>
      <c r="D128" s="6"/>
      <c r="E128" s="6"/>
      <c r="F128" s="6"/>
      <c r="G128" s="6"/>
      <c r="H128" s="6"/>
      <c r="I128" s="6"/>
      <c r="J128" s="213"/>
      <c r="K128" s="213"/>
      <c r="L128" s="213"/>
      <c r="M128" s="213"/>
      <c r="N128" s="213"/>
      <c r="O128" s="213"/>
      <c r="P128" s="213"/>
      <c r="Q128" s="213"/>
      <c r="R128" s="213"/>
      <c r="S128" s="213"/>
      <c r="T128" s="213"/>
      <c r="U128" s="213"/>
    </row>
    <row r="129" spans="1:21" ht="15.75" customHeight="1" x14ac:dyDescent="0.2">
      <c r="A129" s="6"/>
      <c r="B129" s="6"/>
      <c r="C129" s="6"/>
      <c r="D129" s="6"/>
      <c r="E129" s="6"/>
      <c r="F129" s="6"/>
      <c r="G129" s="6"/>
      <c r="H129" s="6"/>
      <c r="I129" s="6"/>
      <c r="J129" s="213"/>
      <c r="K129" s="213"/>
      <c r="L129" s="213"/>
      <c r="M129" s="213"/>
      <c r="N129" s="213"/>
      <c r="O129" s="213"/>
      <c r="P129" s="213"/>
      <c r="Q129" s="213"/>
      <c r="R129" s="213"/>
      <c r="S129" s="213"/>
      <c r="T129" s="213"/>
      <c r="U129" s="213"/>
    </row>
    <row r="130" spans="1:21" ht="15.75" customHeight="1" x14ac:dyDescent="0.2">
      <c r="A130" s="6"/>
      <c r="B130" s="6"/>
      <c r="C130" s="6"/>
      <c r="D130" s="6"/>
      <c r="E130" s="6"/>
      <c r="F130" s="6"/>
      <c r="G130" s="6"/>
      <c r="H130" s="6"/>
      <c r="I130" s="6"/>
      <c r="J130" s="213"/>
      <c r="K130" s="213"/>
      <c r="L130" s="213"/>
      <c r="M130" s="213"/>
      <c r="N130" s="213"/>
      <c r="O130" s="213"/>
      <c r="P130" s="213"/>
      <c r="Q130" s="213"/>
      <c r="R130" s="213"/>
      <c r="S130" s="213"/>
      <c r="T130" s="213"/>
      <c r="U130" s="213"/>
    </row>
    <row r="131" spans="1:21" ht="15.75" customHeight="1" x14ac:dyDescent="0.2">
      <c r="A131" s="6"/>
      <c r="B131" s="6"/>
      <c r="C131" s="6"/>
      <c r="D131" s="6"/>
      <c r="E131" s="6"/>
      <c r="F131" s="6"/>
      <c r="G131" s="6"/>
      <c r="H131" s="6"/>
      <c r="I131" s="6"/>
      <c r="J131" s="213"/>
      <c r="K131" s="213"/>
      <c r="L131" s="213"/>
      <c r="M131" s="213"/>
      <c r="N131" s="213"/>
      <c r="O131" s="213"/>
      <c r="P131" s="213"/>
      <c r="Q131" s="213"/>
      <c r="R131" s="213"/>
      <c r="S131" s="213"/>
      <c r="T131" s="213"/>
      <c r="U131" s="213"/>
    </row>
    <row r="132" spans="1:21" ht="15.75" customHeight="1" x14ac:dyDescent="0.2">
      <c r="A132" s="6"/>
      <c r="B132" s="6"/>
      <c r="C132" s="6"/>
      <c r="D132" s="6"/>
      <c r="E132" s="6"/>
      <c r="F132" s="6"/>
      <c r="G132" s="6"/>
      <c r="H132" s="6"/>
      <c r="I132" s="6"/>
      <c r="J132" s="213"/>
      <c r="K132" s="213"/>
      <c r="L132" s="213"/>
      <c r="M132" s="213"/>
      <c r="N132" s="213"/>
      <c r="O132" s="213"/>
      <c r="P132" s="213"/>
      <c r="Q132" s="213"/>
      <c r="R132" s="213"/>
      <c r="S132" s="213"/>
      <c r="T132" s="213"/>
      <c r="U132" s="213"/>
    </row>
    <row r="133" spans="1:21" ht="15.75" customHeight="1" x14ac:dyDescent="0.2">
      <c r="A133" s="6"/>
      <c r="B133" s="6"/>
      <c r="C133" s="6"/>
      <c r="D133" s="6"/>
      <c r="E133" s="6"/>
      <c r="F133" s="6"/>
      <c r="G133" s="6"/>
      <c r="H133" s="6"/>
      <c r="I133" s="6"/>
      <c r="J133" s="213"/>
      <c r="K133" s="213"/>
      <c r="L133" s="213"/>
      <c r="M133" s="213"/>
      <c r="N133" s="213"/>
      <c r="O133" s="213"/>
      <c r="P133" s="213"/>
      <c r="Q133" s="213"/>
      <c r="R133" s="213"/>
      <c r="S133" s="213"/>
      <c r="T133" s="213"/>
      <c r="U133" s="213"/>
    </row>
    <row r="134" spans="1:21" ht="15.75" customHeight="1" x14ac:dyDescent="0.2">
      <c r="A134" s="6"/>
      <c r="B134" s="6"/>
      <c r="C134" s="6"/>
      <c r="D134" s="6"/>
      <c r="E134" s="6"/>
      <c r="F134" s="6"/>
      <c r="G134" s="6"/>
      <c r="H134" s="6"/>
      <c r="I134" s="6"/>
      <c r="J134" s="213"/>
      <c r="K134" s="213"/>
      <c r="L134" s="213"/>
      <c r="M134" s="213"/>
      <c r="N134" s="213"/>
      <c r="O134" s="213"/>
      <c r="P134" s="213"/>
      <c r="Q134" s="213"/>
      <c r="R134" s="213"/>
      <c r="S134" s="213"/>
      <c r="T134" s="213"/>
      <c r="U134" s="213"/>
    </row>
    <row r="135" spans="1:21" ht="15.75" customHeight="1" x14ac:dyDescent="0.2">
      <c r="A135" s="6"/>
      <c r="B135" s="6"/>
      <c r="C135" s="6"/>
      <c r="D135" s="6"/>
      <c r="E135" s="6"/>
      <c r="F135" s="6"/>
      <c r="G135" s="6"/>
      <c r="H135" s="6"/>
      <c r="I135" s="6"/>
      <c r="J135" s="213"/>
      <c r="K135" s="213"/>
      <c r="L135" s="213"/>
      <c r="M135" s="213"/>
      <c r="N135" s="213"/>
      <c r="O135" s="213"/>
      <c r="P135" s="213"/>
      <c r="Q135" s="213"/>
      <c r="R135" s="213"/>
      <c r="S135" s="213"/>
      <c r="T135" s="213"/>
      <c r="U135" s="213"/>
    </row>
    <row r="136" spans="1:21" ht="15.75" customHeight="1" x14ac:dyDescent="0.2">
      <c r="A136" s="6"/>
      <c r="B136" s="6"/>
      <c r="C136" s="6"/>
      <c r="D136" s="6"/>
      <c r="E136" s="6"/>
      <c r="F136" s="6"/>
      <c r="G136" s="6"/>
      <c r="H136" s="6"/>
      <c r="I136" s="6"/>
      <c r="J136" s="213"/>
      <c r="K136" s="213"/>
      <c r="L136" s="213"/>
      <c r="M136" s="213"/>
      <c r="N136" s="213"/>
      <c r="O136" s="213"/>
      <c r="P136" s="213"/>
      <c r="Q136" s="213"/>
      <c r="R136" s="213"/>
      <c r="S136" s="213"/>
      <c r="T136" s="213"/>
      <c r="U136" s="213"/>
    </row>
    <row r="137" spans="1:21" ht="15.75" customHeight="1" x14ac:dyDescent="0.2">
      <c r="A137" s="6"/>
      <c r="B137" s="6"/>
      <c r="C137" s="6"/>
      <c r="D137" s="6"/>
      <c r="E137" s="6"/>
      <c r="F137" s="6"/>
      <c r="G137" s="6"/>
      <c r="H137" s="6"/>
      <c r="I137" s="6"/>
      <c r="J137" s="213"/>
      <c r="K137" s="213"/>
      <c r="L137" s="213"/>
      <c r="M137" s="213"/>
      <c r="N137" s="213"/>
      <c r="O137" s="213"/>
      <c r="P137" s="213"/>
      <c r="Q137" s="213"/>
      <c r="R137" s="213"/>
      <c r="S137" s="213"/>
      <c r="T137" s="213"/>
      <c r="U137" s="213"/>
    </row>
    <row r="138" spans="1:21" ht="15.75" customHeight="1" x14ac:dyDescent="0.2">
      <c r="A138" s="6"/>
      <c r="B138" s="6"/>
      <c r="C138" s="6"/>
      <c r="D138" s="6"/>
      <c r="E138" s="6"/>
      <c r="F138" s="6"/>
      <c r="G138" s="6"/>
      <c r="H138" s="6"/>
      <c r="I138" s="6"/>
      <c r="J138" s="213"/>
      <c r="K138" s="213"/>
      <c r="L138" s="213"/>
      <c r="M138" s="213"/>
      <c r="N138" s="213"/>
      <c r="O138" s="213"/>
      <c r="P138" s="213"/>
      <c r="Q138" s="213"/>
      <c r="R138" s="213"/>
      <c r="S138" s="213"/>
      <c r="T138" s="213"/>
      <c r="U138" s="213"/>
    </row>
    <row r="139" spans="1:21" ht="15.75" customHeight="1" x14ac:dyDescent="0.2">
      <c r="A139" s="6"/>
      <c r="B139" s="6"/>
      <c r="C139" s="6"/>
      <c r="D139" s="6"/>
      <c r="E139" s="6"/>
      <c r="F139" s="6"/>
      <c r="G139" s="6"/>
      <c r="H139" s="6"/>
      <c r="I139" s="6"/>
      <c r="J139" s="213"/>
      <c r="K139" s="213"/>
      <c r="L139" s="213"/>
      <c r="M139" s="213"/>
      <c r="N139" s="213"/>
      <c r="O139" s="213"/>
      <c r="P139" s="213"/>
      <c r="Q139" s="213"/>
      <c r="R139" s="213"/>
      <c r="S139" s="213"/>
      <c r="T139" s="213"/>
      <c r="U139" s="213"/>
    </row>
    <row r="140" spans="1:21" ht="15.75" customHeight="1" x14ac:dyDescent="0.2">
      <c r="A140" s="6"/>
      <c r="B140" s="6"/>
      <c r="C140" s="6"/>
      <c r="D140" s="6"/>
      <c r="E140" s="6"/>
      <c r="F140" s="6"/>
      <c r="G140" s="6"/>
      <c r="H140" s="6"/>
      <c r="I140" s="6"/>
      <c r="J140" s="213"/>
      <c r="K140" s="213"/>
      <c r="L140" s="213"/>
      <c r="M140" s="213"/>
      <c r="N140" s="213"/>
      <c r="O140" s="213"/>
      <c r="P140" s="213"/>
      <c r="Q140" s="213"/>
      <c r="R140" s="213"/>
      <c r="S140" s="213"/>
      <c r="T140" s="213"/>
      <c r="U140" s="213"/>
    </row>
    <row r="141" spans="1:21" ht="15.75" customHeight="1" x14ac:dyDescent="0.2">
      <c r="A141" s="6"/>
      <c r="B141" s="6"/>
      <c r="C141" s="6"/>
      <c r="D141" s="6"/>
      <c r="E141" s="6"/>
      <c r="F141" s="6"/>
      <c r="G141" s="6"/>
      <c r="H141" s="6"/>
      <c r="I141" s="6"/>
      <c r="J141" s="213"/>
      <c r="K141" s="213"/>
      <c r="L141" s="213"/>
      <c r="M141" s="213"/>
      <c r="N141" s="213"/>
      <c r="O141" s="213"/>
      <c r="P141" s="213"/>
      <c r="Q141" s="213"/>
      <c r="R141" s="213"/>
      <c r="S141" s="213"/>
      <c r="T141" s="213"/>
      <c r="U141" s="213"/>
    </row>
    <row r="142" spans="1:21" ht="15.75" customHeight="1" x14ac:dyDescent="0.2">
      <c r="A142" s="6"/>
      <c r="B142" s="6"/>
      <c r="C142" s="6"/>
      <c r="D142" s="6"/>
      <c r="E142" s="6"/>
      <c r="F142" s="6"/>
      <c r="G142" s="6"/>
      <c r="H142" s="6"/>
      <c r="I142" s="6"/>
      <c r="J142" s="213"/>
      <c r="K142" s="213"/>
      <c r="L142" s="213"/>
      <c r="M142" s="213"/>
      <c r="N142" s="213"/>
      <c r="O142" s="213"/>
      <c r="P142" s="213"/>
      <c r="Q142" s="213"/>
      <c r="R142" s="213"/>
      <c r="S142" s="213"/>
      <c r="T142" s="213"/>
      <c r="U142" s="213"/>
    </row>
    <row r="143" spans="1:21" ht="15.75" customHeight="1" x14ac:dyDescent="0.2">
      <c r="A143" s="6"/>
      <c r="B143" s="6"/>
      <c r="C143" s="6"/>
      <c r="D143" s="6"/>
      <c r="E143" s="6"/>
      <c r="F143" s="6"/>
      <c r="G143" s="6"/>
      <c r="H143" s="6"/>
      <c r="I143" s="6"/>
      <c r="J143" s="213"/>
      <c r="K143" s="213"/>
      <c r="L143" s="213"/>
      <c r="M143" s="213"/>
      <c r="N143" s="213"/>
      <c r="O143" s="213"/>
      <c r="P143" s="213"/>
      <c r="Q143" s="213"/>
      <c r="R143" s="213"/>
      <c r="S143" s="213"/>
      <c r="T143" s="213"/>
      <c r="U143" s="213"/>
    </row>
    <row r="144" spans="1:21" ht="15.75" customHeight="1" x14ac:dyDescent="0.2">
      <c r="A144" s="6"/>
      <c r="B144" s="6"/>
      <c r="C144" s="6"/>
      <c r="D144" s="6"/>
      <c r="E144" s="6"/>
      <c r="F144" s="6"/>
      <c r="G144" s="6"/>
      <c r="H144" s="6"/>
      <c r="I144" s="6"/>
      <c r="J144" s="213"/>
      <c r="K144" s="213"/>
      <c r="L144" s="213"/>
      <c r="M144" s="213"/>
      <c r="N144" s="213"/>
      <c r="O144" s="213"/>
      <c r="P144" s="213"/>
      <c r="Q144" s="213"/>
      <c r="R144" s="213"/>
      <c r="S144" s="213"/>
      <c r="T144" s="213"/>
      <c r="U144" s="213"/>
    </row>
    <row r="145" spans="1:21" ht="15.75" customHeight="1" x14ac:dyDescent="0.2">
      <c r="A145" s="6"/>
      <c r="B145" s="6"/>
      <c r="C145" s="6"/>
      <c r="D145" s="6"/>
      <c r="E145" s="6"/>
      <c r="F145" s="6"/>
      <c r="G145" s="6"/>
      <c r="H145" s="6"/>
      <c r="I145" s="6"/>
      <c r="J145" s="213"/>
      <c r="K145" s="213"/>
      <c r="L145" s="213"/>
      <c r="M145" s="213"/>
      <c r="N145" s="213"/>
      <c r="O145" s="213"/>
      <c r="P145" s="213"/>
      <c r="Q145" s="213"/>
      <c r="R145" s="213"/>
      <c r="S145" s="213"/>
      <c r="T145" s="213"/>
      <c r="U145" s="213"/>
    </row>
    <row r="146" spans="1:21" ht="15.75" customHeight="1" x14ac:dyDescent="0.2">
      <c r="A146" s="6"/>
      <c r="B146" s="6"/>
      <c r="C146" s="6"/>
      <c r="D146" s="6"/>
      <c r="E146" s="6"/>
      <c r="F146" s="6"/>
      <c r="G146" s="6"/>
      <c r="H146" s="6"/>
      <c r="I146" s="6"/>
      <c r="J146" s="213"/>
      <c r="K146" s="213"/>
      <c r="L146" s="213"/>
      <c r="M146" s="213"/>
      <c r="N146" s="213"/>
      <c r="O146" s="213"/>
      <c r="P146" s="213"/>
      <c r="Q146" s="213"/>
      <c r="R146" s="213"/>
      <c r="S146" s="213"/>
      <c r="T146" s="213"/>
      <c r="U146" s="213"/>
    </row>
    <row r="147" spans="1:21" ht="15.75" customHeight="1" x14ac:dyDescent="0.2">
      <c r="A147" s="6"/>
      <c r="B147" s="6"/>
      <c r="C147" s="6"/>
      <c r="D147" s="6"/>
      <c r="E147" s="6"/>
      <c r="F147" s="6"/>
      <c r="G147" s="6"/>
      <c r="H147" s="6"/>
      <c r="I147" s="6"/>
      <c r="J147" s="213"/>
      <c r="K147" s="213"/>
      <c r="L147" s="213"/>
      <c r="M147" s="213"/>
      <c r="N147" s="213"/>
      <c r="O147" s="213"/>
      <c r="P147" s="213"/>
      <c r="Q147" s="213"/>
      <c r="R147" s="213"/>
      <c r="S147" s="213"/>
      <c r="T147" s="213"/>
      <c r="U147" s="213"/>
    </row>
    <row r="148" spans="1:21" ht="15.75" customHeight="1" x14ac:dyDescent="0.2">
      <c r="A148" s="6"/>
      <c r="B148" s="6"/>
      <c r="C148" s="6"/>
      <c r="D148" s="6"/>
      <c r="E148" s="6"/>
      <c r="F148" s="6"/>
      <c r="G148" s="6"/>
      <c r="H148" s="6"/>
      <c r="I148" s="6"/>
      <c r="J148" s="213"/>
      <c r="K148" s="213"/>
      <c r="L148" s="213"/>
      <c r="M148" s="213"/>
      <c r="N148" s="213"/>
      <c r="O148" s="213"/>
      <c r="P148" s="213"/>
      <c r="Q148" s="213"/>
      <c r="R148" s="213"/>
      <c r="S148" s="213"/>
      <c r="T148" s="213"/>
      <c r="U148" s="213"/>
    </row>
    <row r="149" spans="1:21" ht="15.75" customHeight="1" x14ac:dyDescent="0.2">
      <c r="A149" s="6"/>
      <c r="B149" s="6"/>
      <c r="C149" s="6"/>
      <c r="D149" s="6"/>
      <c r="E149" s="6"/>
      <c r="F149" s="6"/>
      <c r="G149" s="6"/>
      <c r="H149" s="6"/>
      <c r="I149" s="6"/>
      <c r="J149" s="213"/>
      <c r="K149" s="213"/>
      <c r="L149" s="213"/>
      <c r="M149" s="213"/>
      <c r="N149" s="213"/>
      <c r="O149" s="213"/>
      <c r="P149" s="213"/>
      <c r="Q149" s="213"/>
      <c r="R149" s="213"/>
      <c r="S149" s="213"/>
      <c r="T149" s="213"/>
      <c r="U149" s="213"/>
    </row>
    <row r="150" spans="1:21" ht="15.75" customHeight="1" x14ac:dyDescent="0.2">
      <c r="A150" s="6"/>
      <c r="B150" s="6"/>
      <c r="C150" s="6"/>
      <c r="D150" s="6"/>
      <c r="E150" s="6"/>
      <c r="F150" s="6"/>
      <c r="G150" s="6"/>
      <c r="H150" s="6"/>
      <c r="I150" s="6"/>
      <c r="J150" s="213"/>
      <c r="K150" s="213"/>
      <c r="L150" s="213"/>
      <c r="M150" s="213"/>
      <c r="N150" s="213"/>
      <c r="O150" s="213"/>
      <c r="P150" s="213"/>
      <c r="Q150" s="213"/>
      <c r="R150" s="213"/>
      <c r="S150" s="213"/>
      <c r="T150" s="213"/>
      <c r="U150" s="213"/>
    </row>
    <row r="151" spans="1:21" ht="15.75" customHeight="1" x14ac:dyDescent="0.2">
      <c r="A151" s="6"/>
      <c r="B151" s="6"/>
      <c r="C151" s="6"/>
      <c r="D151" s="6"/>
      <c r="E151" s="6"/>
      <c r="F151" s="6"/>
      <c r="G151" s="6"/>
      <c r="H151" s="6"/>
      <c r="I151" s="6"/>
      <c r="J151" s="213"/>
      <c r="K151" s="213"/>
      <c r="L151" s="213"/>
      <c r="M151" s="213"/>
      <c r="N151" s="213"/>
      <c r="O151" s="213"/>
      <c r="P151" s="213"/>
      <c r="Q151" s="213"/>
      <c r="R151" s="213"/>
      <c r="S151" s="213"/>
      <c r="T151" s="213"/>
      <c r="U151" s="213"/>
    </row>
    <row r="152" spans="1:21" ht="15.75" customHeight="1" x14ac:dyDescent="0.2">
      <c r="A152" s="6"/>
      <c r="B152" s="6"/>
      <c r="C152" s="6"/>
      <c r="D152" s="6"/>
      <c r="E152" s="6"/>
      <c r="F152" s="6"/>
      <c r="G152" s="6"/>
      <c r="H152" s="6"/>
      <c r="I152" s="6"/>
      <c r="J152" s="213"/>
      <c r="K152" s="213"/>
      <c r="L152" s="213"/>
      <c r="M152" s="213"/>
      <c r="N152" s="213"/>
      <c r="O152" s="213"/>
      <c r="P152" s="213"/>
      <c r="Q152" s="213"/>
      <c r="R152" s="213"/>
      <c r="S152" s="213"/>
      <c r="T152" s="213"/>
      <c r="U152" s="213"/>
    </row>
    <row r="153" spans="1:21" ht="15.75" customHeight="1" x14ac:dyDescent="0.2">
      <c r="A153" s="6"/>
      <c r="B153" s="6"/>
      <c r="C153" s="6"/>
      <c r="D153" s="6"/>
      <c r="E153" s="6"/>
      <c r="F153" s="6"/>
      <c r="G153" s="6"/>
      <c r="H153" s="6"/>
      <c r="I153" s="6"/>
      <c r="J153" s="213"/>
      <c r="K153" s="213"/>
      <c r="L153" s="213"/>
      <c r="M153" s="213"/>
      <c r="N153" s="213"/>
      <c r="O153" s="213"/>
      <c r="P153" s="213"/>
      <c r="Q153" s="213"/>
      <c r="R153" s="213"/>
      <c r="S153" s="213"/>
      <c r="T153" s="213"/>
      <c r="U153" s="213"/>
    </row>
    <row r="154" spans="1:21" ht="15.75" customHeight="1" x14ac:dyDescent="0.2">
      <c r="A154" s="6"/>
      <c r="B154" s="6"/>
      <c r="C154" s="6"/>
      <c r="D154" s="6"/>
      <c r="E154" s="6"/>
      <c r="F154" s="6"/>
      <c r="G154" s="6"/>
      <c r="H154" s="6"/>
      <c r="I154" s="6"/>
      <c r="J154" s="213"/>
      <c r="K154" s="213"/>
      <c r="L154" s="213"/>
      <c r="M154" s="213"/>
      <c r="N154" s="213"/>
      <c r="O154" s="213"/>
      <c r="P154" s="213"/>
      <c r="Q154" s="213"/>
      <c r="R154" s="213"/>
      <c r="S154" s="213"/>
      <c r="T154" s="213"/>
      <c r="U154" s="213"/>
    </row>
    <row r="155" spans="1:21" ht="15.75" customHeight="1" x14ac:dyDescent="0.2">
      <c r="A155" s="6"/>
      <c r="B155" s="6"/>
      <c r="C155" s="6"/>
      <c r="D155" s="6"/>
      <c r="E155" s="6"/>
      <c r="F155" s="6"/>
      <c r="G155" s="6"/>
      <c r="H155" s="6"/>
      <c r="I155" s="6"/>
      <c r="J155" s="213"/>
      <c r="K155" s="213"/>
      <c r="L155" s="213"/>
      <c r="M155" s="213"/>
      <c r="N155" s="213"/>
      <c r="O155" s="213"/>
      <c r="P155" s="213"/>
      <c r="Q155" s="213"/>
      <c r="R155" s="213"/>
      <c r="S155" s="213"/>
      <c r="T155" s="213"/>
      <c r="U155" s="213"/>
    </row>
    <row r="156" spans="1:21" ht="15.75" customHeight="1" x14ac:dyDescent="0.2">
      <c r="A156" s="6"/>
      <c r="B156" s="6"/>
      <c r="C156" s="6"/>
      <c r="D156" s="6"/>
      <c r="E156" s="6"/>
      <c r="F156" s="6"/>
      <c r="G156" s="6"/>
      <c r="H156" s="6"/>
      <c r="I156" s="6"/>
      <c r="J156" s="213"/>
      <c r="K156" s="213"/>
      <c r="L156" s="213"/>
      <c r="M156" s="213"/>
      <c r="N156" s="213"/>
      <c r="O156" s="213"/>
      <c r="P156" s="213"/>
      <c r="Q156" s="213"/>
      <c r="R156" s="213"/>
      <c r="S156" s="213"/>
      <c r="T156" s="213"/>
      <c r="U156" s="213"/>
    </row>
    <row r="157" spans="1:21" ht="15.75" customHeight="1" x14ac:dyDescent="0.2">
      <c r="A157" s="6"/>
      <c r="B157" s="6"/>
      <c r="C157" s="6"/>
      <c r="D157" s="6"/>
      <c r="E157" s="6"/>
      <c r="F157" s="6"/>
      <c r="G157" s="6"/>
      <c r="H157" s="6"/>
      <c r="I157" s="6"/>
      <c r="J157" s="213"/>
      <c r="K157" s="213"/>
      <c r="L157" s="213"/>
      <c r="M157" s="213"/>
      <c r="N157" s="213"/>
      <c r="O157" s="213"/>
      <c r="P157" s="213"/>
      <c r="Q157" s="213"/>
      <c r="R157" s="213"/>
      <c r="S157" s="213"/>
      <c r="T157" s="213"/>
      <c r="U157" s="213"/>
    </row>
    <row r="158" spans="1:21" ht="15.75" customHeight="1" x14ac:dyDescent="0.2">
      <c r="A158" s="6"/>
      <c r="B158" s="6"/>
      <c r="C158" s="6"/>
      <c r="D158" s="6"/>
      <c r="E158" s="6"/>
      <c r="F158" s="6"/>
      <c r="G158" s="6"/>
      <c r="H158" s="6"/>
      <c r="I158" s="6"/>
      <c r="J158" s="213"/>
      <c r="K158" s="213"/>
      <c r="L158" s="213"/>
      <c r="M158" s="213"/>
      <c r="N158" s="213"/>
      <c r="O158" s="213"/>
      <c r="P158" s="213"/>
      <c r="Q158" s="213"/>
      <c r="R158" s="213"/>
      <c r="S158" s="213"/>
      <c r="T158" s="213"/>
      <c r="U158" s="213"/>
    </row>
    <row r="159" spans="1:21" ht="15.75" customHeight="1" x14ac:dyDescent="0.2">
      <c r="A159" s="6"/>
      <c r="B159" s="6"/>
      <c r="C159" s="6"/>
      <c r="D159" s="6"/>
      <c r="E159" s="6"/>
      <c r="F159" s="6"/>
      <c r="G159" s="6"/>
      <c r="H159" s="6"/>
      <c r="I159" s="6"/>
      <c r="J159" s="213"/>
      <c r="K159" s="213"/>
      <c r="L159" s="213"/>
      <c r="M159" s="213"/>
      <c r="N159" s="213"/>
      <c r="O159" s="213"/>
      <c r="P159" s="213"/>
      <c r="Q159" s="213"/>
      <c r="R159" s="213"/>
      <c r="S159" s="213"/>
      <c r="T159" s="213"/>
      <c r="U159" s="213"/>
    </row>
    <row r="160" spans="1:21" ht="15.75" customHeight="1" x14ac:dyDescent="0.2">
      <c r="A160" s="6"/>
      <c r="B160" s="6"/>
      <c r="C160" s="6"/>
      <c r="D160" s="6"/>
      <c r="E160" s="6"/>
      <c r="F160" s="6"/>
      <c r="G160" s="6"/>
      <c r="H160" s="6"/>
      <c r="I160" s="6"/>
      <c r="J160" s="213"/>
      <c r="K160" s="213"/>
      <c r="L160" s="213"/>
      <c r="M160" s="213"/>
      <c r="N160" s="213"/>
      <c r="O160" s="213"/>
      <c r="P160" s="213"/>
      <c r="Q160" s="213"/>
      <c r="R160" s="213"/>
      <c r="S160" s="213"/>
      <c r="T160" s="213"/>
      <c r="U160" s="213"/>
    </row>
    <row r="161" spans="1:21" ht="15.75" customHeight="1" x14ac:dyDescent="0.2">
      <c r="A161" s="6"/>
      <c r="B161" s="6"/>
      <c r="C161" s="6"/>
      <c r="D161" s="6"/>
      <c r="E161" s="6"/>
      <c r="F161" s="6"/>
      <c r="G161" s="6"/>
      <c r="H161" s="6"/>
      <c r="I161" s="6"/>
      <c r="J161" s="213"/>
      <c r="K161" s="213"/>
      <c r="L161" s="213"/>
      <c r="M161" s="213"/>
      <c r="N161" s="213"/>
      <c r="O161" s="213"/>
      <c r="P161" s="213"/>
      <c r="Q161" s="213"/>
      <c r="R161" s="213"/>
      <c r="S161" s="213"/>
      <c r="T161" s="213"/>
      <c r="U161" s="213"/>
    </row>
    <row r="162" spans="1:21" ht="15.75" customHeight="1" x14ac:dyDescent="0.2">
      <c r="A162" s="6"/>
      <c r="B162" s="6"/>
      <c r="C162" s="6"/>
      <c r="D162" s="6"/>
      <c r="E162" s="6"/>
      <c r="F162" s="6"/>
      <c r="G162" s="6"/>
      <c r="H162" s="6"/>
      <c r="I162" s="6"/>
      <c r="J162" s="213"/>
      <c r="K162" s="213"/>
      <c r="L162" s="213"/>
      <c r="M162" s="213"/>
      <c r="N162" s="213"/>
      <c r="O162" s="213"/>
      <c r="P162" s="213"/>
      <c r="Q162" s="213"/>
      <c r="R162" s="213"/>
      <c r="S162" s="213"/>
      <c r="T162" s="213"/>
      <c r="U162" s="213"/>
    </row>
    <row r="163" spans="1:21" ht="15.75" customHeight="1" x14ac:dyDescent="0.2">
      <c r="A163" s="6"/>
      <c r="B163" s="6"/>
      <c r="C163" s="6"/>
      <c r="D163" s="6"/>
      <c r="E163" s="6"/>
      <c r="F163" s="6"/>
      <c r="G163" s="6"/>
      <c r="H163" s="6"/>
      <c r="I163" s="6"/>
      <c r="J163" s="213"/>
      <c r="K163" s="213"/>
      <c r="L163" s="213"/>
      <c r="M163" s="213"/>
      <c r="N163" s="213"/>
      <c r="O163" s="213"/>
      <c r="P163" s="213"/>
      <c r="Q163" s="213"/>
      <c r="R163" s="213"/>
      <c r="S163" s="213"/>
      <c r="T163" s="213"/>
      <c r="U163" s="213"/>
    </row>
    <row r="164" spans="1:21" ht="15.75" customHeight="1" x14ac:dyDescent="0.2">
      <c r="A164" s="6"/>
      <c r="B164" s="6"/>
      <c r="C164" s="6"/>
      <c r="D164" s="6"/>
      <c r="E164" s="6"/>
      <c r="F164" s="6"/>
      <c r="G164" s="6"/>
      <c r="H164" s="6"/>
      <c r="I164" s="6"/>
      <c r="J164" s="213"/>
      <c r="K164" s="213"/>
      <c r="L164" s="213"/>
      <c r="M164" s="213"/>
      <c r="N164" s="213"/>
      <c r="O164" s="213"/>
      <c r="P164" s="213"/>
      <c r="Q164" s="213"/>
      <c r="R164" s="213"/>
      <c r="S164" s="213"/>
      <c r="T164" s="213"/>
      <c r="U164" s="213"/>
    </row>
    <row r="165" spans="1:21" ht="15.75" customHeight="1" x14ac:dyDescent="0.2">
      <c r="A165" s="6"/>
      <c r="B165" s="6"/>
      <c r="C165" s="6"/>
      <c r="D165" s="6"/>
      <c r="E165" s="6"/>
      <c r="F165" s="6"/>
      <c r="G165" s="6"/>
      <c r="H165" s="6"/>
      <c r="I165" s="6"/>
      <c r="J165" s="213"/>
      <c r="K165" s="213"/>
      <c r="L165" s="213"/>
      <c r="M165" s="213"/>
      <c r="N165" s="213"/>
      <c r="O165" s="213"/>
      <c r="P165" s="213"/>
      <c r="Q165" s="213"/>
      <c r="R165" s="213"/>
      <c r="S165" s="213"/>
      <c r="T165" s="213"/>
      <c r="U165" s="213"/>
    </row>
    <row r="166" spans="1:21" ht="15.75" customHeight="1" x14ac:dyDescent="0.2">
      <c r="A166" s="6"/>
      <c r="B166" s="6"/>
      <c r="C166" s="6"/>
      <c r="D166" s="6"/>
      <c r="E166" s="6"/>
      <c r="F166" s="6"/>
      <c r="G166" s="6"/>
      <c r="H166" s="6"/>
      <c r="I166" s="6"/>
      <c r="J166" s="213"/>
      <c r="K166" s="213"/>
      <c r="L166" s="213"/>
      <c r="M166" s="213"/>
      <c r="N166" s="213"/>
      <c r="O166" s="213"/>
      <c r="P166" s="213"/>
      <c r="Q166" s="213"/>
      <c r="R166" s="213"/>
      <c r="S166" s="213"/>
      <c r="T166" s="213"/>
      <c r="U166" s="213"/>
    </row>
    <row r="167" spans="1:21" ht="15.75" customHeight="1" x14ac:dyDescent="0.2">
      <c r="A167" s="6"/>
      <c r="B167" s="6"/>
      <c r="C167" s="6"/>
      <c r="D167" s="6"/>
      <c r="E167" s="6"/>
      <c r="F167" s="6"/>
      <c r="G167" s="6"/>
      <c r="H167" s="6"/>
      <c r="I167" s="6"/>
      <c r="J167" s="213"/>
      <c r="K167" s="213"/>
      <c r="L167" s="213"/>
      <c r="M167" s="213"/>
      <c r="N167" s="213"/>
      <c r="O167" s="213"/>
      <c r="P167" s="213"/>
      <c r="Q167" s="213"/>
      <c r="R167" s="213"/>
      <c r="S167" s="213"/>
      <c r="T167" s="213"/>
      <c r="U167" s="213"/>
    </row>
    <row r="168" spans="1:21" ht="15.75" customHeight="1" x14ac:dyDescent="0.2">
      <c r="A168" s="6"/>
      <c r="B168" s="6"/>
      <c r="C168" s="6"/>
      <c r="D168" s="6"/>
      <c r="E168" s="6"/>
      <c r="F168" s="6"/>
      <c r="G168" s="6"/>
      <c r="H168" s="6"/>
      <c r="I168" s="6"/>
      <c r="J168" s="213"/>
      <c r="K168" s="213"/>
      <c r="L168" s="213"/>
      <c r="M168" s="213"/>
      <c r="N168" s="213"/>
      <c r="O168" s="213"/>
      <c r="P168" s="213"/>
      <c r="Q168" s="213"/>
      <c r="R168" s="213"/>
      <c r="S168" s="213"/>
      <c r="T168" s="213"/>
      <c r="U168" s="213"/>
    </row>
    <row r="169" spans="1:21" ht="15.75" customHeight="1" x14ac:dyDescent="0.2">
      <c r="A169" s="6"/>
      <c r="B169" s="6"/>
      <c r="C169" s="6"/>
      <c r="D169" s="6"/>
      <c r="E169" s="6"/>
      <c r="F169" s="6"/>
      <c r="G169" s="6"/>
      <c r="H169" s="6"/>
      <c r="I169" s="6"/>
      <c r="J169" s="213"/>
      <c r="K169" s="213"/>
      <c r="L169" s="213"/>
      <c r="M169" s="213"/>
      <c r="N169" s="213"/>
      <c r="O169" s="213"/>
      <c r="P169" s="213"/>
      <c r="Q169" s="213"/>
      <c r="R169" s="213"/>
      <c r="S169" s="213"/>
      <c r="T169" s="213"/>
      <c r="U169" s="213"/>
    </row>
    <row r="170" spans="1:21" ht="15.75" customHeight="1" x14ac:dyDescent="0.2">
      <c r="A170" s="6"/>
      <c r="B170" s="6"/>
      <c r="C170" s="6"/>
      <c r="D170" s="6"/>
      <c r="E170" s="6"/>
      <c r="F170" s="6"/>
      <c r="G170" s="6"/>
      <c r="H170" s="6"/>
      <c r="I170" s="6"/>
      <c r="J170" s="213"/>
      <c r="K170" s="213"/>
      <c r="L170" s="213"/>
      <c r="M170" s="213"/>
      <c r="N170" s="213"/>
      <c r="O170" s="213"/>
      <c r="P170" s="213"/>
      <c r="Q170" s="213"/>
      <c r="R170" s="213"/>
      <c r="S170" s="213"/>
      <c r="T170" s="213"/>
      <c r="U170" s="213"/>
    </row>
    <row r="171" spans="1:21" ht="15.75" customHeight="1" x14ac:dyDescent="0.2">
      <c r="A171" s="6"/>
      <c r="B171" s="6"/>
      <c r="C171" s="6"/>
      <c r="D171" s="6"/>
      <c r="E171" s="6"/>
      <c r="F171" s="6"/>
      <c r="G171" s="6"/>
      <c r="H171" s="6"/>
      <c r="I171" s="6"/>
      <c r="J171" s="213"/>
      <c r="K171" s="213"/>
      <c r="L171" s="213"/>
      <c r="M171" s="213"/>
      <c r="N171" s="213"/>
      <c r="O171" s="213"/>
      <c r="P171" s="213"/>
      <c r="Q171" s="213"/>
      <c r="R171" s="213"/>
      <c r="S171" s="213"/>
      <c r="T171" s="213"/>
      <c r="U171" s="213"/>
    </row>
    <row r="172" spans="1:21" ht="15.75" customHeight="1" x14ac:dyDescent="0.2">
      <c r="A172" s="6"/>
      <c r="B172" s="6"/>
      <c r="C172" s="6"/>
      <c r="D172" s="6"/>
      <c r="E172" s="6"/>
      <c r="F172" s="6"/>
      <c r="G172" s="6"/>
      <c r="H172" s="6"/>
      <c r="I172" s="6"/>
      <c r="J172" s="213"/>
      <c r="K172" s="213"/>
      <c r="L172" s="213"/>
      <c r="M172" s="213"/>
      <c r="N172" s="213"/>
      <c r="O172" s="213"/>
      <c r="P172" s="213"/>
      <c r="Q172" s="213"/>
      <c r="R172" s="213"/>
      <c r="S172" s="213"/>
      <c r="T172" s="213"/>
      <c r="U172" s="213"/>
    </row>
    <row r="173" spans="1:21" ht="15.75" customHeight="1" x14ac:dyDescent="0.2">
      <c r="A173" s="6"/>
      <c r="B173" s="6"/>
      <c r="C173" s="6"/>
      <c r="D173" s="6"/>
      <c r="E173" s="6"/>
      <c r="F173" s="6"/>
      <c r="G173" s="6"/>
      <c r="H173" s="6"/>
      <c r="I173" s="6"/>
      <c r="J173" s="213"/>
      <c r="K173" s="213"/>
      <c r="L173" s="213"/>
      <c r="M173" s="213"/>
      <c r="N173" s="213"/>
      <c r="O173" s="213"/>
      <c r="P173" s="213"/>
      <c r="Q173" s="213"/>
      <c r="R173" s="213"/>
      <c r="S173" s="213"/>
      <c r="T173" s="213"/>
      <c r="U173" s="213"/>
    </row>
    <row r="174" spans="1:21" ht="15.75" customHeight="1" x14ac:dyDescent="0.2">
      <c r="A174" s="6"/>
      <c r="B174" s="6"/>
      <c r="C174" s="6"/>
      <c r="D174" s="6"/>
      <c r="E174" s="6"/>
      <c r="F174" s="6"/>
      <c r="G174" s="6"/>
      <c r="H174" s="6"/>
      <c r="I174" s="6"/>
      <c r="J174" s="213"/>
      <c r="K174" s="213"/>
      <c r="L174" s="213"/>
      <c r="M174" s="213"/>
      <c r="N174" s="213"/>
      <c r="O174" s="213"/>
      <c r="P174" s="213"/>
      <c r="Q174" s="213"/>
      <c r="R174" s="213"/>
      <c r="S174" s="213"/>
      <c r="T174" s="213"/>
      <c r="U174" s="213"/>
    </row>
    <row r="175" spans="1:21" ht="15.75" customHeight="1" x14ac:dyDescent="0.2">
      <c r="A175" s="6"/>
      <c r="B175" s="6"/>
      <c r="C175" s="6"/>
      <c r="D175" s="6"/>
      <c r="E175" s="6"/>
      <c r="F175" s="6"/>
      <c r="G175" s="6"/>
      <c r="H175" s="6"/>
      <c r="I175" s="6"/>
      <c r="J175" s="213"/>
      <c r="K175" s="213"/>
      <c r="L175" s="213"/>
      <c r="M175" s="213"/>
      <c r="N175" s="213"/>
      <c r="O175" s="213"/>
      <c r="P175" s="213"/>
      <c r="Q175" s="213"/>
      <c r="R175" s="213"/>
      <c r="S175" s="213"/>
      <c r="T175" s="213"/>
      <c r="U175" s="213"/>
    </row>
    <row r="176" spans="1:21" ht="15.75" customHeight="1" x14ac:dyDescent="0.2">
      <c r="A176" s="6"/>
      <c r="B176" s="6"/>
      <c r="C176" s="6"/>
      <c r="D176" s="6"/>
      <c r="E176" s="6"/>
      <c r="F176" s="6"/>
      <c r="G176" s="6"/>
      <c r="H176" s="6"/>
      <c r="I176" s="6"/>
      <c r="J176" s="213"/>
      <c r="K176" s="213"/>
      <c r="L176" s="213"/>
      <c r="M176" s="213"/>
      <c r="N176" s="213"/>
      <c r="O176" s="213"/>
      <c r="P176" s="213"/>
      <c r="Q176" s="213"/>
      <c r="R176" s="213"/>
      <c r="S176" s="213"/>
      <c r="T176" s="213"/>
      <c r="U176" s="213"/>
    </row>
    <row r="177" spans="1:21" ht="15.75" customHeight="1" x14ac:dyDescent="0.2">
      <c r="A177" s="6"/>
      <c r="B177" s="6"/>
      <c r="C177" s="6"/>
      <c r="D177" s="6"/>
      <c r="E177" s="6"/>
      <c r="F177" s="6"/>
      <c r="G177" s="6"/>
      <c r="H177" s="6"/>
      <c r="I177" s="6"/>
      <c r="J177" s="213"/>
      <c r="K177" s="213"/>
      <c r="L177" s="213"/>
      <c r="M177" s="213"/>
      <c r="N177" s="213"/>
      <c r="O177" s="213"/>
      <c r="P177" s="213"/>
      <c r="Q177" s="213"/>
      <c r="R177" s="213"/>
      <c r="S177" s="213"/>
      <c r="T177" s="213"/>
      <c r="U177" s="213"/>
    </row>
    <row r="178" spans="1:21" ht="15.75" customHeight="1" x14ac:dyDescent="0.2">
      <c r="A178" s="6"/>
      <c r="B178" s="6"/>
      <c r="C178" s="6"/>
      <c r="D178" s="6"/>
      <c r="E178" s="6"/>
      <c r="F178" s="6"/>
      <c r="G178" s="6"/>
      <c r="H178" s="6"/>
      <c r="I178" s="6"/>
      <c r="J178" s="213"/>
      <c r="K178" s="213"/>
      <c r="L178" s="213"/>
      <c r="M178" s="213"/>
      <c r="N178" s="213"/>
      <c r="O178" s="213"/>
      <c r="P178" s="213"/>
      <c r="Q178" s="213"/>
      <c r="R178" s="213"/>
      <c r="S178" s="213"/>
      <c r="T178" s="213"/>
      <c r="U178" s="213"/>
    </row>
    <row r="179" spans="1:21" ht="15.75" customHeight="1" x14ac:dyDescent="0.2">
      <c r="A179" s="6"/>
      <c r="B179" s="6"/>
      <c r="C179" s="6"/>
      <c r="D179" s="6"/>
      <c r="E179" s="6"/>
      <c r="F179" s="6"/>
      <c r="G179" s="6"/>
      <c r="H179" s="6"/>
      <c r="I179" s="6"/>
      <c r="J179" s="213"/>
      <c r="K179" s="213"/>
      <c r="L179" s="213"/>
      <c r="M179" s="213"/>
      <c r="N179" s="213"/>
      <c r="O179" s="213"/>
      <c r="P179" s="213"/>
      <c r="Q179" s="213"/>
      <c r="R179" s="213"/>
      <c r="S179" s="213"/>
      <c r="T179" s="213"/>
      <c r="U179" s="213"/>
    </row>
    <row r="180" spans="1:21" ht="15.75" customHeight="1" x14ac:dyDescent="0.2">
      <c r="A180" s="6"/>
      <c r="B180" s="6"/>
      <c r="C180" s="6"/>
      <c r="D180" s="6"/>
      <c r="E180" s="6"/>
      <c r="F180" s="6"/>
      <c r="G180" s="6"/>
      <c r="H180" s="6"/>
      <c r="I180" s="6"/>
      <c r="J180" s="213"/>
      <c r="K180" s="213"/>
      <c r="L180" s="213"/>
      <c r="M180" s="213"/>
      <c r="N180" s="213"/>
      <c r="O180" s="213"/>
      <c r="P180" s="213"/>
      <c r="Q180" s="213"/>
      <c r="R180" s="213"/>
      <c r="S180" s="213"/>
      <c r="T180" s="213"/>
      <c r="U180" s="213"/>
    </row>
    <row r="181" spans="1:21" ht="15.75" customHeight="1" x14ac:dyDescent="0.2">
      <c r="A181" s="6"/>
      <c r="B181" s="6"/>
      <c r="C181" s="6"/>
      <c r="D181" s="6"/>
      <c r="E181" s="6"/>
      <c r="F181" s="6"/>
      <c r="G181" s="6"/>
      <c r="H181" s="6"/>
      <c r="I181" s="6"/>
      <c r="J181" s="213"/>
      <c r="K181" s="213"/>
      <c r="L181" s="213"/>
      <c r="M181" s="213"/>
      <c r="N181" s="213"/>
      <c r="O181" s="213"/>
      <c r="P181" s="213"/>
      <c r="Q181" s="213"/>
      <c r="R181" s="213"/>
      <c r="S181" s="213"/>
      <c r="T181" s="213"/>
      <c r="U181" s="213"/>
    </row>
    <row r="182" spans="1:21" ht="15.75" customHeight="1" x14ac:dyDescent="0.2">
      <c r="A182" s="6"/>
      <c r="B182" s="6"/>
      <c r="C182" s="6"/>
      <c r="D182" s="6"/>
      <c r="E182" s="6"/>
      <c r="F182" s="6"/>
      <c r="G182" s="6"/>
      <c r="H182" s="6"/>
      <c r="I182" s="6"/>
      <c r="J182" s="213"/>
      <c r="K182" s="213"/>
      <c r="L182" s="213"/>
      <c r="M182" s="213"/>
      <c r="N182" s="213"/>
      <c r="O182" s="213"/>
      <c r="P182" s="213"/>
      <c r="Q182" s="213"/>
      <c r="R182" s="213"/>
      <c r="S182" s="213"/>
      <c r="T182" s="213"/>
      <c r="U182" s="213"/>
    </row>
    <row r="183" spans="1:21" ht="15.75" customHeight="1" x14ac:dyDescent="0.2">
      <c r="A183" s="6"/>
      <c r="B183" s="6"/>
      <c r="C183" s="6"/>
      <c r="D183" s="6"/>
      <c r="E183" s="6"/>
      <c r="F183" s="6"/>
      <c r="G183" s="6"/>
      <c r="H183" s="6"/>
      <c r="I183" s="6"/>
      <c r="J183" s="213"/>
      <c r="K183" s="213"/>
      <c r="L183" s="213"/>
      <c r="M183" s="213"/>
      <c r="N183" s="213"/>
      <c r="O183" s="213"/>
      <c r="P183" s="213"/>
      <c r="Q183" s="213"/>
      <c r="R183" s="213"/>
      <c r="S183" s="213"/>
      <c r="T183" s="213"/>
      <c r="U183" s="213"/>
    </row>
    <row r="184" spans="1:21" ht="15.75" customHeight="1" x14ac:dyDescent="0.2">
      <c r="A184" s="6"/>
      <c r="B184" s="6"/>
      <c r="C184" s="6"/>
      <c r="D184" s="6"/>
      <c r="E184" s="6"/>
      <c r="F184" s="6"/>
      <c r="G184" s="6"/>
      <c r="H184" s="6"/>
      <c r="I184" s="6"/>
      <c r="J184" s="213"/>
      <c r="K184" s="213"/>
      <c r="L184" s="213"/>
      <c r="M184" s="213"/>
      <c r="N184" s="213"/>
      <c r="O184" s="213"/>
      <c r="P184" s="213"/>
      <c r="Q184" s="213"/>
      <c r="R184" s="213"/>
      <c r="S184" s="213"/>
      <c r="T184" s="213"/>
      <c r="U184" s="213"/>
    </row>
    <row r="185" spans="1:21" ht="15.75" customHeight="1" x14ac:dyDescent="0.2">
      <c r="A185" s="6"/>
      <c r="B185" s="6"/>
      <c r="C185" s="6"/>
      <c r="D185" s="6"/>
      <c r="E185" s="6"/>
      <c r="F185" s="6"/>
      <c r="G185" s="6"/>
      <c r="H185" s="6"/>
      <c r="I185" s="6"/>
      <c r="J185" s="213"/>
      <c r="K185" s="213"/>
      <c r="L185" s="213"/>
      <c r="M185" s="213"/>
      <c r="N185" s="213"/>
      <c r="O185" s="213"/>
      <c r="P185" s="213"/>
      <c r="Q185" s="213"/>
      <c r="R185" s="213"/>
      <c r="S185" s="213"/>
      <c r="T185" s="213"/>
      <c r="U185" s="213"/>
    </row>
    <row r="186" spans="1:21" ht="15.75" customHeight="1" x14ac:dyDescent="0.2">
      <c r="A186" s="6"/>
      <c r="B186" s="6"/>
      <c r="C186" s="6"/>
      <c r="D186" s="6"/>
      <c r="E186" s="6"/>
      <c r="F186" s="6"/>
      <c r="G186" s="6"/>
      <c r="H186" s="6"/>
      <c r="I186" s="6"/>
      <c r="J186" s="213"/>
      <c r="K186" s="213"/>
      <c r="L186" s="213"/>
      <c r="M186" s="213"/>
      <c r="N186" s="213"/>
      <c r="O186" s="213"/>
      <c r="P186" s="213"/>
      <c r="Q186" s="213"/>
      <c r="R186" s="213"/>
      <c r="S186" s="213"/>
      <c r="T186" s="213"/>
      <c r="U186" s="213"/>
    </row>
    <row r="187" spans="1:21" ht="15.75" customHeight="1" x14ac:dyDescent="0.2">
      <c r="A187" s="6"/>
      <c r="B187" s="6"/>
      <c r="C187" s="6"/>
      <c r="D187" s="6"/>
      <c r="E187" s="6"/>
      <c r="F187" s="6"/>
      <c r="G187" s="6"/>
      <c r="H187" s="6"/>
      <c r="I187" s="6"/>
      <c r="J187" s="213"/>
      <c r="K187" s="213"/>
      <c r="L187" s="213"/>
      <c r="M187" s="213"/>
      <c r="N187" s="213"/>
      <c r="O187" s="213"/>
      <c r="P187" s="213"/>
      <c r="Q187" s="213"/>
      <c r="R187" s="213"/>
      <c r="S187" s="213"/>
      <c r="T187" s="213"/>
      <c r="U187" s="213"/>
    </row>
    <row r="188" spans="1:21" ht="15.75" customHeight="1" x14ac:dyDescent="0.2">
      <c r="A188" s="6"/>
      <c r="B188" s="6"/>
      <c r="C188" s="6"/>
      <c r="D188" s="6"/>
      <c r="E188" s="6"/>
      <c r="F188" s="6"/>
      <c r="G188" s="6"/>
      <c r="H188" s="6"/>
      <c r="I188" s="6"/>
      <c r="J188" s="213"/>
      <c r="K188" s="213"/>
      <c r="L188" s="213"/>
      <c r="M188" s="213"/>
      <c r="N188" s="213"/>
      <c r="O188" s="213"/>
      <c r="P188" s="213"/>
      <c r="Q188" s="213"/>
      <c r="R188" s="213"/>
      <c r="S188" s="213"/>
      <c r="T188" s="213"/>
      <c r="U188" s="213"/>
    </row>
    <row r="189" spans="1:21" ht="15.75" customHeight="1" x14ac:dyDescent="0.2">
      <c r="A189" s="6"/>
      <c r="B189" s="6"/>
      <c r="C189" s="6"/>
      <c r="D189" s="6"/>
      <c r="E189" s="6"/>
      <c r="F189" s="6"/>
      <c r="G189" s="6"/>
      <c r="H189" s="6"/>
      <c r="I189" s="6"/>
      <c r="J189" s="213"/>
      <c r="K189" s="213"/>
      <c r="L189" s="213"/>
      <c r="M189" s="213"/>
      <c r="N189" s="213"/>
      <c r="O189" s="213"/>
      <c r="P189" s="213"/>
      <c r="Q189" s="213"/>
      <c r="R189" s="213"/>
      <c r="S189" s="213"/>
      <c r="T189" s="213"/>
      <c r="U189" s="213"/>
    </row>
    <row r="190" spans="1:21" ht="15.75" customHeight="1" x14ac:dyDescent="0.2">
      <c r="A190" s="6"/>
      <c r="B190" s="6"/>
      <c r="C190" s="6"/>
      <c r="D190" s="6"/>
      <c r="E190" s="6"/>
      <c r="F190" s="6"/>
      <c r="G190" s="6"/>
      <c r="H190" s="6"/>
      <c r="I190" s="6"/>
      <c r="J190" s="213"/>
      <c r="K190" s="213"/>
      <c r="L190" s="213"/>
      <c r="M190" s="213"/>
      <c r="N190" s="213"/>
      <c r="O190" s="213"/>
      <c r="P190" s="213"/>
      <c r="Q190" s="213"/>
      <c r="R190" s="213"/>
      <c r="S190" s="213"/>
      <c r="T190" s="213"/>
      <c r="U190" s="213"/>
    </row>
    <row r="191" spans="1:21" ht="15.75" customHeight="1" x14ac:dyDescent="0.2">
      <c r="A191" s="6"/>
      <c r="B191" s="6"/>
      <c r="C191" s="6"/>
      <c r="D191" s="6"/>
      <c r="E191" s="6"/>
      <c r="F191" s="6"/>
      <c r="G191" s="6"/>
      <c r="H191" s="6"/>
      <c r="I191" s="6"/>
      <c r="J191" s="213"/>
      <c r="K191" s="213"/>
      <c r="L191" s="213"/>
      <c r="M191" s="213"/>
      <c r="N191" s="213"/>
      <c r="O191" s="213"/>
      <c r="P191" s="213"/>
      <c r="Q191" s="213"/>
      <c r="R191" s="213"/>
      <c r="S191" s="213"/>
      <c r="T191" s="213"/>
      <c r="U191" s="213"/>
    </row>
    <row r="192" spans="1:21" ht="15.75" customHeight="1" x14ac:dyDescent="0.2">
      <c r="A192" s="6"/>
      <c r="B192" s="6"/>
      <c r="C192" s="6"/>
      <c r="D192" s="6"/>
      <c r="E192" s="6"/>
      <c r="F192" s="6"/>
      <c r="G192" s="6"/>
      <c r="H192" s="6"/>
      <c r="I192" s="6"/>
      <c r="J192" s="213"/>
      <c r="K192" s="213"/>
      <c r="L192" s="213"/>
      <c r="M192" s="213"/>
      <c r="N192" s="213"/>
      <c r="O192" s="213"/>
      <c r="P192" s="213"/>
      <c r="Q192" s="213"/>
      <c r="R192" s="213"/>
      <c r="S192" s="213"/>
      <c r="T192" s="213"/>
      <c r="U192" s="213"/>
    </row>
    <row r="193" spans="1:21" ht="15.75" customHeight="1" x14ac:dyDescent="0.2">
      <c r="A193" s="6"/>
      <c r="B193" s="6"/>
      <c r="C193" s="6"/>
      <c r="D193" s="6"/>
      <c r="E193" s="6"/>
      <c r="F193" s="6"/>
      <c r="G193" s="6"/>
      <c r="H193" s="6"/>
      <c r="I193" s="6"/>
      <c r="J193" s="213"/>
      <c r="K193" s="213"/>
      <c r="L193" s="213"/>
      <c r="M193" s="213"/>
      <c r="N193" s="213"/>
      <c r="O193" s="213"/>
      <c r="P193" s="213"/>
      <c r="Q193" s="213"/>
      <c r="R193" s="213"/>
      <c r="S193" s="213"/>
      <c r="T193" s="213"/>
      <c r="U193" s="213"/>
    </row>
    <row r="194" spans="1:21" ht="15.75" customHeight="1" x14ac:dyDescent="0.2">
      <c r="A194" s="6"/>
      <c r="B194" s="6"/>
      <c r="C194" s="6"/>
      <c r="D194" s="6"/>
      <c r="E194" s="6"/>
      <c r="F194" s="6"/>
      <c r="G194" s="6"/>
      <c r="H194" s="6"/>
      <c r="I194" s="6"/>
      <c r="J194" s="213"/>
      <c r="K194" s="213"/>
      <c r="L194" s="213"/>
      <c r="M194" s="213"/>
      <c r="N194" s="213"/>
      <c r="O194" s="213"/>
      <c r="P194" s="213"/>
      <c r="Q194" s="213"/>
      <c r="R194" s="213"/>
      <c r="S194" s="213"/>
      <c r="T194" s="213"/>
      <c r="U194" s="213"/>
    </row>
    <row r="195" spans="1:21" ht="15.75" customHeight="1" x14ac:dyDescent="0.2">
      <c r="A195" s="6"/>
      <c r="B195" s="6"/>
      <c r="C195" s="6"/>
      <c r="D195" s="6"/>
      <c r="E195" s="6"/>
      <c r="F195" s="6"/>
      <c r="G195" s="6"/>
      <c r="H195" s="6"/>
      <c r="I195" s="6"/>
      <c r="J195" s="213"/>
      <c r="K195" s="213"/>
      <c r="L195" s="213"/>
      <c r="M195" s="213"/>
      <c r="N195" s="213"/>
      <c r="O195" s="213"/>
      <c r="P195" s="213"/>
      <c r="Q195" s="213"/>
      <c r="R195" s="213"/>
      <c r="S195" s="213"/>
      <c r="T195" s="213"/>
      <c r="U195" s="213"/>
    </row>
    <row r="196" spans="1:21" ht="15.75" customHeight="1" x14ac:dyDescent="0.2">
      <c r="A196" s="6"/>
      <c r="B196" s="6"/>
      <c r="C196" s="6"/>
      <c r="D196" s="6"/>
      <c r="E196" s="6"/>
      <c r="F196" s="6"/>
      <c r="G196" s="6"/>
      <c r="H196" s="6"/>
      <c r="I196" s="6"/>
      <c r="J196" s="213"/>
      <c r="K196" s="213"/>
      <c r="L196" s="213"/>
      <c r="M196" s="213"/>
      <c r="N196" s="213"/>
      <c r="O196" s="213"/>
      <c r="P196" s="213"/>
      <c r="Q196" s="213"/>
      <c r="R196" s="213"/>
      <c r="S196" s="213"/>
      <c r="T196" s="213"/>
      <c r="U196" s="213"/>
    </row>
    <row r="197" spans="1:21" ht="15.75" customHeight="1" x14ac:dyDescent="0.2">
      <c r="A197" s="6"/>
      <c r="B197" s="6"/>
      <c r="C197" s="6"/>
      <c r="D197" s="6"/>
      <c r="E197" s="6"/>
      <c r="F197" s="6"/>
      <c r="G197" s="6"/>
      <c r="H197" s="6"/>
      <c r="I197" s="6"/>
      <c r="J197" s="213"/>
      <c r="K197" s="213"/>
      <c r="L197" s="213"/>
      <c r="M197" s="213"/>
      <c r="N197" s="213"/>
      <c r="O197" s="213"/>
      <c r="P197" s="213"/>
      <c r="Q197" s="213"/>
      <c r="R197" s="213"/>
      <c r="S197" s="213"/>
      <c r="T197" s="213"/>
      <c r="U197" s="213"/>
    </row>
    <row r="198" spans="1:21" ht="15.75" customHeight="1" x14ac:dyDescent="0.2">
      <c r="A198" s="6"/>
      <c r="B198" s="6"/>
      <c r="C198" s="6"/>
      <c r="D198" s="6"/>
      <c r="E198" s="6"/>
      <c r="F198" s="6"/>
      <c r="G198" s="6"/>
      <c r="H198" s="6"/>
      <c r="I198" s="6"/>
      <c r="J198" s="213"/>
      <c r="K198" s="213"/>
      <c r="L198" s="213"/>
      <c r="M198" s="213"/>
      <c r="N198" s="213"/>
      <c r="O198" s="213"/>
      <c r="P198" s="213"/>
      <c r="Q198" s="213"/>
      <c r="R198" s="213"/>
      <c r="S198" s="213"/>
      <c r="T198" s="213"/>
      <c r="U198" s="213"/>
    </row>
    <row r="199" spans="1:21" ht="15.75" customHeight="1" x14ac:dyDescent="0.2">
      <c r="A199" s="6"/>
      <c r="B199" s="6"/>
      <c r="C199" s="6"/>
      <c r="D199" s="6"/>
      <c r="E199" s="6"/>
      <c r="F199" s="6"/>
      <c r="G199" s="6"/>
      <c r="H199" s="6"/>
      <c r="I199" s="6"/>
      <c r="J199" s="213"/>
      <c r="K199" s="213"/>
      <c r="L199" s="213"/>
      <c r="M199" s="213"/>
      <c r="N199" s="213"/>
      <c r="O199" s="213"/>
      <c r="P199" s="213"/>
      <c r="Q199" s="213"/>
      <c r="R199" s="213"/>
      <c r="S199" s="213"/>
      <c r="T199" s="213"/>
      <c r="U199" s="213"/>
    </row>
    <row r="200" spans="1:21" ht="15.75" customHeight="1" x14ac:dyDescent="0.2">
      <c r="A200" s="6"/>
      <c r="B200" s="6"/>
      <c r="C200" s="6"/>
      <c r="D200" s="6"/>
      <c r="E200" s="6"/>
      <c r="F200" s="6"/>
      <c r="G200" s="6"/>
      <c r="H200" s="6"/>
      <c r="I200" s="6"/>
      <c r="J200" s="213"/>
      <c r="K200" s="213"/>
      <c r="L200" s="213"/>
      <c r="M200" s="213"/>
      <c r="N200" s="213"/>
      <c r="O200" s="213"/>
      <c r="P200" s="213"/>
      <c r="Q200" s="213"/>
      <c r="R200" s="213"/>
      <c r="S200" s="213"/>
      <c r="T200" s="213"/>
      <c r="U200" s="213"/>
    </row>
    <row r="201" spans="1:21" ht="15.75" customHeight="1" x14ac:dyDescent="0.2">
      <c r="A201" s="6"/>
      <c r="B201" s="6"/>
      <c r="C201" s="6"/>
      <c r="D201" s="6"/>
      <c r="E201" s="6"/>
      <c r="F201" s="6"/>
      <c r="G201" s="6"/>
      <c r="H201" s="6"/>
      <c r="I201" s="6"/>
      <c r="J201" s="213"/>
      <c r="K201" s="213"/>
      <c r="L201" s="213"/>
      <c r="M201" s="213"/>
      <c r="N201" s="213"/>
      <c r="O201" s="213"/>
      <c r="P201" s="213"/>
      <c r="Q201" s="213"/>
      <c r="R201" s="213"/>
      <c r="S201" s="213"/>
      <c r="T201" s="213"/>
      <c r="U201" s="213"/>
    </row>
    <row r="202" spans="1:21" ht="15.75" customHeight="1" x14ac:dyDescent="0.2">
      <c r="A202" s="6"/>
      <c r="B202" s="6"/>
      <c r="C202" s="6"/>
      <c r="D202" s="6"/>
      <c r="E202" s="6"/>
      <c r="F202" s="6"/>
      <c r="G202" s="6"/>
      <c r="H202" s="6"/>
      <c r="I202" s="6"/>
      <c r="J202" s="213"/>
      <c r="K202" s="213"/>
      <c r="L202" s="213"/>
      <c r="M202" s="213"/>
      <c r="N202" s="213"/>
      <c r="O202" s="213"/>
      <c r="P202" s="213"/>
      <c r="Q202" s="213"/>
      <c r="R202" s="213"/>
      <c r="S202" s="213"/>
      <c r="T202" s="213"/>
      <c r="U202" s="213"/>
    </row>
    <row r="203" spans="1:21" ht="15.75" customHeight="1" x14ac:dyDescent="0.2">
      <c r="A203" s="6"/>
      <c r="B203" s="6"/>
      <c r="C203" s="6"/>
      <c r="D203" s="6"/>
      <c r="E203" s="6"/>
      <c r="F203" s="6"/>
      <c r="G203" s="6"/>
      <c r="H203" s="6"/>
      <c r="I203" s="6"/>
      <c r="J203" s="213"/>
      <c r="K203" s="213"/>
      <c r="L203" s="213"/>
      <c r="M203" s="213"/>
      <c r="N203" s="213"/>
      <c r="O203" s="213"/>
      <c r="P203" s="213"/>
      <c r="Q203" s="213"/>
      <c r="R203" s="213"/>
      <c r="S203" s="213"/>
      <c r="T203" s="213"/>
      <c r="U203" s="213"/>
    </row>
    <row r="204" spans="1:21" ht="15.75" customHeight="1" x14ac:dyDescent="0.2">
      <c r="A204" s="6"/>
      <c r="B204" s="6"/>
      <c r="C204" s="6"/>
      <c r="D204" s="6"/>
      <c r="E204" s="6"/>
      <c r="F204" s="6"/>
      <c r="G204" s="6"/>
      <c r="H204" s="6"/>
      <c r="I204" s="6"/>
      <c r="J204" s="213"/>
      <c r="K204" s="213"/>
      <c r="L204" s="213"/>
      <c r="M204" s="213"/>
      <c r="N204" s="213"/>
      <c r="O204" s="213"/>
      <c r="P204" s="213"/>
      <c r="Q204" s="213"/>
      <c r="R204" s="213"/>
      <c r="S204" s="213"/>
      <c r="T204" s="213"/>
      <c r="U204" s="213"/>
    </row>
    <row r="205" spans="1:21" ht="15.75" customHeight="1" x14ac:dyDescent="0.2">
      <c r="A205" s="6"/>
      <c r="B205" s="6"/>
      <c r="C205" s="6"/>
      <c r="D205" s="6"/>
      <c r="E205" s="6"/>
      <c r="F205" s="6"/>
      <c r="G205" s="6"/>
      <c r="H205" s="6"/>
      <c r="I205" s="6"/>
      <c r="J205" s="213"/>
      <c r="K205" s="213"/>
      <c r="L205" s="213"/>
      <c r="M205" s="213"/>
      <c r="N205" s="213"/>
      <c r="O205" s="213"/>
      <c r="P205" s="213"/>
      <c r="Q205" s="213"/>
      <c r="R205" s="213"/>
      <c r="S205" s="213"/>
      <c r="T205" s="213"/>
      <c r="U205" s="213"/>
    </row>
    <row r="206" spans="1:21" ht="15.75" customHeight="1" x14ac:dyDescent="0.2">
      <c r="A206" s="6"/>
      <c r="B206" s="6"/>
      <c r="C206" s="6"/>
      <c r="D206" s="6"/>
      <c r="E206" s="6"/>
      <c r="F206" s="6"/>
      <c r="G206" s="6"/>
      <c r="H206" s="6"/>
      <c r="I206" s="6"/>
      <c r="J206" s="213"/>
      <c r="K206" s="213"/>
      <c r="L206" s="213"/>
      <c r="M206" s="213"/>
      <c r="N206" s="213"/>
      <c r="O206" s="213"/>
      <c r="P206" s="213"/>
      <c r="Q206" s="213"/>
      <c r="R206" s="213"/>
      <c r="S206" s="213"/>
      <c r="T206" s="213"/>
      <c r="U206" s="213"/>
    </row>
    <row r="207" spans="1:21" ht="15.75" customHeight="1" x14ac:dyDescent="0.2">
      <c r="A207" s="6"/>
      <c r="B207" s="6"/>
      <c r="C207" s="6"/>
      <c r="D207" s="6"/>
      <c r="E207" s="6"/>
      <c r="F207" s="6"/>
      <c r="G207" s="6"/>
      <c r="H207" s="6"/>
      <c r="I207" s="6"/>
      <c r="J207" s="213"/>
      <c r="K207" s="213"/>
      <c r="L207" s="213"/>
      <c r="M207" s="213"/>
      <c r="N207" s="213"/>
      <c r="O207" s="213"/>
      <c r="P207" s="213"/>
      <c r="Q207" s="213"/>
      <c r="R207" s="213"/>
      <c r="S207" s="213"/>
      <c r="T207" s="213"/>
      <c r="U207" s="213"/>
    </row>
    <row r="208" spans="1:21" ht="15.75" customHeight="1" x14ac:dyDescent="0.2">
      <c r="A208" s="6"/>
      <c r="B208" s="6"/>
      <c r="C208" s="6"/>
      <c r="D208" s="6"/>
      <c r="E208" s="6"/>
      <c r="F208" s="6"/>
      <c r="G208" s="6"/>
      <c r="H208" s="6"/>
      <c r="I208" s="6"/>
      <c r="J208" s="213"/>
      <c r="K208" s="213"/>
      <c r="L208" s="213"/>
      <c r="M208" s="213"/>
      <c r="N208" s="213"/>
      <c r="O208" s="213"/>
      <c r="P208" s="213"/>
      <c r="Q208" s="213"/>
      <c r="R208" s="213"/>
      <c r="S208" s="213"/>
      <c r="T208" s="213"/>
      <c r="U208" s="213"/>
    </row>
    <row r="209" spans="1:21" ht="15.75" customHeight="1" x14ac:dyDescent="0.2">
      <c r="A209" s="6"/>
      <c r="B209" s="6"/>
      <c r="C209" s="6"/>
      <c r="D209" s="6"/>
      <c r="E209" s="6"/>
      <c r="F209" s="6"/>
      <c r="G209" s="6"/>
      <c r="H209" s="6"/>
      <c r="I209" s="6"/>
      <c r="J209" s="213"/>
      <c r="K209" s="213"/>
      <c r="L209" s="213"/>
      <c r="M209" s="213"/>
      <c r="N209" s="213"/>
      <c r="O209" s="213"/>
      <c r="P209" s="213"/>
      <c r="Q209" s="213"/>
      <c r="R209" s="213"/>
      <c r="S209" s="213"/>
      <c r="T209" s="213"/>
      <c r="U209" s="213"/>
    </row>
    <row r="210" spans="1:21" ht="15.75" customHeight="1" x14ac:dyDescent="0.2">
      <c r="A210" s="6"/>
      <c r="B210" s="6"/>
      <c r="C210" s="6"/>
      <c r="D210" s="6"/>
      <c r="E210" s="6"/>
      <c r="F210" s="6"/>
      <c r="G210" s="6"/>
      <c r="H210" s="6"/>
      <c r="I210" s="6"/>
      <c r="J210" s="213"/>
      <c r="K210" s="213"/>
      <c r="L210" s="213"/>
      <c r="M210" s="213"/>
      <c r="N210" s="213"/>
      <c r="O210" s="213"/>
      <c r="P210" s="213"/>
      <c r="Q210" s="213"/>
      <c r="R210" s="213"/>
      <c r="S210" s="213"/>
      <c r="T210" s="213"/>
      <c r="U210" s="213"/>
    </row>
    <row r="211" spans="1:21" ht="15.75" customHeight="1" x14ac:dyDescent="0.2">
      <c r="A211" s="6"/>
      <c r="B211" s="6"/>
      <c r="C211" s="6"/>
      <c r="D211" s="6"/>
      <c r="E211" s="6"/>
      <c r="F211" s="6"/>
      <c r="G211" s="6"/>
      <c r="H211" s="6"/>
      <c r="I211" s="6"/>
      <c r="J211" s="213"/>
      <c r="K211" s="213"/>
      <c r="L211" s="213"/>
      <c r="M211" s="213"/>
      <c r="N211" s="213"/>
      <c r="O211" s="213"/>
      <c r="P211" s="213"/>
      <c r="Q211" s="213"/>
      <c r="R211" s="213"/>
      <c r="S211" s="213"/>
      <c r="T211" s="213"/>
      <c r="U211" s="213"/>
    </row>
    <row r="212" spans="1:21" ht="15.75" customHeight="1" x14ac:dyDescent="0.2">
      <c r="A212" s="6"/>
      <c r="B212" s="6"/>
      <c r="C212" s="6"/>
      <c r="D212" s="6"/>
      <c r="E212" s="6"/>
      <c r="F212" s="6"/>
      <c r="G212" s="6"/>
      <c r="H212" s="6"/>
      <c r="I212" s="6"/>
      <c r="J212" s="213"/>
      <c r="K212" s="213"/>
      <c r="L212" s="213"/>
      <c r="M212" s="213"/>
      <c r="N212" s="213"/>
      <c r="O212" s="213"/>
      <c r="P212" s="213"/>
      <c r="Q212" s="213"/>
      <c r="R212" s="213"/>
      <c r="S212" s="213"/>
      <c r="T212" s="213"/>
      <c r="U212" s="213"/>
    </row>
    <row r="213" spans="1:21" ht="15.75" customHeight="1" x14ac:dyDescent="0.2">
      <c r="A213" s="6"/>
      <c r="B213" s="6"/>
      <c r="C213" s="6"/>
      <c r="D213" s="6"/>
      <c r="E213" s="6"/>
      <c r="F213" s="6"/>
      <c r="G213" s="6"/>
      <c r="H213" s="6"/>
      <c r="I213" s="6"/>
      <c r="J213" s="213"/>
      <c r="K213" s="213"/>
      <c r="L213" s="213"/>
      <c r="M213" s="213"/>
      <c r="N213" s="213"/>
      <c r="O213" s="213"/>
      <c r="P213" s="213"/>
      <c r="Q213" s="213"/>
      <c r="R213" s="213"/>
      <c r="S213" s="213"/>
      <c r="T213" s="213"/>
      <c r="U213" s="213"/>
    </row>
    <row r="214" spans="1:21" ht="15.75" customHeight="1" x14ac:dyDescent="0.2">
      <c r="A214" s="6"/>
      <c r="B214" s="6"/>
      <c r="C214" s="6"/>
      <c r="D214" s="6"/>
      <c r="E214" s="6"/>
      <c r="F214" s="6"/>
      <c r="G214" s="6"/>
      <c r="H214" s="6"/>
      <c r="I214" s="6"/>
      <c r="J214" s="213"/>
      <c r="K214" s="213"/>
      <c r="L214" s="213"/>
      <c r="M214" s="213"/>
      <c r="N214" s="213"/>
      <c r="O214" s="213"/>
      <c r="P214" s="213"/>
      <c r="Q214" s="213"/>
      <c r="R214" s="213"/>
      <c r="S214" s="213"/>
      <c r="T214" s="213"/>
      <c r="U214" s="213"/>
    </row>
    <row r="215" spans="1:21" ht="15.75" customHeight="1" x14ac:dyDescent="0.2">
      <c r="A215" s="6"/>
      <c r="B215" s="6"/>
      <c r="C215" s="6"/>
      <c r="D215" s="6"/>
      <c r="E215" s="6"/>
      <c r="F215" s="6"/>
      <c r="G215" s="6"/>
      <c r="H215" s="6"/>
      <c r="I215" s="6"/>
      <c r="J215" s="213"/>
      <c r="K215" s="213"/>
      <c r="L215" s="213"/>
      <c r="M215" s="213"/>
      <c r="N215" s="213"/>
      <c r="O215" s="213"/>
      <c r="P215" s="213"/>
      <c r="Q215" s="213"/>
      <c r="R215" s="213"/>
      <c r="S215" s="213"/>
      <c r="T215" s="213"/>
      <c r="U215" s="213"/>
    </row>
    <row r="216" spans="1:21" ht="15.75" customHeight="1" x14ac:dyDescent="0.2">
      <c r="A216" s="6"/>
      <c r="B216" s="6"/>
      <c r="C216" s="6"/>
      <c r="D216" s="6"/>
      <c r="E216" s="6"/>
      <c r="F216" s="6"/>
      <c r="G216" s="6"/>
      <c r="H216" s="6"/>
      <c r="I216" s="6"/>
      <c r="J216" s="213"/>
      <c r="K216" s="213"/>
      <c r="L216" s="213"/>
      <c r="M216" s="213"/>
      <c r="N216" s="213"/>
      <c r="O216" s="213"/>
      <c r="P216" s="213"/>
      <c r="Q216" s="213"/>
      <c r="R216" s="213"/>
      <c r="S216" s="213"/>
      <c r="T216" s="213"/>
      <c r="U216" s="213"/>
    </row>
    <row r="217" spans="1:21" ht="15.75" customHeight="1" x14ac:dyDescent="0.2">
      <c r="A217" s="6"/>
      <c r="B217" s="6"/>
      <c r="C217" s="6"/>
      <c r="D217" s="6"/>
      <c r="E217" s="6"/>
      <c r="F217" s="6"/>
      <c r="G217" s="6"/>
      <c r="H217" s="6"/>
      <c r="I217" s="6"/>
      <c r="J217" s="213"/>
      <c r="K217" s="213"/>
      <c r="L217" s="213"/>
      <c r="M217" s="213"/>
      <c r="N217" s="213"/>
      <c r="O217" s="213"/>
      <c r="P217" s="213"/>
      <c r="Q217" s="213"/>
      <c r="R217" s="213"/>
      <c r="S217" s="213"/>
      <c r="T217" s="213"/>
      <c r="U217" s="213"/>
    </row>
    <row r="218" spans="1:21" ht="15.75" customHeight="1" x14ac:dyDescent="0.2">
      <c r="A218" s="6"/>
      <c r="B218" s="6"/>
      <c r="C218" s="6"/>
      <c r="D218" s="6"/>
      <c r="E218" s="6"/>
      <c r="F218" s="6"/>
      <c r="G218" s="6"/>
      <c r="H218" s="6"/>
      <c r="I218" s="6"/>
      <c r="J218" s="213"/>
      <c r="K218" s="213"/>
      <c r="L218" s="213"/>
      <c r="M218" s="213"/>
      <c r="N218" s="213"/>
      <c r="O218" s="213"/>
      <c r="P218" s="213"/>
      <c r="Q218" s="213"/>
      <c r="R218" s="213"/>
      <c r="S218" s="213"/>
      <c r="T218" s="213"/>
      <c r="U218" s="213"/>
    </row>
    <row r="219" spans="1:21" ht="15.75" customHeight="1" x14ac:dyDescent="0.2">
      <c r="A219" s="6"/>
      <c r="B219" s="6"/>
      <c r="C219" s="6"/>
      <c r="D219" s="6"/>
      <c r="E219" s="6"/>
      <c r="F219" s="6"/>
      <c r="G219" s="6"/>
      <c r="H219" s="6"/>
      <c r="I219" s="6"/>
      <c r="J219" s="213"/>
      <c r="K219" s="213"/>
      <c r="L219" s="213"/>
      <c r="M219" s="213"/>
      <c r="N219" s="213"/>
      <c r="O219" s="213"/>
      <c r="P219" s="213"/>
      <c r="Q219" s="213"/>
      <c r="R219" s="213"/>
      <c r="S219" s="213"/>
      <c r="T219" s="213"/>
      <c r="U219" s="213"/>
    </row>
    <row r="220" spans="1:21" ht="15.75" customHeight="1" x14ac:dyDescent="0.2">
      <c r="A220" s="6"/>
      <c r="B220" s="6"/>
      <c r="C220" s="6"/>
      <c r="D220" s="6"/>
      <c r="E220" s="6"/>
      <c r="F220" s="6"/>
      <c r="G220" s="6"/>
      <c r="H220" s="6"/>
      <c r="I220" s="6"/>
      <c r="J220" s="213"/>
      <c r="K220" s="213"/>
      <c r="L220" s="213"/>
      <c r="M220" s="213"/>
      <c r="N220" s="213"/>
      <c r="O220" s="213"/>
      <c r="P220" s="213"/>
      <c r="Q220" s="213"/>
      <c r="R220" s="213"/>
      <c r="S220" s="213"/>
      <c r="T220" s="213"/>
      <c r="U220" s="213"/>
    </row>
    <row r="221" spans="1:21" ht="15.75" customHeight="1" x14ac:dyDescent="0.2">
      <c r="A221" s="6"/>
      <c r="B221" s="6"/>
      <c r="C221" s="6"/>
      <c r="D221" s="6"/>
      <c r="E221" s="6"/>
      <c r="F221" s="6"/>
      <c r="G221" s="6"/>
      <c r="H221" s="6"/>
      <c r="I221" s="6"/>
      <c r="J221" s="213"/>
      <c r="K221" s="213"/>
      <c r="L221" s="213"/>
      <c r="M221" s="213"/>
      <c r="N221" s="213"/>
      <c r="O221" s="213"/>
      <c r="P221" s="213"/>
      <c r="Q221" s="213"/>
      <c r="R221" s="213"/>
      <c r="S221" s="213"/>
      <c r="T221" s="213"/>
      <c r="U221" s="213"/>
    </row>
    <row r="222" spans="1:21" ht="15.75" customHeight="1" x14ac:dyDescent="0.2">
      <c r="A222" s="6"/>
      <c r="B222" s="6"/>
      <c r="C222" s="6"/>
      <c r="D222" s="6"/>
      <c r="E222" s="6"/>
      <c r="F222" s="6"/>
      <c r="G222" s="6"/>
      <c r="H222" s="6"/>
      <c r="I222" s="6"/>
      <c r="J222" s="213"/>
      <c r="K222" s="213"/>
      <c r="L222" s="213"/>
      <c r="M222" s="213"/>
      <c r="N222" s="213"/>
      <c r="O222" s="213"/>
      <c r="P222" s="213"/>
      <c r="Q222" s="213"/>
      <c r="R222" s="213"/>
      <c r="S222" s="213"/>
      <c r="T222" s="213"/>
      <c r="U222" s="213"/>
    </row>
    <row r="223" spans="1:21" ht="15.75" customHeight="1" x14ac:dyDescent="0.2">
      <c r="A223" s="6"/>
      <c r="B223" s="6"/>
      <c r="C223" s="6"/>
      <c r="D223" s="6"/>
      <c r="E223" s="6"/>
      <c r="F223" s="6"/>
      <c r="G223" s="6"/>
      <c r="H223" s="6"/>
      <c r="I223" s="6"/>
      <c r="J223" s="213"/>
      <c r="K223" s="213"/>
      <c r="L223" s="213"/>
      <c r="M223" s="213"/>
      <c r="N223" s="213"/>
      <c r="O223" s="213"/>
      <c r="P223" s="213"/>
      <c r="Q223" s="213"/>
      <c r="R223" s="213"/>
      <c r="S223" s="213"/>
      <c r="T223" s="213"/>
      <c r="U223" s="213"/>
    </row>
    <row r="224" spans="1:21" ht="15.75" customHeight="1" x14ac:dyDescent="0.2">
      <c r="A224" s="6"/>
      <c r="B224" s="6"/>
      <c r="C224" s="6"/>
      <c r="D224" s="6"/>
      <c r="E224" s="6"/>
      <c r="F224" s="6"/>
      <c r="G224" s="6"/>
      <c r="H224" s="6"/>
      <c r="I224" s="6"/>
      <c r="J224" s="213"/>
      <c r="K224" s="213"/>
      <c r="L224" s="213"/>
      <c r="M224" s="213"/>
      <c r="N224" s="213"/>
      <c r="O224" s="213"/>
      <c r="P224" s="213"/>
      <c r="Q224" s="213"/>
      <c r="R224" s="213"/>
      <c r="S224" s="213"/>
      <c r="T224" s="213"/>
      <c r="U224" s="213"/>
    </row>
    <row r="225" spans="1:21" ht="15.75" customHeight="1" x14ac:dyDescent="0.2">
      <c r="A225" s="6"/>
      <c r="B225" s="6"/>
      <c r="C225" s="6"/>
      <c r="D225" s="6"/>
      <c r="E225" s="6"/>
      <c r="F225" s="6"/>
      <c r="G225" s="6"/>
      <c r="H225" s="6"/>
      <c r="I225" s="6"/>
      <c r="J225" s="213"/>
      <c r="K225" s="213"/>
      <c r="L225" s="213"/>
      <c r="M225" s="213"/>
      <c r="N225" s="213"/>
      <c r="O225" s="213"/>
      <c r="P225" s="213"/>
      <c r="Q225" s="213"/>
      <c r="R225" s="213"/>
      <c r="S225" s="213"/>
      <c r="T225" s="213"/>
      <c r="U225" s="213"/>
    </row>
    <row r="226" spans="1:21" ht="15.75" customHeight="1" x14ac:dyDescent="0.2">
      <c r="A226" s="6"/>
      <c r="B226" s="6"/>
      <c r="C226" s="6"/>
      <c r="D226" s="6"/>
      <c r="E226" s="6"/>
      <c r="F226" s="6"/>
      <c r="G226" s="6"/>
      <c r="H226" s="6"/>
      <c r="I226" s="6"/>
      <c r="J226" s="213"/>
      <c r="K226" s="213"/>
      <c r="L226" s="213"/>
      <c r="M226" s="213"/>
      <c r="N226" s="213"/>
      <c r="O226" s="213"/>
      <c r="P226" s="213"/>
      <c r="Q226" s="213"/>
      <c r="R226" s="213"/>
      <c r="S226" s="213"/>
      <c r="T226" s="213"/>
      <c r="U226" s="213"/>
    </row>
    <row r="227" spans="1:21" ht="15.75" customHeight="1" x14ac:dyDescent="0.2">
      <c r="A227" s="6"/>
      <c r="B227" s="6"/>
      <c r="C227" s="6"/>
      <c r="D227" s="6"/>
      <c r="E227" s="6"/>
      <c r="F227" s="6"/>
      <c r="G227" s="6"/>
      <c r="H227" s="6"/>
      <c r="I227" s="6"/>
      <c r="J227" s="213"/>
      <c r="K227" s="213"/>
      <c r="L227" s="213"/>
      <c r="M227" s="213"/>
      <c r="N227" s="213"/>
      <c r="O227" s="213"/>
      <c r="P227" s="213"/>
      <c r="Q227" s="213"/>
      <c r="R227" s="213"/>
      <c r="S227" s="213"/>
      <c r="T227" s="213"/>
      <c r="U227" s="213"/>
    </row>
    <row r="228" spans="1:21" ht="15.75" customHeight="1" x14ac:dyDescent="0.2">
      <c r="A228" s="6"/>
      <c r="B228" s="6"/>
      <c r="C228" s="6"/>
      <c r="D228" s="6"/>
      <c r="E228" s="6"/>
      <c r="F228" s="6"/>
      <c r="G228" s="6"/>
      <c r="H228" s="6"/>
      <c r="I228" s="6"/>
      <c r="J228" s="213"/>
      <c r="K228" s="213"/>
      <c r="L228" s="213"/>
      <c r="M228" s="213"/>
      <c r="N228" s="213"/>
      <c r="O228" s="213"/>
      <c r="P228" s="213"/>
      <c r="Q228" s="213"/>
      <c r="R228" s="213"/>
      <c r="S228" s="213"/>
      <c r="T228" s="213"/>
      <c r="U228" s="213"/>
    </row>
    <row r="229" spans="1:21" ht="15.75" customHeight="1" x14ac:dyDescent="0.2">
      <c r="A229" s="6"/>
      <c r="B229" s="6"/>
      <c r="C229" s="6"/>
      <c r="D229" s="6"/>
      <c r="E229" s="6"/>
      <c r="F229" s="6"/>
      <c r="G229" s="6"/>
      <c r="H229" s="6"/>
      <c r="I229" s="6"/>
      <c r="J229" s="213"/>
      <c r="K229" s="213"/>
      <c r="L229" s="213"/>
      <c r="M229" s="213"/>
      <c r="N229" s="213"/>
      <c r="O229" s="213"/>
      <c r="P229" s="213"/>
      <c r="Q229" s="213"/>
      <c r="R229" s="213"/>
      <c r="S229" s="213"/>
      <c r="T229" s="213"/>
      <c r="U229" s="213"/>
    </row>
    <row r="230" spans="1:21" ht="15.75" customHeight="1" x14ac:dyDescent="0.2">
      <c r="A230" s="6"/>
      <c r="B230" s="6"/>
      <c r="C230" s="6"/>
      <c r="D230" s="6"/>
      <c r="E230" s="6"/>
      <c r="F230" s="6"/>
      <c r="G230" s="6"/>
      <c r="H230" s="6"/>
      <c r="I230" s="6"/>
      <c r="J230" s="213"/>
      <c r="K230" s="213"/>
      <c r="L230" s="213"/>
      <c r="M230" s="213"/>
      <c r="N230" s="213"/>
      <c r="O230" s="213"/>
      <c r="P230" s="213"/>
      <c r="Q230" s="213"/>
      <c r="R230" s="213"/>
      <c r="S230" s="213"/>
      <c r="T230" s="213"/>
      <c r="U230" s="213"/>
    </row>
    <row r="231" spans="1:21" ht="15.75" customHeight="1" x14ac:dyDescent="0.2">
      <c r="A231" s="6"/>
      <c r="B231" s="6"/>
      <c r="C231" s="6"/>
      <c r="D231" s="6"/>
      <c r="E231" s="6"/>
      <c r="F231" s="6"/>
      <c r="G231" s="6"/>
      <c r="H231" s="6"/>
      <c r="I231" s="6"/>
      <c r="J231" s="213"/>
      <c r="K231" s="213"/>
      <c r="L231" s="213"/>
      <c r="M231" s="213"/>
      <c r="N231" s="213"/>
      <c r="O231" s="213"/>
      <c r="P231" s="213"/>
      <c r="Q231" s="213"/>
      <c r="R231" s="213"/>
      <c r="S231" s="213"/>
      <c r="T231" s="213"/>
      <c r="U231" s="213"/>
    </row>
    <row r="232" spans="1:21" ht="15.75" customHeight="1" x14ac:dyDescent="0.2">
      <c r="A232" s="6"/>
      <c r="B232" s="6"/>
      <c r="C232" s="6"/>
      <c r="D232" s="6"/>
      <c r="E232" s="6"/>
      <c r="F232" s="6"/>
      <c r="G232" s="6"/>
      <c r="H232" s="6"/>
      <c r="I232" s="6"/>
      <c r="J232" s="213"/>
      <c r="K232" s="213"/>
      <c r="L232" s="213"/>
      <c r="M232" s="213"/>
      <c r="N232" s="213"/>
      <c r="O232" s="213"/>
      <c r="P232" s="213"/>
      <c r="Q232" s="213"/>
      <c r="R232" s="213"/>
      <c r="S232" s="213"/>
      <c r="T232" s="213"/>
      <c r="U232" s="213"/>
    </row>
    <row r="233" spans="1:21" ht="15.75" customHeight="1" x14ac:dyDescent="0.2">
      <c r="A233" s="6"/>
      <c r="B233" s="6"/>
      <c r="C233" s="6"/>
      <c r="D233" s="6"/>
      <c r="E233" s="6"/>
      <c r="F233" s="6"/>
      <c r="G233" s="6"/>
      <c r="H233" s="6"/>
      <c r="I233" s="6"/>
      <c r="J233" s="213"/>
      <c r="K233" s="213"/>
      <c r="L233" s="213"/>
      <c r="M233" s="213"/>
      <c r="N233" s="213"/>
      <c r="O233" s="213"/>
      <c r="P233" s="213"/>
      <c r="Q233" s="213"/>
      <c r="R233" s="213"/>
      <c r="S233" s="213"/>
      <c r="T233" s="213"/>
      <c r="U233" s="213"/>
    </row>
    <row r="234" spans="1:21" ht="15.75" customHeight="1" x14ac:dyDescent="0.2">
      <c r="A234" s="6"/>
      <c r="B234" s="6"/>
      <c r="C234" s="6"/>
      <c r="D234" s="6"/>
      <c r="E234" s="6"/>
      <c r="F234" s="6"/>
      <c r="G234" s="6"/>
      <c r="H234" s="6"/>
      <c r="I234" s="6"/>
      <c r="J234" s="213"/>
      <c r="K234" s="213"/>
      <c r="L234" s="213"/>
      <c r="M234" s="213"/>
      <c r="N234" s="213"/>
      <c r="O234" s="213"/>
      <c r="P234" s="213"/>
      <c r="Q234" s="213"/>
      <c r="R234" s="213"/>
      <c r="S234" s="213"/>
      <c r="T234" s="213"/>
      <c r="U234" s="213"/>
    </row>
    <row r="235" spans="1:21" ht="15.75" customHeight="1" x14ac:dyDescent="0.2">
      <c r="A235" s="6"/>
      <c r="B235" s="6"/>
      <c r="C235" s="6"/>
      <c r="D235" s="6"/>
      <c r="E235" s="6"/>
      <c r="F235" s="6"/>
      <c r="G235" s="6"/>
      <c r="H235" s="6"/>
      <c r="I235" s="6"/>
      <c r="J235" s="213"/>
      <c r="K235" s="213"/>
      <c r="L235" s="213"/>
      <c r="M235" s="213"/>
      <c r="N235" s="213"/>
      <c r="O235" s="213"/>
      <c r="P235" s="213"/>
      <c r="Q235" s="213"/>
      <c r="R235" s="213"/>
      <c r="S235" s="213"/>
      <c r="T235" s="213"/>
      <c r="U235" s="213"/>
    </row>
    <row r="236" spans="1:21" ht="15.75" customHeight="1" x14ac:dyDescent="0.2">
      <c r="A236" s="6"/>
      <c r="B236" s="6"/>
      <c r="C236" s="6"/>
      <c r="D236" s="6"/>
      <c r="E236" s="6"/>
      <c r="F236" s="6"/>
      <c r="G236" s="6"/>
      <c r="H236" s="6"/>
      <c r="I236" s="6"/>
      <c r="J236" s="213"/>
      <c r="K236" s="213"/>
      <c r="L236" s="213"/>
      <c r="M236" s="213"/>
      <c r="N236" s="213"/>
      <c r="O236" s="213"/>
      <c r="P236" s="213"/>
      <c r="Q236" s="213"/>
      <c r="R236" s="213"/>
      <c r="S236" s="213"/>
      <c r="T236" s="213"/>
      <c r="U236" s="213"/>
    </row>
    <row r="237" spans="1:21" ht="15.75" customHeight="1" x14ac:dyDescent="0.2">
      <c r="A237" s="6"/>
      <c r="B237" s="6"/>
      <c r="C237" s="6"/>
      <c r="D237" s="6"/>
      <c r="E237" s="6"/>
      <c r="F237" s="6"/>
      <c r="G237" s="6"/>
      <c r="H237" s="6"/>
      <c r="I237" s="6"/>
      <c r="J237" s="213"/>
      <c r="K237" s="213"/>
      <c r="L237" s="213"/>
      <c r="M237" s="213"/>
      <c r="N237" s="213"/>
      <c r="O237" s="213"/>
      <c r="P237" s="213"/>
      <c r="Q237" s="213"/>
      <c r="R237" s="213"/>
      <c r="S237" s="213"/>
      <c r="T237" s="213"/>
      <c r="U237" s="213"/>
    </row>
    <row r="238" spans="1:21" ht="15.75" customHeight="1" x14ac:dyDescent="0.2">
      <c r="A238" s="6"/>
      <c r="B238" s="6"/>
      <c r="C238" s="6"/>
      <c r="D238" s="6"/>
      <c r="E238" s="6"/>
      <c r="F238" s="6"/>
      <c r="G238" s="6"/>
      <c r="H238" s="6"/>
      <c r="I238" s="6"/>
      <c r="J238" s="213"/>
      <c r="K238" s="213"/>
      <c r="L238" s="213"/>
      <c r="M238" s="213"/>
      <c r="N238" s="213"/>
      <c r="O238" s="213"/>
      <c r="P238" s="213"/>
      <c r="Q238" s="213"/>
      <c r="R238" s="213"/>
      <c r="S238" s="213"/>
      <c r="T238" s="213"/>
      <c r="U238" s="213"/>
    </row>
    <row r="239" spans="1:21" ht="15.75" customHeight="1" x14ac:dyDescent="0.2">
      <c r="A239" s="6"/>
      <c r="B239" s="6"/>
      <c r="C239" s="6"/>
      <c r="D239" s="6"/>
      <c r="E239" s="6"/>
      <c r="F239" s="6"/>
      <c r="G239" s="6"/>
      <c r="H239" s="6"/>
      <c r="I239" s="6"/>
      <c r="J239" s="213"/>
      <c r="K239" s="213"/>
      <c r="L239" s="213"/>
      <c r="M239" s="213"/>
      <c r="N239" s="213"/>
      <c r="O239" s="213"/>
      <c r="P239" s="213"/>
      <c r="Q239" s="213"/>
      <c r="R239" s="213"/>
      <c r="S239" s="213"/>
      <c r="T239" s="213"/>
      <c r="U239" s="213"/>
    </row>
    <row r="240" spans="1:21"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5">
    <mergeCell ref="A1:F2"/>
    <mergeCell ref="O1:Q1"/>
    <mergeCell ref="R1:U1"/>
    <mergeCell ref="B3:D3"/>
    <mergeCell ref="E3:F3"/>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J1000"/>
  <sheetViews>
    <sheetView workbookViewId="0">
      <selection sqref="A1:J1000"/>
    </sheetView>
  </sheetViews>
  <sheetFormatPr defaultColWidth="12.5703125" defaultRowHeight="15" customHeight="1" x14ac:dyDescent="0.2"/>
  <cols>
    <col min="1" max="3" width="17.7109375" customWidth="1"/>
    <col min="4" max="6" width="12.5703125" customWidth="1"/>
  </cols>
  <sheetData>
    <row r="1" spans="1:10" ht="15.75" customHeight="1" x14ac:dyDescent="0.2">
      <c r="A1" s="92"/>
      <c r="B1" s="92"/>
      <c r="C1" s="92" t="s">
        <v>66</v>
      </c>
      <c r="J1" s="92">
        <v>480</v>
      </c>
    </row>
    <row r="2" spans="1:10" ht="15.75" customHeight="1" x14ac:dyDescent="0.2">
      <c r="D2" s="96" t="s">
        <v>6</v>
      </c>
      <c r="E2" s="96" t="s">
        <v>7</v>
      </c>
      <c r="F2" s="96" t="s">
        <v>8</v>
      </c>
      <c r="G2" s="93" t="s">
        <v>12</v>
      </c>
      <c r="H2" s="93" t="s">
        <v>11</v>
      </c>
    </row>
    <row r="3" spans="1:10" ht="15.75" customHeight="1" x14ac:dyDescent="0.25">
      <c r="D3" s="26">
        <v>12819</v>
      </c>
      <c r="E3" s="26">
        <v>12817</v>
      </c>
      <c r="F3" s="26">
        <v>12818</v>
      </c>
      <c r="G3" s="26">
        <v>13579</v>
      </c>
      <c r="H3" s="26">
        <v>13578</v>
      </c>
    </row>
    <row r="4" spans="1:10" ht="15.75" customHeight="1" x14ac:dyDescent="0.2">
      <c r="A4" s="48"/>
      <c r="B4" s="48"/>
      <c r="C4" s="232">
        <v>46235.25</v>
      </c>
      <c r="D4" s="48">
        <v>591.67083333339542</v>
      </c>
      <c r="E4" s="48">
        <v>0</v>
      </c>
      <c r="F4" s="48">
        <v>0</v>
      </c>
      <c r="G4" s="48">
        <v>0</v>
      </c>
      <c r="H4" s="48">
        <v>106.83437499997672</v>
      </c>
    </row>
    <row r="5" spans="1:10" ht="15.75" customHeight="1" x14ac:dyDescent="0.2">
      <c r="A5" s="48"/>
      <c r="B5" s="48"/>
      <c r="C5" s="232">
        <v>46235.583333333336</v>
      </c>
      <c r="D5" s="48">
        <v>595.91666666651145</v>
      </c>
      <c r="E5" s="48">
        <v>0</v>
      </c>
      <c r="F5" s="48">
        <v>0</v>
      </c>
      <c r="G5" s="48">
        <v>0</v>
      </c>
      <c r="H5" s="48">
        <v>140.58125000004657</v>
      </c>
    </row>
    <row r="6" spans="1:10" ht="15.75" customHeight="1" x14ac:dyDescent="0.2">
      <c r="A6" s="48"/>
      <c r="B6" s="48"/>
      <c r="C6" s="232">
        <v>46235.916666666664</v>
      </c>
      <c r="D6" s="48">
        <v>335.03278688527644</v>
      </c>
      <c r="E6" s="48">
        <v>0</v>
      </c>
      <c r="F6" s="48">
        <v>0</v>
      </c>
      <c r="G6" s="48">
        <v>0</v>
      </c>
      <c r="H6" s="48">
        <v>176.09999999997672</v>
      </c>
    </row>
    <row r="7" spans="1:10" ht="15.75" customHeight="1" x14ac:dyDescent="0.2">
      <c r="A7" s="48"/>
      <c r="B7" s="48"/>
      <c r="C7" s="232">
        <v>46236.25</v>
      </c>
      <c r="D7" s="48">
        <v>329.53278688527644</v>
      </c>
      <c r="E7" s="48">
        <v>0</v>
      </c>
      <c r="F7" s="48">
        <v>0</v>
      </c>
      <c r="G7" s="48">
        <v>0.3515625</v>
      </c>
      <c r="H7" s="48">
        <v>23.409374999930151</v>
      </c>
    </row>
    <row r="8" spans="1:10" ht="15.75" customHeight="1" x14ac:dyDescent="0.2">
      <c r="A8" s="48"/>
      <c r="B8" s="48"/>
      <c r="C8" s="232">
        <v>46236.583333333336</v>
      </c>
      <c r="D8" s="48">
        <v>323.53060211474076</v>
      </c>
      <c r="E8" s="48">
        <v>81.300390624994179</v>
      </c>
      <c r="F8" s="48">
        <v>0</v>
      </c>
      <c r="G8" s="48">
        <v>0</v>
      </c>
      <c r="H8" s="48">
        <v>34.265929878107272</v>
      </c>
    </row>
    <row r="9" spans="1:10" ht="15.75" customHeight="1" x14ac:dyDescent="0.2">
      <c r="A9" s="48"/>
      <c r="B9" s="48"/>
      <c r="C9" s="232">
        <v>46236.916666666664</v>
      </c>
      <c r="D9" s="48">
        <v>215.37416309770197</v>
      </c>
      <c r="E9" s="48">
        <v>126.27773437500582</v>
      </c>
      <c r="F9" s="48">
        <v>0</v>
      </c>
      <c r="G9" s="48">
        <v>0</v>
      </c>
      <c r="H9" s="48">
        <v>41.330945121939294</v>
      </c>
    </row>
    <row r="10" spans="1:10" ht="15.75" customHeight="1" x14ac:dyDescent="0.2">
      <c r="A10" s="48"/>
      <c r="B10" s="48"/>
      <c r="C10" s="232">
        <v>46237.25</v>
      </c>
      <c r="D10" s="48">
        <v>821.74687413172796</v>
      </c>
      <c r="E10" s="48">
        <v>0</v>
      </c>
      <c r="F10" s="48">
        <v>0</v>
      </c>
      <c r="G10" s="48">
        <v>0</v>
      </c>
      <c r="H10" s="48">
        <v>96.520312499953434</v>
      </c>
    </row>
    <row r="11" spans="1:10" ht="15.75" customHeight="1" x14ac:dyDescent="0.2">
      <c r="A11" s="48"/>
      <c r="B11" s="48"/>
      <c r="C11" s="232">
        <v>46237.583333333336</v>
      </c>
      <c r="D11" s="48">
        <v>707.33278688509017</v>
      </c>
      <c r="E11" s="48">
        <v>0</v>
      </c>
      <c r="F11" s="48">
        <v>0</v>
      </c>
      <c r="G11" s="48">
        <v>0</v>
      </c>
      <c r="H11" s="48">
        <v>143.06718750006985</v>
      </c>
    </row>
    <row r="12" spans="1:10" ht="15.75" customHeight="1" x14ac:dyDescent="0.2">
      <c r="A12" s="48"/>
      <c r="B12" s="48"/>
      <c r="C12" s="232">
        <v>46237.916666666664</v>
      </c>
      <c r="D12" s="48">
        <v>362.52500000037253</v>
      </c>
      <c r="E12" s="48">
        <v>0</v>
      </c>
      <c r="F12" s="48">
        <v>0</v>
      </c>
      <c r="G12" s="48">
        <v>0</v>
      </c>
      <c r="H12" s="48">
        <v>159.46562499995343</v>
      </c>
    </row>
    <row r="13" spans="1:10" ht="15.75" customHeight="1" x14ac:dyDescent="0.2">
      <c r="A13" s="48"/>
      <c r="B13" s="48"/>
      <c r="C13" s="232">
        <v>46238.25</v>
      </c>
      <c r="D13" s="48">
        <v>839.79166666651145</v>
      </c>
      <c r="E13" s="48">
        <v>0</v>
      </c>
      <c r="F13" s="48">
        <v>0</v>
      </c>
      <c r="G13" s="48">
        <v>0</v>
      </c>
      <c r="H13" s="48">
        <v>108.33281250006985</v>
      </c>
    </row>
    <row r="14" spans="1:10" ht="15.75" customHeight="1" x14ac:dyDescent="0.2">
      <c r="A14" s="48"/>
      <c r="B14" s="48"/>
      <c r="C14" s="232">
        <v>46238.583333333336</v>
      </c>
      <c r="D14" s="48">
        <v>725.50833333330229</v>
      </c>
      <c r="E14" s="48">
        <v>0</v>
      </c>
      <c r="F14" s="48">
        <v>0</v>
      </c>
      <c r="G14" s="48">
        <v>0</v>
      </c>
      <c r="H14" s="48">
        <v>120.78088942309842</v>
      </c>
    </row>
    <row r="15" spans="1:10" ht="15.75" customHeight="1" x14ac:dyDescent="0.2">
      <c r="A15" s="48"/>
      <c r="B15" s="48"/>
      <c r="C15" s="232">
        <v>46238.916666666664</v>
      </c>
      <c r="D15" s="48">
        <v>343.51250000018626</v>
      </c>
      <c r="E15" s="48">
        <v>0</v>
      </c>
      <c r="F15" s="48">
        <v>0</v>
      </c>
      <c r="G15" s="48">
        <v>0</v>
      </c>
      <c r="H15" s="48">
        <v>185.2487980768783</v>
      </c>
    </row>
    <row r="16" spans="1:10" ht="15.75" customHeight="1" x14ac:dyDescent="0.2">
      <c r="A16" s="48"/>
      <c r="B16" s="48"/>
      <c r="C16" s="232">
        <v>46239.25</v>
      </c>
      <c r="D16" s="48">
        <v>808.8502049180679</v>
      </c>
      <c r="E16" s="48">
        <v>0</v>
      </c>
      <c r="F16" s="48">
        <v>0</v>
      </c>
      <c r="G16" s="48">
        <v>0</v>
      </c>
      <c r="H16" s="48">
        <v>94.136051829322241</v>
      </c>
    </row>
    <row r="17" spans="1:8" ht="15.75" customHeight="1" x14ac:dyDescent="0.2">
      <c r="A17" s="48"/>
      <c r="B17" s="48"/>
      <c r="C17" s="232">
        <v>46239.583333333336</v>
      </c>
      <c r="D17" s="48">
        <v>666.6497950819321</v>
      </c>
      <c r="E17" s="48">
        <v>36</v>
      </c>
      <c r="F17" s="48">
        <v>0</v>
      </c>
      <c r="G17" s="48">
        <v>0</v>
      </c>
      <c r="H17" s="48">
        <v>132.46341463411227</v>
      </c>
    </row>
    <row r="18" spans="1:8" ht="15.75" customHeight="1" x14ac:dyDescent="0.2">
      <c r="A18" s="48"/>
      <c r="B18" s="48"/>
      <c r="C18" s="232">
        <v>46239.916666666664</v>
      </c>
      <c r="D18" s="48">
        <v>338</v>
      </c>
      <c r="E18" s="48">
        <v>0</v>
      </c>
      <c r="F18" s="48">
        <v>0</v>
      </c>
      <c r="G18" s="48">
        <v>0</v>
      </c>
      <c r="H18" s="48">
        <v>160.1676829267526</v>
      </c>
    </row>
    <row r="19" spans="1:8" ht="15.75" customHeight="1" x14ac:dyDescent="0.2">
      <c r="A19" s="48"/>
      <c r="B19" s="48"/>
      <c r="C19" s="232">
        <v>46240.25</v>
      </c>
      <c r="D19" s="48">
        <v>790.99166666669771</v>
      </c>
      <c r="E19" s="48">
        <v>0</v>
      </c>
      <c r="F19" s="48">
        <v>0</v>
      </c>
      <c r="G19" s="48">
        <v>0</v>
      </c>
      <c r="H19" s="48">
        <v>90.596913109766319</v>
      </c>
    </row>
    <row r="20" spans="1:8" ht="15.75" customHeight="1" x14ac:dyDescent="0.2">
      <c r="A20" s="48"/>
      <c r="B20" s="48"/>
      <c r="C20" s="232">
        <v>46240.583333333336</v>
      </c>
      <c r="D20" s="48">
        <v>736.52083333302289</v>
      </c>
      <c r="E20" s="48">
        <v>0</v>
      </c>
      <c r="F20" s="48">
        <v>0</v>
      </c>
      <c r="G20" s="48">
        <v>0</v>
      </c>
      <c r="H20" s="48">
        <v>133.15312500006985</v>
      </c>
    </row>
    <row r="21" spans="1:8" ht="15.75" customHeight="1" x14ac:dyDescent="0.2">
      <c r="A21" s="48"/>
      <c r="B21" s="48"/>
      <c r="C21" s="232">
        <v>46240.916666666664</v>
      </c>
      <c r="D21" s="48">
        <v>374.76666666660458</v>
      </c>
      <c r="E21" s="48">
        <v>0</v>
      </c>
      <c r="F21" s="48">
        <v>0</v>
      </c>
      <c r="G21" s="48">
        <v>0</v>
      </c>
      <c r="H21" s="48">
        <v>163.18922697368544</v>
      </c>
    </row>
    <row r="22" spans="1:8" ht="15.75" customHeight="1" x14ac:dyDescent="0.2">
      <c r="A22" s="48"/>
      <c r="B22" s="48"/>
      <c r="C22" s="232">
        <v>46241.25</v>
      </c>
      <c r="D22" s="48">
        <v>827.38333333330229</v>
      </c>
      <c r="E22" s="48">
        <v>0</v>
      </c>
      <c r="F22" s="48">
        <v>0</v>
      </c>
      <c r="G22" s="48">
        <v>0</v>
      </c>
      <c r="H22" s="48">
        <v>96.474835526314564</v>
      </c>
    </row>
    <row r="23" spans="1:8" ht="15.75" customHeight="1" x14ac:dyDescent="0.2">
      <c r="A23" s="48"/>
      <c r="B23" s="48"/>
      <c r="C23" s="232">
        <v>46241.583333333336</v>
      </c>
      <c r="D23" s="48">
        <v>663.22118644090369</v>
      </c>
      <c r="E23" s="48">
        <v>0</v>
      </c>
      <c r="F23" s="48">
        <v>0</v>
      </c>
      <c r="G23" s="48">
        <v>0</v>
      </c>
      <c r="H23" s="48">
        <v>131.35114329261705</v>
      </c>
    </row>
    <row r="24" spans="1:8" ht="15.75" customHeight="1" x14ac:dyDescent="0.2">
      <c r="A24" s="48"/>
      <c r="B24" s="48"/>
      <c r="C24" s="232">
        <v>46241.916666666664</v>
      </c>
      <c r="D24" s="48">
        <v>342.80381355946884</v>
      </c>
      <c r="E24" s="48">
        <v>0</v>
      </c>
      <c r="F24" s="48">
        <v>0</v>
      </c>
      <c r="G24" s="48">
        <v>0</v>
      </c>
      <c r="H24" s="48">
        <v>168.88791920733638</v>
      </c>
    </row>
    <row r="25" spans="1:8" ht="15.75" customHeight="1" x14ac:dyDescent="0.2">
      <c r="A25" s="48"/>
      <c r="B25" s="48"/>
      <c r="C25" s="232">
        <v>46242.25</v>
      </c>
      <c r="D25" s="48">
        <v>485.98749999981374</v>
      </c>
      <c r="E25" s="48">
        <v>0</v>
      </c>
      <c r="F25" s="48">
        <v>0</v>
      </c>
      <c r="G25" s="48">
        <v>0</v>
      </c>
      <c r="H25" s="48">
        <v>91.889062499976717</v>
      </c>
    </row>
    <row r="26" spans="1:8" ht="15.75" customHeight="1" x14ac:dyDescent="0.2">
      <c r="A26" s="48"/>
      <c r="B26" s="48"/>
      <c r="C26" s="232">
        <v>46242.583333333336</v>
      </c>
      <c r="D26" s="48">
        <v>295.5</v>
      </c>
      <c r="E26" s="48">
        <v>81.828125</v>
      </c>
      <c r="F26" s="48">
        <v>0</v>
      </c>
      <c r="G26" s="48">
        <v>1.76953125</v>
      </c>
      <c r="H26" s="48">
        <v>127.89375000004657</v>
      </c>
    </row>
    <row r="27" spans="1:8" ht="15.75" customHeight="1" x14ac:dyDescent="0.2">
      <c r="A27" s="48"/>
      <c r="B27" s="48"/>
      <c r="C27" s="232">
        <v>46242.916666666664</v>
      </c>
      <c r="D27" s="48">
        <v>321.98749999981374</v>
      </c>
      <c r="E27" s="48">
        <v>0</v>
      </c>
      <c r="F27" s="48">
        <v>0</v>
      </c>
      <c r="G27" s="48">
        <v>0</v>
      </c>
      <c r="H27" s="48">
        <v>163.1875</v>
      </c>
    </row>
    <row r="28" spans="1:8" ht="15.75" customHeight="1" x14ac:dyDescent="0.2">
      <c r="A28" s="48"/>
      <c r="B28" s="48"/>
      <c r="C28" s="232">
        <v>46243.25</v>
      </c>
      <c r="D28" s="48">
        <v>299.65000000037253</v>
      </c>
      <c r="E28" s="48">
        <v>0</v>
      </c>
      <c r="F28" s="48">
        <v>0</v>
      </c>
      <c r="G28" s="48">
        <v>0</v>
      </c>
      <c r="H28" s="48">
        <v>19.84539473685436</v>
      </c>
    </row>
    <row r="29" spans="1:8" ht="15.75" customHeight="1" x14ac:dyDescent="0.2">
      <c r="A29" s="48"/>
      <c r="B29" s="48"/>
      <c r="C29" s="232">
        <v>46243.583333333336</v>
      </c>
      <c r="D29" s="48">
        <v>348.875</v>
      </c>
      <c r="E29" s="48">
        <v>2.8984375</v>
      </c>
      <c r="F29" s="48">
        <v>0</v>
      </c>
      <c r="G29" s="48">
        <v>0</v>
      </c>
      <c r="H29" s="48">
        <v>34.518667763099074</v>
      </c>
    </row>
    <row r="30" spans="1:8" ht="15.75" customHeight="1" x14ac:dyDescent="0.2">
      <c r="A30" s="48"/>
      <c r="B30" s="48"/>
      <c r="C30" s="232">
        <v>46243.916666666664</v>
      </c>
      <c r="D30" s="48">
        <v>316.48647540947422</v>
      </c>
      <c r="E30" s="48">
        <v>0</v>
      </c>
      <c r="F30" s="48">
        <v>0</v>
      </c>
      <c r="G30" s="48">
        <v>0</v>
      </c>
      <c r="H30" s="48">
        <v>37.196875000023283</v>
      </c>
    </row>
    <row r="31" spans="1:8" ht="15.75" customHeight="1" x14ac:dyDescent="0.2">
      <c r="A31" s="48"/>
      <c r="B31" s="48"/>
      <c r="C31" s="232">
        <v>46244.25</v>
      </c>
      <c r="D31" s="48">
        <v>841.33019125694409</v>
      </c>
      <c r="E31" s="48">
        <v>0</v>
      </c>
      <c r="F31" s="48">
        <v>0</v>
      </c>
      <c r="G31" s="48">
        <v>0</v>
      </c>
      <c r="H31" s="48">
        <v>87.014062499976717</v>
      </c>
    </row>
    <row r="32" spans="1:8" ht="15.75" customHeight="1" x14ac:dyDescent="0.2">
      <c r="A32" s="48"/>
      <c r="B32" s="48"/>
      <c r="C32" s="232">
        <v>46244.583333333336</v>
      </c>
      <c r="D32" s="48">
        <v>737.14583333348855</v>
      </c>
      <c r="E32" s="48">
        <v>0</v>
      </c>
      <c r="F32" s="48">
        <v>0</v>
      </c>
      <c r="G32" s="48">
        <v>0</v>
      </c>
      <c r="H32" s="48">
        <v>146.52103658532724</v>
      </c>
    </row>
    <row r="33" spans="1:8" ht="15.75" customHeight="1" x14ac:dyDescent="0.2">
      <c r="A33" s="48"/>
      <c r="B33" s="48"/>
      <c r="C33" s="232">
        <v>46244.916666666664</v>
      </c>
      <c r="D33" s="48">
        <v>344</v>
      </c>
      <c r="E33" s="48">
        <v>0</v>
      </c>
      <c r="F33" s="48">
        <v>0</v>
      </c>
      <c r="G33" s="48">
        <v>0</v>
      </c>
      <c r="H33" s="48">
        <v>188.93521341471933</v>
      </c>
    </row>
    <row r="34" spans="1:8" ht="15.75" customHeight="1" x14ac:dyDescent="0.2">
      <c r="C34" s="107">
        <v>46245.25</v>
      </c>
      <c r="D34">
        <v>870.72916666651145</v>
      </c>
      <c r="E34">
        <v>0</v>
      </c>
      <c r="F34">
        <v>0</v>
      </c>
      <c r="G34">
        <v>0</v>
      </c>
      <c r="H34">
        <v>98.28125</v>
      </c>
    </row>
    <row r="35" spans="1:8" ht="15.75" customHeight="1" x14ac:dyDescent="0.2">
      <c r="C35" s="107">
        <v>46245.583333333336</v>
      </c>
      <c r="D35">
        <v>802.62083333358169</v>
      </c>
      <c r="E35">
        <v>0</v>
      </c>
      <c r="F35">
        <v>0</v>
      </c>
      <c r="G35">
        <v>0</v>
      </c>
      <c r="H35">
        <v>130.69999999995343</v>
      </c>
    </row>
    <row r="36" spans="1:8" ht="15.75" customHeight="1" x14ac:dyDescent="0.2">
      <c r="C36" s="107">
        <v>46245.916666666664</v>
      </c>
      <c r="D36">
        <v>373.47499999962747</v>
      </c>
      <c r="E36">
        <v>0</v>
      </c>
      <c r="F36">
        <v>0</v>
      </c>
      <c r="G36">
        <v>0</v>
      </c>
      <c r="H36">
        <v>197.21250000002328</v>
      </c>
    </row>
    <row r="37" spans="1:8" ht="15.75" customHeight="1" x14ac:dyDescent="0.2">
      <c r="C37" s="107">
        <v>46246.25</v>
      </c>
      <c r="D37">
        <v>590.38750000018626</v>
      </c>
      <c r="E37">
        <v>283.21302083334012</v>
      </c>
      <c r="F37">
        <v>0</v>
      </c>
      <c r="G37">
        <v>0.51171875</v>
      </c>
      <c r="H37">
        <v>83.707812500069849</v>
      </c>
    </row>
    <row r="38" spans="1:8" ht="15.75" customHeight="1" x14ac:dyDescent="0.2">
      <c r="C38" s="107">
        <v>46246.583333333336</v>
      </c>
      <c r="D38">
        <v>602.61249999981374</v>
      </c>
      <c r="E38">
        <v>235.88072916665988</v>
      </c>
      <c r="F38">
        <v>0</v>
      </c>
      <c r="G38">
        <v>0</v>
      </c>
      <c r="H38">
        <v>143.5234375</v>
      </c>
    </row>
    <row r="39" spans="1:8" ht="15.75" customHeight="1" x14ac:dyDescent="0.2">
      <c r="C39" s="107">
        <v>46246.916666666664</v>
      </c>
      <c r="D39">
        <v>337.72916666697711</v>
      </c>
      <c r="E39">
        <v>0</v>
      </c>
      <c r="F39">
        <v>0</v>
      </c>
      <c r="G39">
        <v>0</v>
      </c>
      <c r="H39">
        <v>243.18124999990687</v>
      </c>
    </row>
    <row r="40" spans="1:8" ht="15.75" customHeight="1" x14ac:dyDescent="0.2">
      <c r="C40" s="107">
        <v>46247.25</v>
      </c>
      <c r="D40">
        <v>861.40833333320916</v>
      </c>
      <c r="E40">
        <v>0</v>
      </c>
      <c r="F40">
        <v>0</v>
      </c>
      <c r="G40">
        <v>1.611328125</v>
      </c>
      <c r="H40">
        <v>101.44687500002328</v>
      </c>
    </row>
    <row r="41" spans="1:8" ht="15.75" customHeight="1" x14ac:dyDescent="0.2">
      <c r="C41" s="107">
        <v>46247.583333333336</v>
      </c>
      <c r="D41">
        <v>762.60000000009313</v>
      </c>
      <c r="E41">
        <v>0</v>
      </c>
      <c r="F41">
        <v>0</v>
      </c>
      <c r="G41">
        <v>97.265958460367983</v>
      </c>
      <c r="H41">
        <v>38.915625000023283</v>
      </c>
    </row>
    <row r="42" spans="1:8" ht="15.75" customHeight="1" x14ac:dyDescent="0.2">
      <c r="C42" s="107">
        <v>46247.916666666664</v>
      </c>
      <c r="D42">
        <v>340.71666666679084</v>
      </c>
      <c r="E42">
        <v>0</v>
      </c>
      <c r="F42">
        <v>0</v>
      </c>
      <c r="G42">
        <v>29.577791539632017</v>
      </c>
      <c r="H42">
        <v>222.3046875</v>
      </c>
    </row>
    <row r="43" spans="1:8" ht="15.75" customHeight="1" x14ac:dyDescent="0.2">
      <c r="C43" s="107">
        <v>46248.25</v>
      </c>
      <c r="D43">
        <v>877.20792349707335</v>
      </c>
      <c r="E43">
        <v>0</v>
      </c>
      <c r="F43">
        <v>0</v>
      </c>
      <c r="G43">
        <v>1.595703125</v>
      </c>
      <c r="H43">
        <v>86.555068597546779</v>
      </c>
    </row>
    <row r="44" spans="1:8" ht="15.75" customHeight="1" x14ac:dyDescent="0.2">
      <c r="C44" s="107">
        <v>46248.583333333336</v>
      </c>
      <c r="D44">
        <v>737.25040983594954</v>
      </c>
      <c r="E44">
        <v>0</v>
      </c>
      <c r="F44">
        <v>0</v>
      </c>
      <c r="G44">
        <v>0</v>
      </c>
      <c r="H44">
        <v>156.34649390249979</v>
      </c>
    </row>
    <row r="45" spans="1:8" ht="15.75" customHeight="1" x14ac:dyDescent="0.2">
      <c r="C45" s="107">
        <v>46248.916666666664</v>
      </c>
      <c r="D45">
        <v>334.94166666688398</v>
      </c>
      <c r="E45">
        <v>0</v>
      </c>
      <c r="F45">
        <v>0</v>
      </c>
      <c r="G45">
        <v>0</v>
      </c>
      <c r="H45">
        <v>208.3196646340657</v>
      </c>
    </row>
    <row r="46" spans="1:8" ht="15.75" customHeight="1" x14ac:dyDescent="0.2">
      <c r="C46" s="107">
        <v>46249.25</v>
      </c>
      <c r="D46">
        <v>365.85000000009313</v>
      </c>
      <c r="E46">
        <v>0</v>
      </c>
      <c r="F46">
        <v>0</v>
      </c>
      <c r="G46">
        <v>0</v>
      </c>
      <c r="H46">
        <v>25.328772865934297</v>
      </c>
    </row>
    <row r="47" spans="1:8" ht="15.75" customHeight="1" x14ac:dyDescent="0.2">
      <c r="C47" s="107">
        <v>46249.583333333336</v>
      </c>
      <c r="D47">
        <v>350.95833333302289</v>
      </c>
      <c r="E47">
        <v>0</v>
      </c>
      <c r="F47">
        <v>0</v>
      </c>
      <c r="G47">
        <v>0</v>
      </c>
      <c r="H47">
        <v>35.0859375</v>
      </c>
    </row>
    <row r="48" spans="1:8" ht="15.75" customHeight="1" x14ac:dyDescent="0.2">
      <c r="C48" s="107">
        <v>46249.916666666664</v>
      </c>
      <c r="D48">
        <v>342.02499999990687</v>
      </c>
      <c r="E48">
        <v>0</v>
      </c>
      <c r="F48">
        <v>0</v>
      </c>
      <c r="G48">
        <v>0</v>
      </c>
      <c r="H48">
        <v>38.325744047528133</v>
      </c>
    </row>
    <row r="49" spans="3:8" ht="15.75" customHeight="1" x14ac:dyDescent="0.2">
      <c r="C49" s="107">
        <v>46250.25</v>
      </c>
      <c r="D49">
        <v>294.53750000009313</v>
      </c>
      <c r="E49">
        <v>0</v>
      </c>
      <c r="F49">
        <v>0</v>
      </c>
      <c r="G49">
        <v>15.001953125</v>
      </c>
      <c r="H49">
        <v>43.858630952425301</v>
      </c>
    </row>
    <row r="50" spans="3:8" ht="15.75" customHeight="1" x14ac:dyDescent="0.2">
      <c r="C50" s="107">
        <v>46250.583333333336</v>
      </c>
      <c r="D50">
        <v>361.07500000018626</v>
      </c>
      <c r="E50">
        <v>0</v>
      </c>
      <c r="F50">
        <v>0</v>
      </c>
      <c r="G50">
        <v>13.8984375</v>
      </c>
      <c r="H50">
        <v>66.199695121962577</v>
      </c>
    </row>
    <row r="51" spans="3:8" ht="15.75" customHeight="1" x14ac:dyDescent="0.2">
      <c r="C51" s="107">
        <v>46250.916666666664</v>
      </c>
      <c r="D51">
        <v>345.80471311463043</v>
      </c>
      <c r="E51">
        <v>0</v>
      </c>
      <c r="F51">
        <v>0</v>
      </c>
      <c r="G51">
        <v>0</v>
      </c>
      <c r="H51">
        <v>39.679992377990857</v>
      </c>
    </row>
    <row r="52" spans="3:8" ht="15.75" customHeight="1" x14ac:dyDescent="0.2">
      <c r="C52" s="107">
        <v>46251.25</v>
      </c>
      <c r="D52">
        <v>826.69945355178788</v>
      </c>
      <c r="E52">
        <v>0</v>
      </c>
      <c r="F52">
        <v>0</v>
      </c>
      <c r="G52">
        <v>0</v>
      </c>
      <c r="H52">
        <v>120.85659298789687</v>
      </c>
    </row>
    <row r="53" spans="3:8" ht="15.75" customHeight="1" x14ac:dyDescent="0.2">
      <c r="C53" s="107">
        <v>46251.583333333336</v>
      </c>
      <c r="D53">
        <v>708.40833333367482</v>
      </c>
      <c r="E53">
        <v>0</v>
      </c>
      <c r="F53">
        <v>0</v>
      </c>
      <c r="G53">
        <v>0</v>
      </c>
      <c r="H53">
        <v>203.34496951219626</v>
      </c>
    </row>
    <row r="54" spans="3:8" ht="15.75" customHeight="1" x14ac:dyDescent="0.2">
      <c r="C54" s="107">
        <v>46251.916666666664</v>
      </c>
      <c r="D54">
        <v>335.28749999962747</v>
      </c>
      <c r="E54">
        <v>0</v>
      </c>
      <c r="F54">
        <v>0</v>
      </c>
      <c r="G54">
        <v>0</v>
      </c>
      <c r="H54">
        <v>179.69687499990687</v>
      </c>
    </row>
    <row r="55" spans="3:8" ht="15.75" customHeight="1" x14ac:dyDescent="0.2">
      <c r="C55" s="107"/>
    </row>
    <row r="56" spans="3:8" ht="15.75" customHeight="1" x14ac:dyDescent="0.2">
      <c r="C56" s="107"/>
    </row>
    <row r="57" spans="3:8" ht="15.75" customHeight="1" x14ac:dyDescent="0.2">
      <c r="C57" s="107"/>
    </row>
    <row r="58" spans="3:8" ht="15.75" customHeight="1" x14ac:dyDescent="0.2">
      <c r="C58" s="107"/>
    </row>
    <row r="59" spans="3:8" ht="15.75" customHeight="1" x14ac:dyDescent="0.2">
      <c r="C59" s="107"/>
    </row>
    <row r="60" spans="3:8" ht="15.75" customHeight="1" x14ac:dyDescent="0.2">
      <c r="C60" s="107"/>
    </row>
    <row r="61" spans="3:8" ht="15.75" customHeight="1" x14ac:dyDescent="0.2">
      <c r="C61" s="107"/>
    </row>
    <row r="62" spans="3:8" ht="15.75" customHeight="1" x14ac:dyDescent="0.2">
      <c r="C62" s="107"/>
    </row>
    <row r="63" spans="3:8" ht="15.75" customHeight="1" x14ac:dyDescent="0.2">
      <c r="C63" s="107"/>
    </row>
    <row r="64" spans="3:8"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A1000"/>
  <sheetViews>
    <sheetView workbookViewId="0">
      <selection sqref="A1:A1000"/>
    </sheetView>
  </sheetViews>
  <sheetFormatPr defaultColWidth="12.5703125" defaultRowHeight="15" customHeight="1" x14ac:dyDescent="0.2"/>
  <cols>
    <col min="1" max="6" width="12.5703125" customWidth="1"/>
  </cols>
  <sheetData>
    <row r="1" spans="1:1" ht="15.75" customHeight="1" x14ac:dyDescent="0.2">
      <c r="A1" s="233">
        <v>0.25</v>
      </c>
    </row>
    <row r="2" spans="1:1" ht="15.75" customHeight="1" x14ac:dyDescent="0.2">
      <c r="A2" s="92">
        <v>1440</v>
      </c>
    </row>
    <row r="3" spans="1:1" ht="15.75" customHeight="1" x14ac:dyDescent="0.2">
      <c r="A3" s="107">
        <v>46235</v>
      </c>
    </row>
    <row r="4" spans="1:1" ht="15.75" customHeight="1" x14ac:dyDescent="0.2">
      <c r="A4" s="107">
        <v>46252</v>
      </c>
    </row>
    <row r="5" spans="1:1" ht="15.75" customHeight="1" x14ac:dyDescent="0.2"/>
    <row r="6" spans="1:1" ht="15.75" customHeight="1" x14ac:dyDescent="0.2"/>
    <row r="7" spans="1:1" ht="15.75" customHeight="1" x14ac:dyDescent="0.2"/>
    <row r="8" spans="1:1" ht="15.75" customHeight="1" x14ac:dyDescent="0.2"/>
    <row r="9" spans="1:1" ht="15.75" customHeight="1" x14ac:dyDescent="0.2"/>
    <row r="10" spans="1:1" ht="15.75" customHeight="1" x14ac:dyDescent="0.2">
      <c r="A10" s="92">
        <v>1457</v>
      </c>
    </row>
    <row r="11" spans="1:1" ht="15.75" customHeight="1" x14ac:dyDescent="0.2"/>
    <row r="12" spans="1:1" ht="15.75" customHeight="1" x14ac:dyDescent="0.2"/>
    <row r="13" spans="1:1" ht="15.75" customHeight="1" x14ac:dyDescent="0.2"/>
    <row r="14" spans="1:1" ht="15.75" customHeight="1" x14ac:dyDescent="0.2"/>
    <row r="15" spans="1:1" ht="15.75" customHeight="1" x14ac:dyDescent="0.2"/>
    <row r="16" spans="1:1" ht="15.75" customHeight="1" x14ac:dyDescent="0.2"/>
    <row r="17" ht="15.75" customHeight="1" x14ac:dyDescent="0.2"/>
    <row r="18" ht="15.75" customHeight="1" x14ac:dyDescent="0.2"/>
    <row r="19" ht="15.75" customHeight="1" x14ac:dyDescent="0.2"/>
    <row r="20" ht="15.75" customHeight="1" x14ac:dyDescent="0.2"/>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AA1000"/>
  <sheetViews>
    <sheetView workbookViewId="0">
      <selection sqref="A1:AA1000"/>
    </sheetView>
  </sheetViews>
  <sheetFormatPr defaultColWidth="12.5703125" defaultRowHeight="15" customHeight="1" x14ac:dyDescent="0.2"/>
  <cols>
    <col min="1" max="1" width="12.7109375" customWidth="1"/>
    <col min="2" max="2" width="16.42578125" customWidth="1"/>
    <col min="3" max="6" width="12.5703125" customWidth="1"/>
  </cols>
  <sheetData>
    <row r="1" spans="1:27" ht="15.75" customHeight="1" x14ac:dyDescent="0.2">
      <c r="C1" s="177" t="s">
        <v>6</v>
      </c>
      <c r="D1" s="181" t="s">
        <v>11</v>
      </c>
      <c r="E1" s="185" t="s">
        <v>7</v>
      </c>
      <c r="F1" s="188" t="s">
        <v>8</v>
      </c>
      <c r="G1" s="181" t="s">
        <v>12</v>
      </c>
    </row>
    <row r="2" spans="1:27" ht="15.75" hidden="1" customHeight="1" x14ac:dyDescent="0.25">
      <c r="C2" s="234">
        <v>12819</v>
      </c>
      <c r="D2" s="182">
        <v>13578</v>
      </c>
      <c r="E2" s="37">
        <v>12817</v>
      </c>
      <c r="F2" s="189">
        <v>12818</v>
      </c>
      <c r="G2" s="182">
        <v>13579</v>
      </c>
    </row>
    <row r="3" spans="1:27" ht="15.75" hidden="1" customHeight="1" x14ac:dyDescent="0.25">
      <c r="B3" s="92" t="s">
        <v>69</v>
      </c>
      <c r="C3" s="235" t="s">
        <v>6</v>
      </c>
      <c r="D3" s="235" t="s">
        <v>11</v>
      </c>
      <c r="E3" s="235" t="s">
        <v>7</v>
      </c>
      <c r="F3" s="235" t="s">
        <v>8</v>
      </c>
      <c r="G3" s="235" t="s">
        <v>12</v>
      </c>
      <c r="H3" s="235"/>
      <c r="I3" s="235"/>
      <c r="J3" s="235"/>
      <c r="K3" s="235"/>
      <c r="L3" s="235"/>
      <c r="M3" s="235"/>
      <c r="N3" s="235"/>
      <c r="O3" s="235"/>
      <c r="P3" s="235"/>
      <c r="Q3" s="235"/>
      <c r="R3" s="235"/>
      <c r="S3" s="235"/>
      <c r="T3" s="235"/>
      <c r="U3" s="235"/>
      <c r="V3" s="235"/>
      <c r="W3" s="235"/>
      <c r="X3" s="235"/>
      <c r="Y3" s="235"/>
      <c r="Z3" s="235"/>
      <c r="AA3" s="235"/>
    </row>
    <row r="4" spans="1:27" ht="15.75" hidden="1" customHeight="1" x14ac:dyDescent="0.25">
      <c r="A4" s="236"/>
      <c r="B4" s="237"/>
      <c r="C4" s="147" t="s">
        <v>31</v>
      </c>
      <c r="D4" s="147" t="s">
        <v>31</v>
      </c>
      <c r="E4" s="147" t="s">
        <v>31</v>
      </c>
      <c r="F4" s="147" t="s">
        <v>31</v>
      </c>
      <c r="G4" s="147" t="s">
        <v>31</v>
      </c>
      <c r="H4" s="147"/>
      <c r="I4" s="147"/>
      <c r="J4" s="147"/>
      <c r="K4" s="147"/>
      <c r="L4" s="147"/>
      <c r="M4" s="147"/>
      <c r="N4" s="147"/>
      <c r="O4" s="147"/>
      <c r="P4" s="147"/>
      <c r="Q4" s="147"/>
      <c r="R4" s="147"/>
      <c r="S4" s="147"/>
      <c r="T4" s="147"/>
      <c r="U4" s="147"/>
      <c r="V4" s="147"/>
      <c r="W4" s="147"/>
      <c r="X4" s="147"/>
      <c r="Y4" s="147"/>
      <c r="Z4" s="147"/>
      <c r="AA4" s="147"/>
    </row>
    <row r="5" spans="1:27" ht="15.75" hidden="1" customHeight="1" x14ac:dyDescent="0.25">
      <c r="C5" s="234">
        <v>12819</v>
      </c>
      <c r="D5" s="182">
        <v>13578</v>
      </c>
      <c r="E5" s="37">
        <v>12817</v>
      </c>
      <c r="F5" s="189">
        <v>12818</v>
      </c>
      <c r="G5" s="182">
        <v>13579</v>
      </c>
      <c r="H5" s="235"/>
      <c r="I5" s="235"/>
      <c r="J5" s="235"/>
      <c r="K5" s="235"/>
      <c r="L5" s="235"/>
      <c r="M5" s="235"/>
      <c r="N5" s="235"/>
      <c r="O5" s="235"/>
      <c r="P5" s="235"/>
      <c r="Q5" s="235"/>
      <c r="R5" s="235"/>
      <c r="S5" s="235"/>
      <c r="T5" s="235"/>
      <c r="U5" s="235"/>
      <c r="V5" s="235"/>
      <c r="W5" s="235"/>
      <c r="X5" s="235"/>
      <c r="Y5" s="235"/>
      <c r="Z5" s="235"/>
      <c r="AA5" s="235"/>
    </row>
    <row r="6" spans="1:27" ht="15.75" customHeight="1" x14ac:dyDescent="0.25">
      <c r="A6" s="238"/>
      <c r="B6" s="239">
        <v>46235</v>
      </c>
      <c r="C6" s="240">
        <v>250.27499999990687</v>
      </c>
      <c r="D6" s="240">
        <v>66.438244047574699</v>
      </c>
      <c r="E6" s="240">
        <v>0</v>
      </c>
      <c r="F6" s="240">
        <v>0</v>
      </c>
      <c r="G6" s="240">
        <v>0</v>
      </c>
    </row>
    <row r="7" spans="1:27" ht="15.75" customHeight="1" x14ac:dyDescent="0.2">
      <c r="B7" s="239">
        <v>46236</v>
      </c>
      <c r="C7" s="240">
        <v>165.48416226729751</v>
      </c>
      <c r="D7" s="240">
        <v>11.5</v>
      </c>
      <c r="E7" s="240">
        <v>0</v>
      </c>
      <c r="F7" s="240">
        <v>0</v>
      </c>
      <c r="G7" s="240">
        <v>0</v>
      </c>
    </row>
    <row r="8" spans="1:27" ht="15.75" customHeight="1" x14ac:dyDescent="0.2">
      <c r="B8" s="239">
        <v>46237</v>
      </c>
      <c r="C8" s="240">
        <v>360.76241963775828</v>
      </c>
      <c r="D8" s="240">
        <v>58.021874999976717</v>
      </c>
      <c r="E8" s="240">
        <v>0</v>
      </c>
      <c r="F8" s="240">
        <v>0</v>
      </c>
      <c r="G8" s="240">
        <v>0</v>
      </c>
    </row>
    <row r="9" spans="1:27" ht="15.75" customHeight="1" x14ac:dyDescent="0.2">
      <c r="B9" s="239">
        <v>46238</v>
      </c>
      <c r="C9" s="240">
        <v>373.74166666669771</v>
      </c>
      <c r="D9" s="240">
        <v>54.890625</v>
      </c>
      <c r="E9" s="240">
        <v>0</v>
      </c>
      <c r="F9" s="240">
        <v>0</v>
      </c>
      <c r="G9" s="240">
        <v>0</v>
      </c>
    </row>
    <row r="10" spans="1:27" ht="15.75" customHeight="1" x14ac:dyDescent="0.2">
      <c r="B10" s="239">
        <v>46239</v>
      </c>
      <c r="C10" s="240">
        <v>361.77499999990687</v>
      </c>
      <c r="D10" s="240">
        <v>52.309374999953434</v>
      </c>
      <c r="E10" s="240">
        <v>0</v>
      </c>
      <c r="F10" s="240">
        <v>0</v>
      </c>
      <c r="G10" s="240">
        <v>0</v>
      </c>
    </row>
    <row r="11" spans="1:27" ht="15.75" customHeight="1" x14ac:dyDescent="0.2">
      <c r="B11" s="239">
        <v>46240</v>
      </c>
      <c r="C11" s="240">
        <v>342.67916666669771</v>
      </c>
      <c r="D11" s="240">
        <v>51.429725609836169</v>
      </c>
      <c r="E11" s="240">
        <v>0</v>
      </c>
      <c r="F11" s="240">
        <v>0</v>
      </c>
      <c r="G11" s="240">
        <v>0</v>
      </c>
    </row>
    <row r="12" spans="1:27" ht="15.75" customHeight="1" x14ac:dyDescent="0.2">
      <c r="B12" s="239">
        <v>46241</v>
      </c>
      <c r="C12" s="240">
        <v>368</v>
      </c>
      <c r="D12" s="240">
        <v>57.461649550707079</v>
      </c>
      <c r="E12" s="240">
        <v>0</v>
      </c>
      <c r="F12" s="240">
        <v>0</v>
      </c>
      <c r="G12" s="240">
        <v>0</v>
      </c>
    </row>
    <row r="13" spans="1:27" ht="15.75" customHeight="1" x14ac:dyDescent="0.2">
      <c r="B13" s="239">
        <v>46242</v>
      </c>
      <c r="C13" s="240">
        <v>240.94549180287868</v>
      </c>
      <c r="D13" s="240">
        <v>51.573437500046566</v>
      </c>
      <c r="E13" s="240">
        <v>0</v>
      </c>
      <c r="F13" s="240">
        <v>0</v>
      </c>
      <c r="G13" s="240">
        <v>0</v>
      </c>
    </row>
    <row r="14" spans="1:27" ht="15.75" customHeight="1" x14ac:dyDescent="0.2">
      <c r="B14" s="239">
        <v>46243</v>
      </c>
      <c r="C14" s="240">
        <v>154.31666666688398</v>
      </c>
      <c r="D14" s="240">
        <v>9.6875</v>
      </c>
      <c r="E14" s="240">
        <v>0</v>
      </c>
      <c r="F14" s="240">
        <v>0</v>
      </c>
      <c r="G14" s="240">
        <v>0</v>
      </c>
    </row>
    <row r="15" spans="1:27" ht="15.75" customHeight="1" x14ac:dyDescent="0.2">
      <c r="B15" s="239">
        <v>46244</v>
      </c>
      <c r="C15" s="240">
        <v>343.08852459024638</v>
      </c>
      <c r="D15" s="240">
        <v>44.096875000046566</v>
      </c>
      <c r="E15" s="240">
        <v>0</v>
      </c>
      <c r="F15" s="240">
        <v>0</v>
      </c>
      <c r="G15" s="240">
        <v>0</v>
      </c>
    </row>
    <row r="16" spans="1:27" ht="15.75" customHeight="1" x14ac:dyDescent="0.2">
      <c r="B16" s="239">
        <v>46245</v>
      </c>
      <c r="C16" s="240">
        <v>363.04856557352468</v>
      </c>
      <c r="D16" s="240">
        <v>48.695884146378376</v>
      </c>
      <c r="E16" s="240">
        <v>0</v>
      </c>
      <c r="F16" s="240">
        <v>0</v>
      </c>
      <c r="G16" s="240">
        <v>0</v>
      </c>
    </row>
    <row r="17" spans="2:7" ht="15.75" customHeight="1" x14ac:dyDescent="0.2">
      <c r="B17" s="239">
        <v>46246</v>
      </c>
      <c r="C17" s="240">
        <v>368.1875</v>
      </c>
      <c r="D17" s="240">
        <v>46.190625000046566</v>
      </c>
      <c r="E17" s="240">
        <v>0</v>
      </c>
      <c r="F17" s="240">
        <v>0</v>
      </c>
      <c r="G17" s="240">
        <v>0</v>
      </c>
    </row>
    <row r="18" spans="2:7" ht="15.75" customHeight="1" x14ac:dyDescent="0.2">
      <c r="B18" s="239">
        <v>46247</v>
      </c>
      <c r="C18" s="240">
        <v>371.28333333320916</v>
      </c>
      <c r="D18" s="240">
        <v>58.690625000046566</v>
      </c>
      <c r="E18" s="240">
        <v>0</v>
      </c>
      <c r="F18" s="240">
        <v>0</v>
      </c>
      <c r="G18" s="240">
        <v>0</v>
      </c>
    </row>
    <row r="19" spans="2:7" ht="15.75" customHeight="1" x14ac:dyDescent="0.2">
      <c r="B19" s="239">
        <v>46248</v>
      </c>
      <c r="C19" s="240">
        <v>392.99999999953434</v>
      </c>
      <c r="D19" s="240">
        <v>45.292187499930151</v>
      </c>
      <c r="E19" s="240">
        <v>0</v>
      </c>
      <c r="F19" s="240">
        <v>0</v>
      </c>
      <c r="G19" s="240">
        <v>0</v>
      </c>
    </row>
    <row r="20" spans="2:7" ht="15.75" customHeight="1" x14ac:dyDescent="0.2">
      <c r="B20" s="239">
        <v>46249</v>
      </c>
      <c r="C20" s="240">
        <v>199.38333333330229</v>
      </c>
      <c r="D20" s="240">
        <v>12.350609756074846</v>
      </c>
      <c r="E20" s="240">
        <v>0</v>
      </c>
      <c r="F20" s="240">
        <v>0</v>
      </c>
      <c r="G20" s="240">
        <v>0</v>
      </c>
    </row>
    <row r="21" spans="2:7" ht="15.75" customHeight="1" x14ac:dyDescent="0.2">
      <c r="B21" s="239">
        <v>46250</v>
      </c>
      <c r="C21" s="240">
        <v>152.5</v>
      </c>
      <c r="D21" s="240">
        <v>28.350818452425301</v>
      </c>
      <c r="E21" s="240">
        <v>0</v>
      </c>
      <c r="F21" s="240">
        <v>0</v>
      </c>
      <c r="G21" s="240">
        <v>0</v>
      </c>
    </row>
    <row r="22" spans="2:7" ht="15.75" customHeight="1" x14ac:dyDescent="0.2">
      <c r="B22" s="239">
        <v>46251</v>
      </c>
      <c r="C22" s="240">
        <v>356.58695355197415</v>
      </c>
      <c r="D22" s="240">
        <v>58.067427884670906</v>
      </c>
      <c r="E22" s="240">
        <v>0</v>
      </c>
      <c r="F22" s="240">
        <v>0</v>
      </c>
      <c r="G22" s="240">
        <v>0</v>
      </c>
    </row>
    <row r="23" spans="2:7" ht="15.75" customHeight="1" x14ac:dyDescent="0.2">
      <c r="B23" s="239">
        <v>46252</v>
      </c>
      <c r="C23" s="240">
        <v>0</v>
      </c>
      <c r="D23" s="240">
        <v>0</v>
      </c>
      <c r="E23" s="240">
        <v>0</v>
      </c>
      <c r="F23" s="240">
        <v>0</v>
      </c>
      <c r="G23" s="240">
        <v>0</v>
      </c>
    </row>
    <row r="24" spans="2:7" ht="15.75" customHeight="1" x14ac:dyDescent="0.2">
      <c r="B24" s="239">
        <v>46253</v>
      </c>
      <c r="C24" s="240">
        <v>0</v>
      </c>
      <c r="D24" s="240">
        <v>0</v>
      </c>
      <c r="E24" s="240">
        <v>0</v>
      </c>
      <c r="F24" s="240">
        <v>0</v>
      </c>
      <c r="G24" s="240">
        <v>0</v>
      </c>
    </row>
    <row r="25" spans="2:7" ht="15.75" customHeight="1" x14ac:dyDescent="0.2">
      <c r="B25" s="239">
        <v>46254</v>
      </c>
      <c r="C25" s="240">
        <v>0</v>
      </c>
      <c r="D25" s="240">
        <v>0</v>
      </c>
      <c r="E25" s="240">
        <v>0</v>
      </c>
      <c r="F25" s="240">
        <v>0</v>
      </c>
      <c r="G25" s="240">
        <v>0</v>
      </c>
    </row>
    <row r="26" spans="2:7" ht="15.75" customHeight="1" x14ac:dyDescent="0.2">
      <c r="B26" s="239">
        <v>46255</v>
      </c>
      <c r="C26" s="240">
        <v>0</v>
      </c>
      <c r="D26" s="240">
        <v>0</v>
      </c>
      <c r="E26" s="240">
        <v>0</v>
      </c>
      <c r="F26" s="240">
        <v>0</v>
      </c>
      <c r="G26" s="240">
        <v>0</v>
      </c>
    </row>
    <row r="27" spans="2:7" ht="15.75" customHeight="1" x14ac:dyDescent="0.2">
      <c r="B27" s="239">
        <v>46256</v>
      </c>
      <c r="C27" s="240">
        <v>0</v>
      </c>
      <c r="D27" s="240">
        <v>0</v>
      </c>
      <c r="E27" s="240">
        <v>0</v>
      </c>
      <c r="F27" s="240">
        <v>0</v>
      </c>
      <c r="G27" s="240">
        <v>0</v>
      </c>
    </row>
    <row r="28" spans="2:7" ht="15.75" customHeight="1" x14ac:dyDescent="0.2">
      <c r="B28" s="239">
        <v>46257</v>
      </c>
      <c r="C28" s="240">
        <v>0</v>
      </c>
      <c r="D28" s="240">
        <v>0</v>
      </c>
      <c r="E28" s="240">
        <v>0</v>
      </c>
      <c r="F28" s="240">
        <v>0</v>
      </c>
      <c r="G28" s="240">
        <v>0</v>
      </c>
    </row>
    <row r="29" spans="2:7" ht="15.75" customHeight="1" x14ac:dyDescent="0.2">
      <c r="B29" s="239">
        <v>46258</v>
      </c>
      <c r="C29" s="240">
        <v>0</v>
      </c>
      <c r="D29" s="240">
        <v>0</v>
      </c>
      <c r="E29" s="240">
        <v>0</v>
      </c>
      <c r="F29" s="240">
        <v>0</v>
      </c>
      <c r="G29" s="240">
        <v>0</v>
      </c>
    </row>
    <row r="30" spans="2:7" ht="15.75" customHeight="1" x14ac:dyDescent="0.2">
      <c r="B30" s="239">
        <v>46259</v>
      </c>
      <c r="C30" s="240">
        <v>0</v>
      </c>
      <c r="D30" s="240">
        <v>0</v>
      </c>
      <c r="E30" s="240">
        <v>0</v>
      </c>
      <c r="F30" s="240">
        <v>0</v>
      </c>
      <c r="G30" s="240">
        <v>0</v>
      </c>
    </row>
    <row r="31" spans="2:7" ht="15.75" customHeight="1" x14ac:dyDescent="0.2">
      <c r="B31" s="239">
        <v>46260</v>
      </c>
      <c r="C31" s="240">
        <v>0</v>
      </c>
      <c r="D31" s="240">
        <v>0</v>
      </c>
      <c r="E31" s="240">
        <v>0</v>
      </c>
      <c r="F31" s="240">
        <v>0</v>
      </c>
      <c r="G31" s="240">
        <v>0</v>
      </c>
    </row>
    <row r="32" spans="2:7" ht="15.75" customHeight="1" x14ac:dyDescent="0.2">
      <c r="B32" s="239">
        <v>46261</v>
      </c>
      <c r="C32" s="240">
        <v>0</v>
      </c>
      <c r="D32" s="240">
        <v>0</v>
      </c>
      <c r="E32" s="240">
        <v>0</v>
      </c>
      <c r="F32" s="240">
        <v>0</v>
      </c>
      <c r="G32" s="240">
        <v>0</v>
      </c>
    </row>
    <row r="33" spans="1:27" ht="15.75" customHeight="1" x14ac:dyDescent="0.2">
      <c r="B33" s="239">
        <v>46262</v>
      </c>
      <c r="C33" s="240">
        <v>0</v>
      </c>
      <c r="D33" s="240">
        <v>0</v>
      </c>
      <c r="E33" s="240">
        <v>0</v>
      </c>
      <c r="F33" s="240">
        <v>0</v>
      </c>
      <c r="G33" s="240">
        <v>0</v>
      </c>
    </row>
    <row r="34" spans="1:27" ht="15.75" customHeight="1" x14ac:dyDescent="0.2">
      <c r="B34" s="239">
        <v>46263</v>
      </c>
      <c r="C34" s="240">
        <v>0</v>
      </c>
      <c r="D34" s="240">
        <v>0</v>
      </c>
      <c r="E34" s="240">
        <v>0</v>
      </c>
      <c r="F34" s="240">
        <v>0</v>
      </c>
      <c r="G34" s="240">
        <v>0</v>
      </c>
    </row>
    <row r="35" spans="1:27" ht="15.75" customHeight="1" x14ac:dyDescent="0.2">
      <c r="B35" s="239">
        <v>46264</v>
      </c>
      <c r="C35" s="240">
        <v>0</v>
      </c>
      <c r="D35" s="240">
        <v>0</v>
      </c>
      <c r="E35" s="240">
        <v>0</v>
      </c>
      <c r="F35" s="240">
        <v>0</v>
      </c>
      <c r="G35" s="240">
        <v>0</v>
      </c>
    </row>
    <row r="36" spans="1:27" ht="15.75" customHeight="1" x14ac:dyDescent="0.2">
      <c r="B36" s="239">
        <v>46265</v>
      </c>
      <c r="C36" s="240">
        <v>0</v>
      </c>
      <c r="D36" s="240">
        <v>0</v>
      </c>
      <c r="E36" s="240">
        <v>0</v>
      </c>
      <c r="F36" s="240">
        <v>0</v>
      </c>
      <c r="G36" s="240">
        <v>0</v>
      </c>
    </row>
    <row r="37" spans="1:27" ht="15.75" customHeight="1" x14ac:dyDescent="0.2"/>
    <row r="38" spans="1:27" ht="15.75" customHeight="1" x14ac:dyDescent="0.25">
      <c r="B38" s="314" t="s">
        <v>70</v>
      </c>
      <c r="C38" s="234">
        <v>12819</v>
      </c>
      <c r="D38" s="182">
        <v>13578</v>
      </c>
      <c r="E38" s="37">
        <v>12817</v>
      </c>
      <c r="F38" s="189">
        <v>12818</v>
      </c>
      <c r="G38" s="182">
        <v>13579</v>
      </c>
      <c r="H38" s="148"/>
      <c r="I38" s="148"/>
      <c r="J38" s="148"/>
      <c r="K38" s="148"/>
      <c r="L38" s="148"/>
      <c r="M38" s="148"/>
      <c r="N38" s="148"/>
      <c r="O38" s="148"/>
      <c r="P38" s="148"/>
      <c r="Q38" s="148"/>
      <c r="R38" s="148"/>
      <c r="S38" s="148"/>
      <c r="T38" s="148"/>
      <c r="U38" s="148"/>
      <c r="V38" s="148"/>
      <c r="W38" s="148"/>
      <c r="X38" s="148"/>
      <c r="Y38" s="148"/>
      <c r="Z38" s="148"/>
      <c r="AA38" s="148"/>
    </row>
    <row r="39" spans="1:27" ht="15.75" customHeight="1" x14ac:dyDescent="0.25">
      <c r="A39" s="236"/>
      <c r="B39" s="271"/>
      <c r="C39" s="235" t="s">
        <v>6</v>
      </c>
      <c r="D39" s="235" t="s">
        <v>11</v>
      </c>
      <c r="E39" s="235" t="s">
        <v>7</v>
      </c>
      <c r="F39" s="235" t="s">
        <v>8</v>
      </c>
      <c r="G39" s="235" t="s">
        <v>12</v>
      </c>
      <c r="H39" s="235"/>
      <c r="I39" s="235"/>
      <c r="J39" s="235"/>
      <c r="K39" s="235"/>
      <c r="L39" s="235"/>
      <c r="M39" s="235"/>
      <c r="N39" s="235"/>
      <c r="O39" s="235"/>
      <c r="P39" s="235"/>
      <c r="Q39" s="235"/>
      <c r="R39" s="235"/>
      <c r="S39" s="235"/>
      <c r="T39" s="235"/>
      <c r="U39" s="235"/>
      <c r="V39" s="235"/>
      <c r="W39" s="235"/>
      <c r="X39" s="235"/>
      <c r="Y39" s="235"/>
      <c r="Z39" s="235"/>
      <c r="AA39" s="235"/>
    </row>
    <row r="40" spans="1:27" ht="15.75" customHeight="1" x14ac:dyDescent="0.2">
      <c r="B40" s="239">
        <v>46235</v>
      </c>
      <c r="C40" s="240">
        <v>719.49692622944713</v>
      </c>
      <c r="D40" s="240">
        <v>84.739880952402018</v>
      </c>
      <c r="E40" s="240">
        <v>0</v>
      </c>
      <c r="F40" s="240">
        <v>0</v>
      </c>
      <c r="G40" s="240">
        <v>0</v>
      </c>
    </row>
    <row r="41" spans="1:27" ht="15.75" customHeight="1" x14ac:dyDescent="0.2">
      <c r="B41" s="239">
        <v>46236</v>
      </c>
      <c r="C41" s="240">
        <v>362.30272297840565</v>
      </c>
      <c r="D41" s="240">
        <v>26.142187500023283</v>
      </c>
      <c r="E41" s="240">
        <v>0</v>
      </c>
      <c r="F41" s="240">
        <v>0</v>
      </c>
      <c r="G41" s="240">
        <v>0.3515625</v>
      </c>
    </row>
    <row r="42" spans="1:27" ht="15.75" customHeight="1" x14ac:dyDescent="0.2">
      <c r="B42" s="239">
        <v>46237</v>
      </c>
      <c r="C42" s="240">
        <v>888.82758620660752</v>
      </c>
      <c r="D42" s="240">
        <v>88.293990384670906</v>
      </c>
      <c r="E42" s="240">
        <v>0</v>
      </c>
      <c r="F42" s="240">
        <v>0</v>
      </c>
      <c r="G42" s="240">
        <v>0</v>
      </c>
    </row>
    <row r="43" spans="1:27" ht="15.75" customHeight="1" x14ac:dyDescent="0.2">
      <c r="B43" s="239">
        <v>46238</v>
      </c>
      <c r="C43" s="240">
        <v>916.78333333320916</v>
      </c>
      <c r="D43" s="240">
        <v>100.92500000004657</v>
      </c>
      <c r="E43" s="240">
        <v>0</v>
      </c>
      <c r="F43" s="240">
        <v>0</v>
      </c>
      <c r="G43" s="240">
        <v>0</v>
      </c>
    </row>
    <row r="44" spans="1:27" ht="15.75" customHeight="1" x14ac:dyDescent="0.2">
      <c r="B44" s="239">
        <v>46239</v>
      </c>
      <c r="C44" s="240">
        <v>889.7624999997206</v>
      </c>
      <c r="D44" s="240">
        <v>91.037500000093132</v>
      </c>
      <c r="E44" s="240">
        <v>0</v>
      </c>
      <c r="F44" s="240">
        <v>0</v>
      </c>
      <c r="G44" s="240">
        <v>0</v>
      </c>
    </row>
    <row r="45" spans="1:27" ht="15.75" customHeight="1" x14ac:dyDescent="0.2">
      <c r="B45" s="239">
        <v>46240</v>
      </c>
      <c r="C45" s="240">
        <v>880.53333333320916</v>
      </c>
      <c r="D45" s="240">
        <v>92.084374999976717</v>
      </c>
      <c r="E45" s="240">
        <v>0</v>
      </c>
      <c r="F45" s="240">
        <v>0</v>
      </c>
      <c r="G45" s="240">
        <v>0</v>
      </c>
    </row>
    <row r="46" spans="1:27" ht="15.75" customHeight="1" x14ac:dyDescent="0.2">
      <c r="B46" s="239">
        <v>46241</v>
      </c>
      <c r="C46" s="240">
        <v>861.125</v>
      </c>
      <c r="D46" s="240">
        <v>90.810060975607485</v>
      </c>
      <c r="E46" s="240">
        <v>0</v>
      </c>
      <c r="F46" s="240">
        <v>0</v>
      </c>
      <c r="G46" s="240">
        <v>0</v>
      </c>
    </row>
    <row r="47" spans="1:27" ht="15.75" customHeight="1" x14ac:dyDescent="0.2">
      <c r="B47" s="239">
        <v>46242</v>
      </c>
      <c r="C47" s="240">
        <v>416.60637225583196</v>
      </c>
      <c r="D47" s="240">
        <v>79.076562499976717</v>
      </c>
      <c r="E47" s="240">
        <v>30.98046875</v>
      </c>
      <c r="F47" s="240">
        <v>0</v>
      </c>
      <c r="G47" s="240">
        <v>1.76953125</v>
      </c>
    </row>
    <row r="48" spans="1:27" ht="15.75" customHeight="1" x14ac:dyDescent="0.2">
      <c r="B48" s="239">
        <v>46243</v>
      </c>
      <c r="C48" s="240">
        <v>305.19583333330229</v>
      </c>
      <c r="D48" s="240">
        <v>24.887195121962577</v>
      </c>
      <c r="E48" s="240">
        <v>2.8984375</v>
      </c>
      <c r="F48" s="240">
        <v>0</v>
      </c>
      <c r="G48" s="240">
        <v>0</v>
      </c>
    </row>
    <row r="49" spans="2:7" ht="15.75" customHeight="1" x14ac:dyDescent="0.2">
      <c r="B49" s="239">
        <v>46244</v>
      </c>
      <c r="C49" s="240">
        <v>936.39999999990687</v>
      </c>
      <c r="D49" s="240">
        <v>104.4408717105398</v>
      </c>
      <c r="E49" s="240">
        <v>0</v>
      </c>
      <c r="F49" s="240">
        <v>0</v>
      </c>
      <c r="G49" s="240">
        <v>0</v>
      </c>
    </row>
    <row r="50" spans="2:7" ht="15.75" customHeight="1" x14ac:dyDescent="0.2">
      <c r="B50" s="239">
        <v>46245</v>
      </c>
      <c r="C50" s="240">
        <v>1010.0597677598707</v>
      </c>
      <c r="D50" s="240">
        <v>102.5350609755842</v>
      </c>
      <c r="E50" s="240">
        <v>0</v>
      </c>
      <c r="F50" s="240">
        <v>0</v>
      </c>
      <c r="G50" s="240">
        <v>0</v>
      </c>
    </row>
    <row r="51" spans="2:7" ht="15.75" customHeight="1" x14ac:dyDescent="0.2">
      <c r="B51" s="239">
        <v>46246</v>
      </c>
      <c r="C51" s="240">
        <v>491.03333333367482</v>
      </c>
      <c r="D51" s="240">
        <v>93.309374999953434</v>
      </c>
      <c r="E51" s="240">
        <v>519.09375</v>
      </c>
      <c r="F51" s="240">
        <v>0</v>
      </c>
      <c r="G51" s="240">
        <v>0.51171875</v>
      </c>
    </row>
    <row r="52" spans="2:7" ht="15.75" customHeight="1" x14ac:dyDescent="0.2">
      <c r="B52" s="239">
        <v>46247</v>
      </c>
      <c r="C52" s="240">
        <v>967.79999999981374</v>
      </c>
      <c r="D52" s="240">
        <v>81.671875</v>
      </c>
      <c r="E52" s="240">
        <v>0</v>
      </c>
      <c r="F52" s="240">
        <v>0</v>
      </c>
      <c r="G52" s="240">
        <v>21.681522982973547</v>
      </c>
    </row>
    <row r="53" spans="2:7" ht="15.75" customHeight="1" x14ac:dyDescent="0.2">
      <c r="B53" s="239">
        <v>46248</v>
      </c>
      <c r="C53" s="240">
        <v>947.77759562851861</v>
      </c>
      <c r="D53" s="240">
        <v>117.16093750006985</v>
      </c>
      <c r="E53" s="240">
        <v>0</v>
      </c>
      <c r="F53" s="240">
        <v>0</v>
      </c>
      <c r="G53" s="240">
        <v>1.595703125</v>
      </c>
    </row>
    <row r="54" spans="2:7" ht="15.75" customHeight="1" x14ac:dyDescent="0.2">
      <c r="B54" s="239">
        <v>46249</v>
      </c>
      <c r="C54" s="240">
        <v>325.57213114760816</v>
      </c>
      <c r="D54" s="240">
        <v>27.623475609812886</v>
      </c>
      <c r="E54" s="240">
        <v>0</v>
      </c>
      <c r="F54" s="240">
        <v>0</v>
      </c>
      <c r="G54" s="240">
        <v>0</v>
      </c>
    </row>
    <row r="55" spans="2:7" ht="15.75" customHeight="1" x14ac:dyDescent="0.2">
      <c r="B55" s="239">
        <v>46250</v>
      </c>
      <c r="C55" s="240">
        <v>315.82500000018626</v>
      </c>
      <c r="D55" s="240">
        <v>26.3828125</v>
      </c>
      <c r="E55" s="240">
        <v>0</v>
      </c>
      <c r="F55" s="240">
        <v>0</v>
      </c>
      <c r="G55" s="240">
        <v>28.674218749998545</v>
      </c>
    </row>
    <row r="56" spans="2:7" ht="15.75" customHeight="1" x14ac:dyDescent="0.2">
      <c r="B56" s="239">
        <v>46251</v>
      </c>
      <c r="C56" s="240">
        <v>912.74583333311602</v>
      </c>
      <c r="D56" s="240">
        <v>143.45132211537566</v>
      </c>
      <c r="E56" s="240">
        <v>0</v>
      </c>
      <c r="F56" s="240">
        <v>0</v>
      </c>
      <c r="G56" s="240">
        <v>0</v>
      </c>
    </row>
    <row r="57" spans="2:7" ht="15.75" customHeight="1" x14ac:dyDescent="0.2">
      <c r="B57" s="239">
        <v>46252</v>
      </c>
      <c r="C57" s="240">
        <v>0</v>
      </c>
      <c r="D57" s="240">
        <v>0</v>
      </c>
      <c r="E57" s="240">
        <v>0</v>
      </c>
      <c r="F57" s="240">
        <v>0</v>
      </c>
      <c r="G57" s="240">
        <v>0</v>
      </c>
    </row>
    <row r="58" spans="2:7" ht="15.75" customHeight="1" x14ac:dyDescent="0.2">
      <c r="B58" s="239">
        <v>46253</v>
      </c>
      <c r="C58" s="240">
        <v>0</v>
      </c>
      <c r="D58" s="240">
        <v>0</v>
      </c>
      <c r="E58" s="240">
        <v>0</v>
      </c>
      <c r="F58" s="240">
        <v>0</v>
      </c>
      <c r="G58" s="240">
        <v>0</v>
      </c>
    </row>
    <row r="59" spans="2:7" ht="15.75" customHeight="1" x14ac:dyDescent="0.2">
      <c r="B59" s="239">
        <v>46254</v>
      </c>
      <c r="C59" s="240">
        <v>0</v>
      </c>
      <c r="D59" s="240">
        <v>0</v>
      </c>
      <c r="E59" s="240">
        <v>0</v>
      </c>
      <c r="F59" s="240">
        <v>0</v>
      </c>
      <c r="G59" s="240">
        <v>0</v>
      </c>
    </row>
    <row r="60" spans="2:7" ht="15.75" customHeight="1" x14ac:dyDescent="0.2">
      <c r="B60" s="239">
        <v>46255</v>
      </c>
      <c r="C60" s="240">
        <v>0</v>
      </c>
      <c r="D60" s="240">
        <v>0</v>
      </c>
      <c r="E60" s="240">
        <v>0</v>
      </c>
      <c r="F60" s="240">
        <v>0</v>
      </c>
      <c r="G60" s="240">
        <v>0</v>
      </c>
    </row>
    <row r="61" spans="2:7" ht="15.75" customHeight="1" x14ac:dyDescent="0.2">
      <c r="B61" s="239">
        <v>46256</v>
      </c>
      <c r="C61" s="240">
        <v>0</v>
      </c>
      <c r="D61" s="240">
        <v>0</v>
      </c>
      <c r="E61" s="240">
        <v>0</v>
      </c>
      <c r="F61" s="240">
        <v>0</v>
      </c>
      <c r="G61" s="240">
        <v>0</v>
      </c>
    </row>
    <row r="62" spans="2:7" ht="15.75" customHeight="1" x14ac:dyDescent="0.2">
      <c r="B62" s="239">
        <v>46257</v>
      </c>
      <c r="C62" s="240">
        <v>0</v>
      </c>
      <c r="D62" s="240">
        <v>0</v>
      </c>
      <c r="E62" s="240">
        <v>0</v>
      </c>
      <c r="F62" s="240">
        <v>0</v>
      </c>
      <c r="G62" s="240">
        <v>0</v>
      </c>
    </row>
    <row r="63" spans="2:7" ht="15.75" customHeight="1" x14ac:dyDescent="0.2">
      <c r="B63" s="239">
        <v>46258</v>
      </c>
      <c r="C63" s="240">
        <v>0</v>
      </c>
      <c r="D63" s="240">
        <v>0</v>
      </c>
      <c r="E63" s="240">
        <v>0</v>
      </c>
      <c r="F63" s="240">
        <v>0</v>
      </c>
      <c r="G63" s="240">
        <v>0</v>
      </c>
    </row>
    <row r="64" spans="2:7" ht="15.75" customHeight="1" x14ac:dyDescent="0.2">
      <c r="B64" s="239">
        <v>46259</v>
      </c>
      <c r="C64" s="240">
        <v>0</v>
      </c>
      <c r="D64" s="240">
        <v>0</v>
      </c>
      <c r="E64" s="240">
        <v>0</v>
      </c>
      <c r="F64" s="240">
        <v>0</v>
      </c>
      <c r="G64" s="240">
        <v>0</v>
      </c>
    </row>
    <row r="65" spans="2:27" ht="15.75" customHeight="1" x14ac:dyDescent="0.2">
      <c r="B65" s="239">
        <v>46260</v>
      </c>
      <c r="C65" s="240">
        <v>0</v>
      </c>
      <c r="D65" s="240">
        <v>0</v>
      </c>
      <c r="E65" s="240">
        <v>0</v>
      </c>
      <c r="F65" s="240">
        <v>0</v>
      </c>
      <c r="G65" s="240">
        <v>0</v>
      </c>
    </row>
    <row r="66" spans="2:27" ht="15.75" customHeight="1" x14ac:dyDescent="0.2">
      <c r="B66" s="239">
        <v>46261</v>
      </c>
      <c r="C66" s="240">
        <v>0</v>
      </c>
      <c r="D66" s="240">
        <v>0</v>
      </c>
      <c r="E66" s="240">
        <v>0</v>
      </c>
      <c r="F66" s="240">
        <v>0</v>
      </c>
      <c r="G66" s="240">
        <v>0</v>
      </c>
    </row>
    <row r="67" spans="2:27" ht="15.75" customHeight="1" x14ac:dyDescent="0.2">
      <c r="B67" s="239">
        <v>46262</v>
      </c>
      <c r="C67" s="240">
        <v>0</v>
      </c>
      <c r="D67" s="240">
        <v>0</v>
      </c>
      <c r="E67" s="240">
        <v>0</v>
      </c>
      <c r="F67" s="240">
        <v>0</v>
      </c>
      <c r="G67" s="240">
        <v>0</v>
      </c>
    </row>
    <row r="68" spans="2:27" ht="15.75" customHeight="1" x14ac:dyDescent="0.2">
      <c r="B68" s="239">
        <v>46263</v>
      </c>
      <c r="C68" s="240">
        <v>0</v>
      </c>
      <c r="D68" s="240">
        <v>0</v>
      </c>
      <c r="E68" s="240">
        <v>0</v>
      </c>
      <c r="F68" s="240">
        <v>0</v>
      </c>
      <c r="G68" s="240">
        <v>0</v>
      </c>
    </row>
    <row r="69" spans="2:27" ht="15.75" customHeight="1" x14ac:dyDescent="0.2">
      <c r="B69" s="239">
        <v>46264</v>
      </c>
      <c r="C69" s="240">
        <v>0</v>
      </c>
      <c r="D69" s="240">
        <v>0</v>
      </c>
      <c r="E69" s="240">
        <v>0</v>
      </c>
      <c r="F69" s="240">
        <v>0</v>
      </c>
      <c r="G69" s="240">
        <v>0</v>
      </c>
    </row>
    <row r="70" spans="2:27" ht="15.75" customHeight="1" x14ac:dyDescent="0.2">
      <c r="B70" s="239">
        <v>46265</v>
      </c>
      <c r="C70" s="240">
        <v>0</v>
      </c>
      <c r="D70" s="240">
        <v>0</v>
      </c>
      <c r="E70" s="240">
        <v>0</v>
      </c>
      <c r="F70" s="240">
        <v>0</v>
      </c>
      <c r="G70" s="240">
        <v>0</v>
      </c>
    </row>
    <row r="71" spans="2:27" ht="15.75" customHeight="1" x14ac:dyDescent="0.2"/>
    <row r="72" spans="2:27" ht="15.75" customHeight="1" x14ac:dyDescent="0.2"/>
    <row r="73" spans="2:27" ht="15.75" customHeight="1" x14ac:dyDescent="0.25">
      <c r="B73" s="314" t="s">
        <v>71</v>
      </c>
      <c r="C73" s="234">
        <v>12819</v>
      </c>
      <c r="D73" s="182">
        <v>13578</v>
      </c>
      <c r="E73" s="37">
        <v>12817</v>
      </c>
      <c r="F73" s="189">
        <v>12818</v>
      </c>
      <c r="G73" s="182">
        <v>13579</v>
      </c>
      <c r="H73" s="148"/>
      <c r="I73" s="148"/>
      <c r="J73" s="148"/>
      <c r="K73" s="148"/>
      <c r="L73" s="148"/>
      <c r="M73" s="148"/>
      <c r="N73" s="148"/>
      <c r="O73" s="148"/>
      <c r="P73" s="148"/>
      <c r="Q73" s="148"/>
      <c r="R73" s="148"/>
      <c r="S73" s="148"/>
      <c r="T73" s="148"/>
      <c r="U73" s="148"/>
      <c r="V73" s="148"/>
      <c r="W73" s="148"/>
      <c r="X73" s="148"/>
      <c r="Y73" s="148"/>
      <c r="Z73" s="148"/>
      <c r="AA73" s="148"/>
    </row>
    <row r="74" spans="2:27" ht="15.75" customHeight="1" x14ac:dyDescent="0.25">
      <c r="B74" s="271"/>
      <c r="C74" s="235" t="s">
        <v>6</v>
      </c>
      <c r="D74" s="235" t="s">
        <v>11</v>
      </c>
      <c r="E74" s="235" t="s">
        <v>7</v>
      </c>
      <c r="F74" s="235" t="s">
        <v>8</v>
      </c>
      <c r="G74" s="235" t="s">
        <v>12</v>
      </c>
      <c r="H74" s="235"/>
      <c r="I74" s="235"/>
      <c r="J74" s="235"/>
      <c r="K74" s="235"/>
      <c r="L74" s="235"/>
      <c r="M74" s="235"/>
      <c r="N74" s="235"/>
      <c r="O74" s="235"/>
      <c r="P74" s="235"/>
      <c r="Q74" s="235"/>
      <c r="R74" s="235"/>
      <c r="S74" s="235"/>
      <c r="T74" s="235"/>
      <c r="U74" s="235"/>
      <c r="V74" s="235"/>
      <c r="W74" s="235"/>
      <c r="X74" s="235"/>
      <c r="Y74" s="235"/>
      <c r="Z74" s="235"/>
      <c r="AA74" s="235"/>
    </row>
    <row r="75" spans="2:27" ht="15.75" customHeight="1" x14ac:dyDescent="0.2">
      <c r="B75" s="241">
        <v>46235</v>
      </c>
      <c r="C75" s="92">
        <v>217.81557377055287</v>
      </c>
      <c r="D75" s="92">
        <v>96.237500000046566</v>
      </c>
      <c r="E75" s="92">
        <v>0</v>
      </c>
      <c r="F75" s="92">
        <v>0</v>
      </c>
      <c r="G75" s="92">
        <v>0</v>
      </c>
    </row>
    <row r="76" spans="2:27" ht="15.75" customHeight="1" x14ac:dyDescent="0.2">
      <c r="B76" s="241">
        <v>46236</v>
      </c>
      <c r="C76" s="92">
        <v>125.27650375431404</v>
      </c>
      <c r="D76" s="92">
        <v>20.03311737801414</v>
      </c>
      <c r="E76" s="92">
        <v>81.300390624994179</v>
      </c>
      <c r="F76" s="92">
        <v>0</v>
      </c>
      <c r="G76" s="92">
        <v>0</v>
      </c>
    </row>
    <row r="77" spans="2:27" ht="15.75" customHeight="1" x14ac:dyDescent="0.2">
      <c r="B77" s="241">
        <v>46237</v>
      </c>
      <c r="C77" s="92">
        <v>279.48965517245233</v>
      </c>
      <c r="D77" s="92">
        <v>93.27163461537566</v>
      </c>
      <c r="E77" s="92">
        <v>0</v>
      </c>
      <c r="F77" s="92">
        <v>0</v>
      </c>
      <c r="G77" s="92">
        <v>0</v>
      </c>
    </row>
    <row r="78" spans="2:27" ht="15.75" customHeight="1" x14ac:dyDescent="0.2">
      <c r="B78" s="241">
        <v>46238</v>
      </c>
      <c r="C78" s="92">
        <v>274.77499999990687</v>
      </c>
      <c r="D78" s="92">
        <v>73.298076923121698</v>
      </c>
      <c r="E78" s="92">
        <v>0</v>
      </c>
      <c r="F78" s="92">
        <v>0</v>
      </c>
      <c r="G78" s="92">
        <v>0</v>
      </c>
    </row>
    <row r="79" spans="2:27" ht="15.75" customHeight="1" x14ac:dyDescent="0.2">
      <c r="B79" s="241">
        <v>46239</v>
      </c>
      <c r="C79" s="92">
        <v>223.96250000037253</v>
      </c>
      <c r="D79" s="92">
        <v>83.252591463387944</v>
      </c>
      <c r="E79" s="92">
        <v>36</v>
      </c>
      <c r="F79" s="92">
        <v>0</v>
      </c>
      <c r="G79" s="92">
        <v>0</v>
      </c>
    </row>
    <row r="80" spans="2:27" ht="15.75" customHeight="1" x14ac:dyDescent="0.2">
      <c r="B80" s="241">
        <v>46240</v>
      </c>
      <c r="C80" s="92">
        <v>304.29999999981374</v>
      </c>
      <c r="D80" s="92">
        <v>80.235937500023283</v>
      </c>
      <c r="E80" s="92">
        <v>0</v>
      </c>
      <c r="F80" s="92">
        <v>0</v>
      </c>
      <c r="G80" s="92">
        <v>0</v>
      </c>
    </row>
    <row r="81" spans="2:7" ht="15.75" customHeight="1" x14ac:dyDescent="0.2">
      <c r="B81" s="241">
        <v>46241</v>
      </c>
      <c r="C81" s="92">
        <v>261.47951977420598</v>
      </c>
      <c r="D81" s="92">
        <v>79.554268292617053</v>
      </c>
      <c r="E81" s="92">
        <v>0</v>
      </c>
      <c r="F81" s="92">
        <v>0</v>
      </c>
      <c r="G81" s="92">
        <v>0</v>
      </c>
    </row>
    <row r="82" spans="2:7" ht="15.75" customHeight="1" x14ac:dyDescent="0.2">
      <c r="B82" s="241">
        <v>46242</v>
      </c>
      <c r="C82" s="92">
        <v>123.9356359411031</v>
      </c>
      <c r="D82" s="92">
        <v>89.1328125</v>
      </c>
      <c r="E82" s="92">
        <v>50.84765625</v>
      </c>
      <c r="F82" s="92">
        <v>0</v>
      </c>
      <c r="G82" s="92">
        <v>0</v>
      </c>
    </row>
    <row r="83" spans="2:7" ht="15.75" customHeight="1" x14ac:dyDescent="0.2">
      <c r="B83" s="241">
        <v>46243</v>
      </c>
      <c r="C83" s="92">
        <v>189.01250000018626</v>
      </c>
      <c r="D83" s="92">
        <v>19.789367377990857</v>
      </c>
      <c r="E83" s="92">
        <v>0</v>
      </c>
      <c r="F83" s="92">
        <v>0</v>
      </c>
      <c r="G83" s="92">
        <v>0</v>
      </c>
    </row>
    <row r="84" spans="2:7" ht="15.75" customHeight="1" x14ac:dyDescent="0.2">
      <c r="B84" s="241">
        <v>46244</v>
      </c>
      <c r="C84" s="92">
        <v>298.9875000002794</v>
      </c>
      <c r="D84" s="92">
        <v>84.997352374717593</v>
      </c>
      <c r="E84" s="92">
        <v>0</v>
      </c>
      <c r="F84" s="92">
        <v>0</v>
      </c>
      <c r="G84" s="92">
        <v>0</v>
      </c>
    </row>
    <row r="85" spans="2:7" ht="15.75" customHeight="1" x14ac:dyDescent="0.2">
      <c r="B85" s="241">
        <v>46245</v>
      </c>
      <c r="C85" s="92">
        <v>300.24166666669771</v>
      </c>
      <c r="D85" s="92">
        <v>77.750304877990857</v>
      </c>
      <c r="E85" s="92">
        <v>0</v>
      </c>
      <c r="F85" s="92">
        <v>0</v>
      </c>
      <c r="G85" s="92">
        <v>0</v>
      </c>
    </row>
    <row r="86" spans="2:7" ht="15.75" customHeight="1" x14ac:dyDescent="0.2">
      <c r="B86" s="241">
        <v>46246</v>
      </c>
      <c r="C86" s="92">
        <v>333.77916666632518</v>
      </c>
      <c r="D86" s="92">
        <v>87.731250000069849</v>
      </c>
      <c r="E86" s="92">
        <v>0</v>
      </c>
      <c r="F86" s="92">
        <v>0</v>
      </c>
      <c r="G86" s="92">
        <v>0</v>
      </c>
    </row>
    <row r="87" spans="2:7" ht="15.75" customHeight="1" x14ac:dyDescent="0.2">
      <c r="B87" s="241">
        <v>46247</v>
      </c>
      <c r="C87" s="92">
        <v>284.9250000002794</v>
      </c>
      <c r="D87" s="92">
        <v>0</v>
      </c>
      <c r="E87" s="92">
        <v>0</v>
      </c>
      <c r="F87" s="92">
        <v>0</v>
      </c>
      <c r="G87" s="92">
        <v>77.195763602394436</v>
      </c>
    </row>
    <row r="88" spans="2:7" ht="15.75" customHeight="1" x14ac:dyDescent="0.2">
      <c r="B88" s="241">
        <v>46248</v>
      </c>
      <c r="C88" s="92">
        <v>273.68073770496994</v>
      </c>
      <c r="D88" s="92">
        <v>80.448437500046566</v>
      </c>
      <c r="E88" s="92">
        <v>0</v>
      </c>
      <c r="F88" s="92">
        <v>0</v>
      </c>
      <c r="G88" s="92">
        <v>0</v>
      </c>
    </row>
    <row r="89" spans="2:7" ht="15.75" customHeight="1" x14ac:dyDescent="0.2">
      <c r="B89" s="241">
        <v>46249</v>
      </c>
      <c r="C89" s="92">
        <v>191.85286885220557</v>
      </c>
      <c r="D89" s="92">
        <v>20.440625000046566</v>
      </c>
      <c r="E89" s="92">
        <v>0</v>
      </c>
      <c r="F89" s="92">
        <v>0</v>
      </c>
      <c r="G89" s="92">
        <v>0</v>
      </c>
    </row>
    <row r="90" spans="2:7" ht="15.75" customHeight="1" x14ac:dyDescent="0.2">
      <c r="B90" s="241">
        <v>46250</v>
      </c>
      <c r="C90" s="92">
        <v>187.28750000009313</v>
      </c>
      <c r="D90" s="92">
        <v>55.324695121962577</v>
      </c>
      <c r="E90" s="92">
        <v>0</v>
      </c>
      <c r="F90" s="92">
        <v>0</v>
      </c>
      <c r="G90" s="92">
        <v>0.22617187500145519</v>
      </c>
    </row>
    <row r="91" spans="2:7" ht="15.75" customHeight="1" x14ac:dyDescent="0.2">
      <c r="B91" s="241">
        <v>46251</v>
      </c>
      <c r="C91" s="92">
        <v>265.77500000037253</v>
      </c>
      <c r="D91" s="92">
        <v>122.68281250004657</v>
      </c>
      <c r="E91" s="92">
        <v>0</v>
      </c>
      <c r="F91" s="92">
        <v>0</v>
      </c>
      <c r="G91" s="92">
        <v>0</v>
      </c>
    </row>
    <row r="92" spans="2:7" ht="15.75" customHeight="1" x14ac:dyDescent="0.2">
      <c r="B92" s="241">
        <v>46252</v>
      </c>
      <c r="C92" s="92">
        <v>0</v>
      </c>
      <c r="D92" s="92">
        <v>0</v>
      </c>
      <c r="E92" s="92">
        <v>0</v>
      </c>
      <c r="F92" s="92">
        <v>0</v>
      </c>
      <c r="G92" s="92">
        <v>0</v>
      </c>
    </row>
    <row r="93" spans="2:7" ht="15.75" customHeight="1" x14ac:dyDescent="0.2">
      <c r="B93" s="241">
        <v>46253</v>
      </c>
      <c r="C93" s="92">
        <v>0</v>
      </c>
      <c r="D93" s="92">
        <v>0</v>
      </c>
      <c r="E93" s="92">
        <v>0</v>
      </c>
      <c r="F93" s="92">
        <v>0</v>
      </c>
      <c r="G93" s="92">
        <v>0</v>
      </c>
    </row>
    <row r="94" spans="2:7" ht="15.75" customHeight="1" x14ac:dyDescent="0.2">
      <c r="B94" s="241">
        <v>46254</v>
      </c>
      <c r="C94" s="92">
        <v>0</v>
      </c>
      <c r="D94" s="92">
        <v>0</v>
      </c>
      <c r="E94" s="92">
        <v>0</v>
      </c>
      <c r="F94" s="92">
        <v>0</v>
      </c>
      <c r="G94" s="92">
        <v>0</v>
      </c>
    </row>
    <row r="95" spans="2:7" ht="15.75" customHeight="1" x14ac:dyDescent="0.2">
      <c r="B95" s="241">
        <v>46255</v>
      </c>
      <c r="C95" s="92">
        <v>0</v>
      </c>
      <c r="D95" s="92">
        <v>0</v>
      </c>
      <c r="E95" s="92">
        <v>0</v>
      </c>
      <c r="F95" s="92">
        <v>0</v>
      </c>
      <c r="G95" s="92">
        <v>0</v>
      </c>
    </row>
    <row r="96" spans="2:7" ht="15.75" customHeight="1" x14ac:dyDescent="0.2">
      <c r="B96" s="241">
        <v>46256</v>
      </c>
      <c r="C96" s="92">
        <v>0</v>
      </c>
      <c r="D96" s="92">
        <v>0</v>
      </c>
      <c r="E96" s="92">
        <v>0</v>
      </c>
      <c r="F96" s="92">
        <v>0</v>
      </c>
      <c r="G96" s="92">
        <v>0</v>
      </c>
    </row>
    <row r="97" spans="2:27" ht="15.75" customHeight="1" x14ac:dyDescent="0.2">
      <c r="B97" s="241">
        <v>46257</v>
      </c>
      <c r="C97" s="92">
        <v>0</v>
      </c>
      <c r="D97" s="92">
        <v>0</v>
      </c>
      <c r="E97" s="92">
        <v>0</v>
      </c>
      <c r="F97" s="92">
        <v>0</v>
      </c>
      <c r="G97" s="92">
        <v>0</v>
      </c>
    </row>
    <row r="98" spans="2:27" ht="15.75" customHeight="1" x14ac:dyDescent="0.2">
      <c r="B98" s="241">
        <v>46258</v>
      </c>
      <c r="C98" s="92">
        <v>0</v>
      </c>
      <c r="D98" s="92">
        <v>0</v>
      </c>
      <c r="E98" s="92">
        <v>0</v>
      </c>
      <c r="F98" s="92">
        <v>0</v>
      </c>
      <c r="G98" s="92">
        <v>0</v>
      </c>
    </row>
    <row r="99" spans="2:27" ht="15.75" customHeight="1" x14ac:dyDescent="0.2">
      <c r="B99" s="241">
        <v>46259</v>
      </c>
      <c r="C99" s="92">
        <v>0</v>
      </c>
      <c r="D99" s="92">
        <v>0</v>
      </c>
      <c r="E99" s="92">
        <v>0</v>
      </c>
      <c r="F99" s="92">
        <v>0</v>
      </c>
      <c r="G99" s="92">
        <v>0</v>
      </c>
    </row>
    <row r="100" spans="2:27" ht="15.75" customHeight="1" x14ac:dyDescent="0.2">
      <c r="B100" s="241">
        <v>46260</v>
      </c>
      <c r="C100" s="92">
        <v>0</v>
      </c>
      <c r="D100" s="92">
        <v>0</v>
      </c>
      <c r="E100" s="92">
        <v>0</v>
      </c>
      <c r="F100" s="92">
        <v>0</v>
      </c>
      <c r="G100" s="92">
        <v>0</v>
      </c>
    </row>
    <row r="101" spans="2:27" ht="15.75" customHeight="1" x14ac:dyDescent="0.2">
      <c r="B101" s="241">
        <v>46261</v>
      </c>
      <c r="C101" s="92">
        <v>0</v>
      </c>
      <c r="D101" s="92">
        <v>0</v>
      </c>
      <c r="E101" s="92">
        <v>0</v>
      </c>
      <c r="F101" s="92">
        <v>0</v>
      </c>
      <c r="G101" s="92">
        <v>0</v>
      </c>
    </row>
    <row r="102" spans="2:27" ht="15.75" customHeight="1" x14ac:dyDescent="0.2">
      <c r="B102" s="241">
        <v>46262</v>
      </c>
      <c r="C102" s="92">
        <v>0</v>
      </c>
      <c r="D102" s="92">
        <v>0</v>
      </c>
      <c r="E102" s="92">
        <v>0</v>
      </c>
      <c r="F102" s="92">
        <v>0</v>
      </c>
      <c r="G102" s="92">
        <v>0</v>
      </c>
    </row>
    <row r="103" spans="2:27" ht="15.75" customHeight="1" x14ac:dyDescent="0.2">
      <c r="B103" s="241">
        <v>46263</v>
      </c>
      <c r="C103" s="92">
        <v>0</v>
      </c>
      <c r="D103" s="92">
        <v>0</v>
      </c>
      <c r="E103" s="92">
        <v>0</v>
      </c>
      <c r="F103" s="92">
        <v>0</v>
      </c>
      <c r="G103" s="92">
        <v>0</v>
      </c>
    </row>
    <row r="104" spans="2:27" ht="15.75" customHeight="1" x14ac:dyDescent="0.2">
      <c r="B104" s="241">
        <v>46264</v>
      </c>
      <c r="C104" s="92">
        <v>0</v>
      </c>
      <c r="D104" s="92">
        <v>0</v>
      </c>
      <c r="E104" s="92">
        <v>0</v>
      </c>
      <c r="F104" s="92">
        <v>0</v>
      </c>
      <c r="G104" s="92">
        <v>0</v>
      </c>
    </row>
    <row r="105" spans="2:27" ht="15.75" customHeight="1" x14ac:dyDescent="0.2">
      <c r="B105" s="241">
        <v>46265</v>
      </c>
      <c r="C105" s="92">
        <v>0</v>
      </c>
      <c r="D105" s="92">
        <v>0</v>
      </c>
      <c r="E105" s="92">
        <v>0</v>
      </c>
      <c r="F105" s="92">
        <v>0</v>
      </c>
      <c r="G105" s="92">
        <v>0</v>
      </c>
    </row>
    <row r="106" spans="2:27" ht="15.75" customHeight="1" x14ac:dyDescent="0.2"/>
    <row r="107" spans="2:27" ht="15.75" customHeight="1" x14ac:dyDescent="0.25">
      <c r="B107" s="315" t="s">
        <v>72</v>
      </c>
      <c r="C107" s="234">
        <v>12819</v>
      </c>
      <c r="D107" s="182">
        <v>13578</v>
      </c>
      <c r="E107" s="37">
        <v>12817</v>
      </c>
      <c r="F107" s="189">
        <v>12818</v>
      </c>
      <c r="G107" s="182">
        <v>13579</v>
      </c>
      <c r="H107" s="148"/>
      <c r="I107" s="148"/>
      <c r="J107" s="148"/>
      <c r="K107" s="148"/>
      <c r="L107" s="148"/>
      <c r="M107" s="148"/>
      <c r="N107" s="148"/>
      <c r="O107" s="148"/>
      <c r="P107" s="148"/>
      <c r="Q107" s="148"/>
      <c r="R107" s="148"/>
      <c r="S107" s="148"/>
      <c r="T107" s="148"/>
      <c r="U107" s="148"/>
      <c r="V107" s="148"/>
      <c r="W107" s="148"/>
      <c r="X107" s="148"/>
      <c r="Y107" s="148"/>
      <c r="Z107" s="148"/>
      <c r="AA107" s="148"/>
    </row>
    <row r="108" spans="2:27" ht="15.75" customHeight="1" x14ac:dyDescent="0.25">
      <c r="B108" s="271"/>
      <c r="C108" s="235" t="s">
        <v>6</v>
      </c>
      <c r="D108" s="235" t="s">
        <v>11</v>
      </c>
      <c r="E108" s="235" t="s">
        <v>7</v>
      </c>
      <c r="F108" s="235" t="s">
        <v>8</v>
      </c>
      <c r="G108" s="235" t="s">
        <v>12</v>
      </c>
      <c r="H108" s="235"/>
      <c r="I108" s="235"/>
      <c r="J108" s="235"/>
      <c r="K108" s="235"/>
      <c r="L108" s="235"/>
      <c r="M108" s="235"/>
      <c r="N108" s="235"/>
      <c r="O108" s="235"/>
      <c r="P108" s="235"/>
      <c r="Q108" s="235"/>
      <c r="R108" s="235"/>
      <c r="S108" s="235"/>
      <c r="T108" s="235"/>
      <c r="U108" s="235"/>
      <c r="V108" s="235"/>
      <c r="W108" s="235"/>
      <c r="X108" s="235"/>
      <c r="Y108" s="235"/>
      <c r="Z108" s="235"/>
      <c r="AA108" s="235"/>
    </row>
    <row r="109" spans="2:27" ht="15.75" customHeight="1" x14ac:dyDescent="0.2">
      <c r="B109" s="242">
        <v>46235</v>
      </c>
      <c r="C109" s="92">
        <v>335.03278688527644</v>
      </c>
      <c r="D109" s="92">
        <v>176.09999999997672</v>
      </c>
      <c r="E109" s="92">
        <v>0</v>
      </c>
      <c r="F109" s="92">
        <v>0</v>
      </c>
      <c r="G109" s="92">
        <v>0</v>
      </c>
    </row>
    <row r="110" spans="2:27" ht="15.75" customHeight="1" x14ac:dyDescent="0.2">
      <c r="B110" s="242">
        <v>46236</v>
      </c>
      <c r="C110" s="92">
        <v>215.37416309770197</v>
      </c>
      <c r="D110" s="92">
        <v>41.330945121939294</v>
      </c>
      <c r="E110" s="92">
        <v>126.27773437500582</v>
      </c>
      <c r="F110" s="92">
        <v>0</v>
      </c>
      <c r="G110" s="92">
        <v>0</v>
      </c>
    </row>
    <row r="111" spans="2:27" ht="15.75" customHeight="1" x14ac:dyDescent="0.2">
      <c r="B111" s="242">
        <v>46237</v>
      </c>
      <c r="C111" s="92">
        <v>362.52500000037253</v>
      </c>
      <c r="D111" s="92">
        <v>159.46562499995343</v>
      </c>
      <c r="E111" s="92">
        <v>0</v>
      </c>
      <c r="F111" s="92">
        <v>0</v>
      </c>
      <c r="G111" s="92">
        <v>0</v>
      </c>
    </row>
    <row r="112" spans="2:27" ht="15.75" customHeight="1" x14ac:dyDescent="0.2">
      <c r="B112" s="242">
        <v>46238</v>
      </c>
      <c r="C112" s="92">
        <v>343.51250000018626</v>
      </c>
      <c r="D112" s="92">
        <v>185.2487980768783</v>
      </c>
      <c r="E112" s="92">
        <v>0</v>
      </c>
      <c r="F112" s="92">
        <v>0</v>
      </c>
      <c r="G112" s="92">
        <v>0</v>
      </c>
    </row>
    <row r="113" spans="2:7" ht="15.75" customHeight="1" x14ac:dyDescent="0.2">
      <c r="B113" s="242">
        <v>46239</v>
      </c>
      <c r="C113" s="92">
        <v>338</v>
      </c>
      <c r="D113" s="92">
        <v>160.1676829267526</v>
      </c>
      <c r="E113" s="92">
        <v>0</v>
      </c>
      <c r="F113" s="92">
        <v>0</v>
      </c>
      <c r="G113" s="92">
        <v>0</v>
      </c>
    </row>
    <row r="114" spans="2:7" ht="15.75" customHeight="1" x14ac:dyDescent="0.2">
      <c r="B114" s="242">
        <v>46240</v>
      </c>
      <c r="C114" s="92">
        <v>374.76666666660458</v>
      </c>
      <c r="D114" s="92">
        <v>163.18922697368544</v>
      </c>
      <c r="E114" s="92">
        <v>0</v>
      </c>
      <c r="F114" s="92">
        <v>0</v>
      </c>
      <c r="G114" s="92">
        <v>0</v>
      </c>
    </row>
    <row r="115" spans="2:7" ht="15.75" customHeight="1" x14ac:dyDescent="0.2">
      <c r="B115" s="242">
        <v>46241</v>
      </c>
      <c r="C115" s="92">
        <v>342.80381355946884</v>
      </c>
      <c r="D115" s="92">
        <v>168.88791920733638</v>
      </c>
      <c r="E115" s="92">
        <v>0</v>
      </c>
      <c r="F115" s="92">
        <v>0</v>
      </c>
      <c r="G115" s="92">
        <v>0</v>
      </c>
    </row>
    <row r="116" spans="2:7" ht="15.75" customHeight="1" x14ac:dyDescent="0.2">
      <c r="B116" s="242">
        <v>46242</v>
      </c>
      <c r="C116" s="92">
        <v>321.98749999981374</v>
      </c>
      <c r="D116" s="92">
        <v>163.1875</v>
      </c>
      <c r="E116" s="92">
        <v>0</v>
      </c>
      <c r="F116" s="92">
        <v>0</v>
      </c>
      <c r="G116" s="92">
        <v>0</v>
      </c>
    </row>
    <row r="117" spans="2:7" ht="15.75" customHeight="1" x14ac:dyDescent="0.2">
      <c r="B117" s="242">
        <v>46243</v>
      </c>
      <c r="C117" s="92">
        <v>316.48647540947422</v>
      </c>
      <c r="D117" s="92">
        <v>37.196875000023283</v>
      </c>
      <c r="E117" s="92">
        <v>0</v>
      </c>
      <c r="F117" s="92">
        <v>0</v>
      </c>
      <c r="G117" s="92">
        <v>0</v>
      </c>
    </row>
    <row r="118" spans="2:7" ht="15.75" customHeight="1" x14ac:dyDescent="0.2">
      <c r="B118" s="242">
        <v>46244</v>
      </c>
      <c r="C118" s="92">
        <v>344</v>
      </c>
      <c r="D118" s="92">
        <v>188.93521341471933</v>
      </c>
      <c r="E118" s="92">
        <v>0</v>
      </c>
      <c r="F118" s="92">
        <v>0</v>
      </c>
      <c r="G118" s="92">
        <v>0</v>
      </c>
    </row>
    <row r="119" spans="2:7" ht="15.75" customHeight="1" x14ac:dyDescent="0.2">
      <c r="B119" s="242">
        <v>46245</v>
      </c>
      <c r="C119" s="92">
        <v>373.47499999962747</v>
      </c>
      <c r="D119" s="92">
        <v>197.21250000002328</v>
      </c>
      <c r="E119" s="92">
        <v>0</v>
      </c>
      <c r="F119" s="92">
        <v>0</v>
      </c>
      <c r="G119" s="92">
        <v>0</v>
      </c>
    </row>
    <row r="120" spans="2:7" ht="15.75" customHeight="1" x14ac:dyDescent="0.2">
      <c r="B120" s="242">
        <v>46246</v>
      </c>
      <c r="C120" s="92">
        <v>337.72916666697711</v>
      </c>
      <c r="D120" s="92">
        <v>243.18124999990687</v>
      </c>
      <c r="E120" s="92">
        <v>0</v>
      </c>
      <c r="F120" s="92">
        <v>0</v>
      </c>
      <c r="G120" s="92">
        <v>0</v>
      </c>
    </row>
    <row r="121" spans="2:7" ht="15.75" customHeight="1" x14ac:dyDescent="0.2">
      <c r="B121" s="242">
        <v>46247</v>
      </c>
      <c r="C121" s="92">
        <v>340.71666666679084</v>
      </c>
      <c r="D121" s="92">
        <v>222.3046875</v>
      </c>
      <c r="E121" s="92">
        <v>0</v>
      </c>
      <c r="F121" s="92">
        <v>0</v>
      </c>
      <c r="G121" s="92">
        <v>29.577791539632017</v>
      </c>
    </row>
    <row r="122" spans="2:7" ht="15.75" customHeight="1" x14ac:dyDescent="0.2">
      <c r="B122" s="242">
        <v>46248</v>
      </c>
      <c r="C122" s="92">
        <v>334.94166666688398</v>
      </c>
      <c r="D122" s="92">
        <v>208.3196646340657</v>
      </c>
      <c r="E122" s="92">
        <v>0</v>
      </c>
      <c r="F122" s="92">
        <v>0</v>
      </c>
      <c r="G122" s="92">
        <v>0</v>
      </c>
    </row>
    <row r="123" spans="2:7" ht="15.75" customHeight="1" x14ac:dyDescent="0.2">
      <c r="B123" s="242">
        <v>46249</v>
      </c>
      <c r="C123" s="92">
        <v>342.02499999990687</v>
      </c>
      <c r="D123" s="92">
        <v>38.325744047528133</v>
      </c>
      <c r="E123" s="92">
        <v>0</v>
      </c>
      <c r="F123" s="92">
        <v>0</v>
      </c>
      <c r="G123" s="92">
        <v>0</v>
      </c>
    </row>
    <row r="124" spans="2:7" ht="15.75" customHeight="1" x14ac:dyDescent="0.2">
      <c r="B124" s="242">
        <v>46250</v>
      </c>
      <c r="C124" s="92">
        <v>345.80471311463043</v>
      </c>
      <c r="D124" s="92">
        <v>39.679992377990857</v>
      </c>
      <c r="E124" s="92">
        <v>0</v>
      </c>
      <c r="F124" s="92">
        <v>0</v>
      </c>
      <c r="G124" s="92">
        <v>0</v>
      </c>
    </row>
    <row r="125" spans="2:7" ht="15.75" customHeight="1" x14ac:dyDescent="0.2">
      <c r="B125" s="242">
        <v>46251</v>
      </c>
      <c r="C125" s="92">
        <v>335.28749999962747</v>
      </c>
      <c r="D125" s="92">
        <v>179.69687499990687</v>
      </c>
      <c r="E125" s="92">
        <v>0</v>
      </c>
      <c r="F125" s="92">
        <v>0</v>
      </c>
      <c r="G125" s="92">
        <v>0</v>
      </c>
    </row>
    <row r="126" spans="2:7" ht="15.75" customHeight="1" x14ac:dyDescent="0.2">
      <c r="B126" s="242">
        <v>46252</v>
      </c>
      <c r="C126" s="92">
        <v>0</v>
      </c>
      <c r="D126" s="92">
        <v>0</v>
      </c>
      <c r="E126" s="92">
        <v>0</v>
      </c>
      <c r="F126" s="92">
        <v>0</v>
      </c>
      <c r="G126" s="92">
        <v>0</v>
      </c>
    </row>
    <row r="127" spans="2:7" ht="15.75" customHeight="1" x14ac:dyDescent="0.2">
      <c r="B127" s="242">
        <v>46253</v>
      </c>
      <c r="C127" s="92">
        <v>0</v>
      </c>
      <c r="D127" s="92">
        <v>0</v>
      </c>
      <c r="E127" s="92">
        <v>0</v>
      </c>
      <c r="F127" s="92">
        <v>0</v>
      </c>
      <c r="G127" s="92">
        <v>0</v>
      </c>
    </row>
    <row r="128" spans="2:7" ht="15.75" customHeight="1" x14ac:dyDescent="0.2">
      <c r="B128" s="242">
        <v>46254</v>
      </c>
      <c r="C128" s="92">
        <v>0</v>
      </c>
      <c r="D128" s="92">
        <v>0</v>
      </c>
      <c r="E128" s="92">
        <v>0</v>
      </c>
      <c r="F128" s="92">
        <v>0</v>
      </c>
      <c r="G128" s="92">
        <v>0</v>
      </c>
    </row>
    <row r="129" spans="2:7" ht="15.75" customHeight="1" x14ac:dyDescent="0.2">
      <c r="B129" s="242">
        <v>46255</v>
      </c>
      <c r="C129" s="92">
        <v>0</v>
      </c>
      <c r="D129" s="92">
        <v>0</v>
      </c>
      <c r="E129" s="92">
        <v>0</v>
      </c>
      <c r="F129" s="92">
        <v>0</v>
      </c>
      <c r="G129" s="92">
        <v>0</v>
      </c>
    </row>
    <row r="130" spans="2:7" ht="15.75" customHeight="1" x14ac:dyDescent="0.2">
      <c r="B130" s="242">
        <v>46256</v>
      </c>
      <c r="C130" s="92">
        <v>0</v>
      </c>
      <c r="D130" s="92">
        <v>0</v>
      </c>
      <c r="E130" s="92">
        <v>0</v>
      </c>
      <c r="F130" s="92">
        <v>0</v>
      </c>
      <c r="G130" s="92">
        <v>0</v>
      </c>
    </row>
    <row r="131" spans="2:7" ht="15.75" customHeight="1" x14ac:dyDescent="0.2">
      <c r="B131" s="242">
        <v>46257</v>
      </c>
      <c r="C131" s="92">
        <v>0</v>
      </c>
      <c r="D131" s="92">
        <v>0</v>
      </c>
      <c r="E131" s="92">
        <v>0</v>
      </c>
      <c r="F131" s="92">
        <v>0</v>
      </c>
      <c r="G131" s="92">
        <v>0</v>
      </c>
    </row>
    <row r="132" spans="2:7" ht="15.75" customHeight="1" x14ac:dyDescent="0.2">
      <c r="B132" s="242">
        <v>46258</v>
      </c>
      <c r="C132" s="92">
        <v>0</v>
      </c>
      <c r="D132" s="92">
        <v>0</v>
      </c>
      <c r="E132" s="92">
        <v>0</v>
      </c>
      <c r="F132" s="92">
        <v>0</v>
      </c>
      <c r="G132" s="92">
        <v>0</v>
      </c>
    </row>
    <row r="133" spans="2:7" ht="15.75" customHeight="1" x14ac:dyDescent="0.2">
      <c r="B133" s="242">
        <v>46259</v>
      </c>
      <c r="C133" s="92">
        <v>0</v>
      </c>
      <c r="D133" s="92">
        <v>0</v>
      </c>
      <c r="E133" s="92">
        <v>0</v>
      </c>
      <c r="F133" s="92">
        <v>0</v>
      </c>
      <c r="G133" s="92">
        <v>0</v>
      </c>
    </row>
    <row r="134" spans="2:7" ht="15.75" customHeight="1" x14ac:dyDescent="0.2">
      <c r="B134" s="242">
        <v>46260</v>
      </c>
      <c r="C134" s="92">
        <v>0</v>
      </c>
      <c r="D134" s="92">
        <v>0</v>
      </c>
      <c r="E134" s="92">
        <v>0</v>
      </c>
      <c r="F134" s="92">
        <v>0</v>
      </c>
      <c r="G134" s="92">
        <v>0</v>
      </c>
    </row>
    <row r="135" spans="2:7" ht="15.75" customHeight="1" x14ac:dyDescent="0.2">
      <c r="B135" s="242">
        <v>46261</v>
      </c>
      <c r="C135" s="92">
        <v>0</v>
      </c>
      <c r="D135" s="92">
        <v>0</v>
      </c>
      <c r="E135" s="92">
        <v>0</v>
      </c>
      <c r="F135" s="92">
        <v>0</v>
      </c>
      <c r="G135" s="92">
        <v>0</v>
      </c>
    </row>
    <row r="136" spans="2:7" ht="15.75" customHeight="1" x14ac:dyDescent="0.2">
      <c r="B136" s="242">
        <v>46262</v>
      </c>
      <c r="C136" s="92">
        <v>0</v>
      </c>
      <c r="D136" s="92">
        <v>0</v>
      </c>
      <c r="E136" s="92">
        <v>0</v>
      </c>
      <c r="F136" s="92">
        <v>0</v>
      </c>
      <c r="G136" s="92">
        <v>0</v>
      </c>
    </row>
    <row r="137" spans="2:7" ht="15.75" customHeight="1" x14ac:dyDescent="0.2">
      <c r="B137" s="242">
        <v>46263</v>
      </c>
      <c r="C137" s="92">
        <v>0</v>
      </c>
      <c r="D137" s="92">
        <v>0</v>
      </c>
      <c r="E137" s="92">
        <v>0</v>
      </c>
      <c r="F137" s="92">
        <v>0</v>
      </c>
      <c r="G137" s="92">
        <v>0</v>
      </c>
    </row>
    <row r="138" spans="2:7" ht="15.75" customHeight="1" x14ac:dyDescent="0.2">
      <c r="B138" s="242">
        <v>46264</v>
      </c>
      <c r="C138" s="92">
        <v>0</v>
      </c>
      <c r="D138" s="92">
        <v>0</v>
      </c>
      <c r="E138" s="92">
        <v>0</v>
      </c>
      <c r="F138" s="92">
        <v>0</v>
      </c>
      <c r="G138" s="92">
        <v>0</v>
      </c>
    </row>
    <row r="139" spans="2:7" ht="15.75" customHeight="1" x14ac:dyDescent="0.2">
      <c r="B139" s="242">
        <v>46265</v>
      </c>
      <c r="C139" s="92">
        <v>0</v>
      </c>
      <c r="D139" s="92">
        <v>0</v>
      </c>
      <c r="E139" s="92">
        <v>0</v>
      </c>
      <c r="F139" s="92">
        <v>0</v>
      </c>
      <c r="G139" s="92">
        <v>0</v>
      </c>
    </row>
    <row r="140" spans="2:7" ht="15.75" customHeight="1" x14ac:dyDescent="0.2"/>
    <row r="141" spans="2:7" ht="15.75" customHeight="1" x14ac:dyDescent="0.2"/>
    <row r="142" spans="2:7" ht="15.75" customHeight="1" x14ac:dyDescent="0.2"/>
    <row r="143" spans="2:7" ht="15.75" customHeight="1" x14ac:dyDescent="0.2"/>
    <row r="144" spans="2:7"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3">
    <mergeCell ref="B38:B39"/>
    <mergeCell ref="B73:B74"/>
    <mergeCell ref="B107:B108"/>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AC974"/>
  <sheetViews>
    <sheetView workbookViewId="0">
      <selection sqref="A1:AC974"/>
    </sheetView>
  </sheetViews>
  <sheetFormatPr defaultColWidth="12.5703125" defaultRowHeight="15" customHeight="1" x14ac:dyDescent="0.2"/>
  <cols>
    <col min="1" max="2" width="12.7109375" customWidth="1"/>
    <col min="3" max="3" width="16.42578125" customWidth="1"/>
    <col min="4" max="6" width="12.5703125" customWidth="1"/>
  </cols>
  <sheetData>
    <row r="1" spans="1:29" ht="15.75" customHeight="1" x14ac:dyDescent="0.25">
      <c r="A1" s="243" t="s">
        <v>73</v>
      </c>
      <c r="B1" s="90"/>
      <c r="C1" s="91">
        <v>60</v>
      </c>
      <c r="D1" s="243"/>
    </row>
    <row r="2" spans="1:29" ht="15.75" customHeight="1" x14ac:dyDescent="0.25">
      <c r="A2" s="243"/>
      <c r="B2" s="90"/>
      <c r="C2" s="91"/>
      <c r="D2" s="243"/>
    </row>
    <row r="3" spans="1:29" ht="15.75" customHeight="1" x14ac:dyDescent="0.25">
      <c r="A3" s="243"/>
      <c r="B3" s="90"/>
      <c r="C3" s="91"/>
      <c r="D3" s="243"/>
      <c r="E3" s="234">
        <v>12819</v>
      </c>
      <c r="F3" s="182">
        <v>13578</v>
      </c>
      <c r="G3" s="37">
        <v>12817</v>
      </c>
      <c r="H3" s="189">
        <v>12818</v>
      </c>
      <c r="I3" s="182">
        <v>13579</v>
      </c>
      <c r="J3" s="244"/>
      <c r="K3" s="95"/>
      <c r="L3" s="95"/>
      <c r="M3" s="95"/>
      <c r="N3" s="95"/>
      <c r="O3" s="95"/>
      <c r="P3" s="95"/>
      <c r="Q3" s="95"/>
      <c r="R3" s="95"/>
      <c r="S3" s="95"/>
      <c r="T3" s="95"/>
      <c r="U3" s="95"/>
      <c r="V3" s="95"/>
      <c r="W3" s="95"/>
      <c r="X3" s="95"/>
      <c r="Y3" s="95"/>
      <c r="Z3" s="95"/>
      <c r="AA3" s="95"/>
      <c r="AB3" s="95"/>
      <c r="AC3" s="95"/>
    </row>
    <row r="4" spans="1:29" ht="15.75" customHeight="1" x14ac:dyDescent="0.25">
      <c r="A4" s="243"/>
      <c r="B4" s="90"/>
      <c r="C4" s="91"/>
      <c r="D4" s="243"/>
      <c r="E4" s="92" t="s">
        <v>74</v>
      </c>
    </row>
    <row r="5" spans="1:29" ht="15.75" customHeight="1" x14ac:dyDescent="0.25">
      <c r="A5" s="243"/>
      <c r="B5" s="90"/>
      <c r="C5" s="91"/>
      <c r="D5" s="245"/>
      <c r="E5" s="177" t="s">
        <v>6</v>
      </c>
      <c r="F5" s="181" t="s">
        <v>11</v>
      </c>
      <c r="G5" s="185" t="s">
        <v>7</v>
      </c>
      <c r="H5" s="188" t="s">
        <v>8</v>
      </c>
      <c r="I5" s="181" t="s">
        <v>12</v>
      </c>
      <c r="J5" s="235"/>
      <c r="K5" s="235"/>
      <c r="L5" s="235"/>
      <c r="M5" s="235"/>
      <c r="N5" s="235"/>
      <c r="O5" s="235"/>
      <c r="P5" s="235"/>
      <c r="Q5" s="235"/>
      <c r="R5" s="235"/>
      <c r="S5" s="235"/>
      <c r="T5" s="235"/>
      <c r="U5" s="235"/>
      <c r="V5" s="235"/>
      <c r="W5" s="235"/>
      <c r="X5" s="235"/>
      <c r="Y5" s="235"/>
      <c r="Z5" s="235"/>
      <c r="AA5" s="235"/>
      <c r="AB5" s="235"/>
      <c r="AC5" s="235"/>
    </row>
    <row r="6" spans="1:29" ht="15.75" customHeight="1" x14ac:dyDescent="0.25">
      <c r="A6" s="239" t="s">
        <v>344</v>
      </c>
      <c r="B6" s="239">
        <v>46235</v>
      </c>
      <c r="C6" s="246">
        <v>0.25</v>
      </c>
      <c r="D6" s="246">
        <v>0.29166666666666669</v>
      </c>
      <c r="E6" s="317">
        <v>52.637499999720603</v>
      </c>
      <c r="F6">
        <v>15.896722560981289</v>
      </c>
      <c r="G6">
        <v>0</v>
      </c>
      <c r="H6">
        <v>0</v>
      </c>
      <c r="I6">
        <v>0</v>
      </c>
    </row>
    <row r="7" spans="1:29" ht="15.75" customHeight="1" x14ac:dyDescent="0.25">
      <c r="A7" s="239" t="s">
        <v>345</v>
      </c>
      <c r="B7" s="239">
        <v>46235</v>
      </c>
      <c r="C7" s="246">
        <v>0.29166666666666669</v>
      </c>
      <c r="D7" s="246">
        <v>0.33333333333333331</v>
      </c>
      <c r="E7" s="319">
        <v>64.666666666977108</v>
      </c>
      <c r="F7">
        <v>27.887652438948862</v>
      </c>
      <c r="G7">
        <v>0</v>
      </c>
      <c r="H7">
        <v>0</v>
      </c>
      <c r="I7">
        <v>0</v>
      </c>
    </row>
    <row r="8" spans="1:29" ht="15.75" customHeight="1" x14ac:dyDescent="0.25">
      <c r="A8" s="239" t="s">
        <v>346</v>
      </c>
      <c r="B8" s="239">
        <v>46235</v>
      </c>
      <c r="C8" s="246">
        <v>0.33333333333333331</v>
      </c>
      <c r="D8" s="246">
        <v>0.375</v>
      </c>
      <c r="E8" s="319">
        <v>68.410451977513731</v>
      </c>
      <c r="F8">
        <v>11.201488095335662</v>
      </c>
      <c r="G8">
        <v>0</v>
      </c>
      <c r="H8">
        <v>0</v>
      </c>
      <c r="I8">
        <v>0</v>
      </c>
    </row>
    <row r="9" spans="1:29" ht="15.75" customHeight="1" x14ac:dyDescent="0.25">
      <c r="A9" s="239" t="s">
        <v>347</v>
      </c>
      <c r="B9" s="239">
        <v>46235</v>
      </c>
      <c r="C9" s="246">
        <v>0.375</v>
      </c>
      <c r="D9" s="246">
        <v>0.41666666666666669</v>
      </c>
      <c r="E9" s="319">
        <v>64.560381355695426</v>
      </c>
      <c r="F9">
        <v>11.452380952308886</v>
      </c>
      <c r="G9">
        <v>0</v>
      </c>
      <c r="H9">
        <v>0</v>
      </c>
      <c r="I9">
        <v>0</v>
      </c>
    </row>
    <row r="10" spans="1:29" ht="15.75" customHeight="1" x14ac:dyDescent="0.25">
      <c r="A10" s="239" t="s">
        <v>348</v>
      </c>
      <c r="B10" s="239">
        <v>46235</v>
      </c>
      <c r="C10" s="246">
        <v>0.41666666666666669</v>
      </c>
      <c r="D10" s="246">
        <v>0.45833333333333331</v>
      </c>
      <c r="E10" s="319">
        <v>66.645833333488554</v>
      </c>
      <c r="F10">
        <v>8.2103937729261816</v>
      </c>
      <c r="G10">
        <v>0</v>
      </c>
      <c r="H10">
        <v>0</v>
      </c>
      <c r="I10">
        <v>0</v>
      </c>
    </row>
    <row r="11" spans="1:29" ht="15.75" customHeight="1" x14ac:dyDescent="0.25">
      <c r="A11" s="239" t="s">
        <v>349</v>
      </c>
      <c r="B11" s="239">
        <v>46235</v>
      </c>
      <c r="C11" s="246">
        <v>0.45833333333333331</v>
      </c>
      <c r="D11" s="246">
        <v>0.5</v>
      </c>
      <c r="E11" s="319">
        <v>72.299999999813735</v>
      </c>
      <c r="F11">
        <v>9.9716746795456856</v>
      </c>
      <c r="G11">
        <v>0</v>
      </c>
      <c r="H11">
        <v>0</v>
      </c>
      <c r="I11">
        <v>0</v>
      </c>
    </row>
    <row r="12" spans="1:29" ht="15.75" customHeight="1" x14ac:dyDescent="0.25">
      <c r="A12" s="239" t="s">
        <v>350</v>
      </c>
      <c r="B12" s="239">
        <v>46235</v>
      </c>
      <c r="C12" s="246">
        <v>0.5</v>
      </c>
      <c r="D12" s="246">
        <v>0.54166666666666663</v>
      </c>
      <c r="E12" s="319">
        <v>105.14166666660458</v>
      </c>
      <c r="F12">
        <v>10.449999999953434</v>
      </c>
      <c r="G12">
        <v>0</v>
      </c>
      <c r="H12">
        <v>0</v>
      </c>
      <c r="I12">
        <v>0</v>
      </c>
    </row>
    <row r="13" spans="1:29" ht="15.75" customHeight="1" x14ac:dyDescent="0.25">
      <c r="A13" s="239" t="s">
        <v>351</v>
      </c>
      <c r="B13" s="239">
        <v>46235</v>
      </c>
      <c r="C13" s="246">
        <v>0.54166666666666663</v>
      </c>
      <c r="D13" s="246">
        <v>0.58333333333333337</v>
      </c>
      <c r="E13" s="319">
        <v>97.308333333581686</v>
      </c>
      <c r="F13">
        <v>11.764062499976717</v>
      </c>
      <c r="G13">
        <v>0</v>
      </c>
      <c r="H13">
        <v>0</v>
      </c>
      <c r="I13">
        <v>0</v>
      </c>
    </row>
    <row r="14" spans="1:29" ht="15.75" customHeight="1" x14ac:dyDescent="0.25">
      <c r="A14" s="239" t="s">
        <v>352</v>
      </c>
      <c r="B14" s="239">
        <v>46235</v>
      </c>
      <c r="C14" s="246">
        <v>0.58333333333333337</v>
      </c>
      <c r="D14" s="246">
        <v>0.625</v>
      </c>
      <c r="E14" s="319">
        <v>103.21666666679084</v>
      </c>
      <c r="F14">
        <v>10.444969512172975</v>
      </c>
      <c r="G14">
        <v>0</v>
      </c>
      <c r="H14">
        <v>0</v>
      </c>
      <c r="I14">
        <v>0</v>
      </c>
    </row>
    <row r="15" spans="1:29" ht="15.75" customHeight="1" x14ac:dyDescent="0.25">
      <c r="A15" s="239" t="s">
        <v>353</v>
      </c>
      <c r="B15" s="239">
        <v>46235</v>
      </c>
      <c r="C15" s="246">
        <v>0.625</v>
      </c>
      <c r="D15" s="246">
        <v>0.66666666666666663</v>
      </c>
      <c r="E15" s="319">
        <v>99.033333333209157</v>
      </c>
      <c r="F15">
        <v>7.5956554878503084</v>
      </c>
      <c r="G15">
        <v>0</v>
      </c>
      <c r="H15">
        <v>0</v>
      </c>
      <c r="I15">
        <v>0</v>
      </c>
    </row>
    <row r="16" spans="1:29" ht="15.75" customHeight="1" x14ac:dyDescent="0.25">
      <c r="A16" s="239" t="s">
        <v>354</v>
      </c>
      <c r="B16" s="239">
        <v>46235</v>
      </c>
      <c r="C16" s="246">
        <v>0.66666666666666663</v>
      </c>
      <c r="D16" s="246">
        <v>0.70833333333333337</v>
      </c>
      <c r="E16" s="319">
        <v>87.883333333302289</v>
      </c>
      <c r="F16">
        <v>12.237500000046566</v>
      </c>
      <c r="G16">
        <v>0</v>
      </c>
      <c r="H16">
        <v>0</v>
      </c>
      <c r="I16">
        <v>0</v>
      </c>
    </row>
    <row r="17" spans="1:9" ht="15.75" customHeight="1" x14ac:dyDescent="0.25">
      <c r="A17" s="239" t="s">
        <v>355</v>
      </c>
      <c r="B17" s="239">
        <v>46235</v>
      </c>
      <c r="C17" s="246">
        <v>0.70833333333333337</v>
      </c>
      <c r="D17" s="246">
        <v>0.75</v>
      </c>
      <c r="E17" s="319">
        <v>87.967759562656283</v>
      </c>
      <c r="F17">
        <v>14.065624999930151</v>
      </c>
      <c r="G17">
        <v>0</v>
      </c>
      <c r="H17">
        <v>0</v>
      </c>
      <c r="I17">
        <v>0</v>
      </c>
    </row>
    <row r="18" spans="1:9" ht="15.75" customHeight="1" x14ac:dyDescent="0.25">
      <c r="A18" s="239" t="s">
        <v>356</v>
      </c>
      <c r="B18" s="239">
        <v>46235</v>
      </c>
      <c r="C18" s="246">
        <v>0.75</v>
      </c>
      <c r="D18" s="246">
        <v>0.79166666666666663</v>
      </c>
      <c r="E18" s="319">
        <v>59.998907103668898</v>
      </c>
      <c r="F18">
        <v>15.806250000023283</v>
      </c>
      <c r="G18">
        <v>0</v>
      </c>
      <c r="H18">
        <v>0</v>
      </c>
      <c r="I18">
        <v>0</v>
      </c>
    </row>
    <row r="19" spans="1:9" ht="15.75" customHeight="1" x14ac:dyDescent="0.25">
      <c r="A19" s="239" t="s">
        <v>357</v>
      </c>
      <c r="B19" s="239">
        <v>46235</v>
      </c>
      <c r="C19" s="246">
        <v>0.79166666666666663</v>
      </c>
      <c r="D19" s="246">
        <v>0.83333333333333337</v>
      </c>
      <c r="E19" s="319">
        <v>55.433333333581686</v>
      </c>
      <c r="F19">
        <v>19.103125000023283</v>
      </c>
      <c r="G19">
        <v>0</v>
      </c>
      <c r="H19">
        <v>0</v>
      </c>
      <c r="I19">
        <v>0</v>
      </c>
    </row>
    <row r="20" spans="1:9" ht="15.75" customHeight="1" x14ac:dyDescent="0.25">
      <c r="A20" s="239" t="s">
        <v>358</v>
      </c>
      <c r="B20" s="239">
        <v>46235</v>
      </c>
      <c r="C20" s="246">
        <v>0.83333333333333337</v>
      </c>
      <c r="D20" s="246">
        <v>0.875</v>
      </c>
      <c r="E20" s="319">
        <v>51.466666666790843</v>
      </c>
      <c r="F20">
        <v>31.942187499953434</v>
      </c>
      <c r="G20">
        <v>0</v>
      </c>
      <c r="H20">
        <v>0</v>
      </c>
      <c r="I20">
        <v>0</v>
      </c>
    </row>
    <row r="21" spans="1:9" ht="15.75" customHeight="1" x14ac:dyDescent="0.25">
      <c r="A21" s="239" t="s">
        <v>359</v>
      </c>
      <c r="B21" s="239">
        <v>46235</v>
      </c>
      <c r="C21" s="246">
        <v>0.875</v>
      </c>
      <c r="D21" s="246">
        <v>0.91666666666666663</v>
      </c>
      <c r="E21" s="319">
        <v>50.916666666511446</v>
      </c>
      <c r="F21">
        <v>29.385937500046566</v>
      </c>
      <c r="G21">
        <v>0</v>
      </c>
      <c r="H21">
        <v>0</v>
      </c>
      <c r="I21">
        <v>0</v>
      </c>
    </row>
    <row r="22" spans="1:9" ht="15.75" customHeight="1" x14ac:dyDescent="0.25">
      <c r="A22" s="239" t="s">
        <v>360</v>
      </c>
      <c r="B22" s="239">
        <v>46235</v>
      </c>
      <c r="C22" s="246">
        <v>0.91666666666666663</v>
      </c>
      <c r="D22" s="246">
        <v>0.95833333333333337</v>
      </c>
      <c r="E22" s="319">
        <v>48.950000000186265</v>
      </c>
      <c r="F22">
        <v>17.34404761902988</v>
      </c>
      <c r="G22">
        <v>0</v>
      </c>
      <c r="H22">
        <v>0</v>
      </c>
      <c r="I22">
        <v>0</v>
      </c>
    </row>
    <row r="23" spans="1:9" ht="15.75" customHeight="1" x14ac:dyDescent="0.25">
      <c r="A23" s="239" t="s">
        <v>361</v>
      </c>
      <c r="B23" s="239">
        <v>46235</v>
      </c>
      <c r="C23" s="246">
        <v>0.95833333333333337</v>
      </c>
      <c r="D23" s="246">
        <v>0</v>
      </c>
      <c r="E23" s="319">
        <v>42.474999999627471</v>
      </c>
      <c r="F23">
        <v>23.094768170383759</v>
      </c>
      <c r="G23">
        <v>0</v>
      </c>
      <c r="H23">
        <v>0</v>
      </c>
      <c r="I23">
        <v>0</v>
      </c>
    </row>
    <row r="24" spans="1:9" ht="15.75" customHeight="1" x14ac:dyDescent="0.25">
      <c r="A24" s="239" t="s">
        <v>362</v>
      </c>
      <c r="B24" s="239">
        <v>46235</v>
      </c>
      <c r="C24" s="246">
        <v>0</v>
      </c>
      <c r="D24" s="246">
        <v>4.1666666666666664E-2</v>
      </c>
      <c r="E24" s="319">
        <v>43.400000000372529</v>
      </c>
      <c r="F24">
        <v>36.722081646439619</v>
      </c>
      <c r="G24">
        <v>0</v>
      </c>
      <c r="H24">
        <v>0</v>
      </c>
      <c r="I24">
        <v>0</v>
      </c>
    </row>
    <row r="25" spans="1:9" ht="15.75" customHeight="1" x14ac:dyDescent="0.25">
      <c r="A25" s="239" t="s">
        <v>363</v>
      </c>
      <c r="B25" s="239">
        <v>46235</v>
      </c>
      <c r="C25" s="246">
        <v>4.1666666666666664E-2</v>
      </c>
      <c r="D25" s="246">
        <v>8.3333333333333329E-2</v>
      </c>
      <c r="E25" s="319">
        <v>41.433064516168088</v>
      </c>
      <c r="F25">
        <v>19.333919637254439</v>
      </c>
      <c r="G25">
        <v>0</v>
      </c>
      <c r="H25">
        <v>0</v>
      </c>
      <c r="I25">
        <v>0</v>
      </c>
    </row>
    <row r="26" spans="1:9" ht="15.75" customHeight="1" x14ac:dyDescent="0.25">
      <c r="A26" s="239" t="s">
        <v>364</v>
      </c>
      <c r="B26" s="239">
        <v>46235</v>
      </c>
      <c r="C26" s="246">
        <v>8.3333333333333329E-2</v>
      </c>
      <c r="D26" s="246">
        <v>0.125</v>
      </c>
      <c r="E26" s="319">
        <v>41.454435483552516</v>
      </c>
      <c r="F26">
        <v>27.00362042686902</v>
      </c>
      <c r="G26">
        <v>0</v>
      </c>
      <c r="H26">
        <v>0</v>
      </c>
      <c r="I26">
        <v>0</v>
      </c>
    </row>
    <row r="27" spans="1:9" ht="15.75" customHeight="1" x14ac:dyDescent="0.25">
      <c r="A27" s="239" t="s">
        <v>365</v>
      </c>
      <c r="B27" s="239">
        <v>46235</v>
      </c>
      <c r="C27" s="246">
        <v>0.125</v>
      </c>
      <c r="D27" s="246">
        <v>0.16666666666666666</v>
      </c>
      <c r="E27" s="319">
        <v>39.304166666697711</v>
      </c>
      <c r="F27">
        <v>23.550000000046566</v>
      </c>
      <c r="G27">
        <v>0</v>
      </c>
      <c r="H27">
        <v>0</v>
      </c>
      <c r="I27">
        <v>0</v>
      </c>
    </row>
    <row r="28" spans="1:9" ht="15.75" customHeight="1" x14ac:dyDescent="0.25">
      <c r="A28" s="239" t="s">
        <v>366</v>
      </c>
      <c r="B28" s="239">
        <v>46235</v>
      </c>
      <c r="C28" s="246">
        <v>0.16666666666666666</v>
      </c>
      <c r="D28" s="246">
        <v>0.20833333333333334</v>
      </c>
      <c r="E28" s="319">
        <v>38.583333333488554</v>
      </c>
      <c r="F28">
        <v>15.8046875</v>
      </c>
      <c r="G28">
        <v>0</v>
      </c>
      <c r="H28">
        <v>0</v>
      </c>
      <c r="I28">
        <v>0</v>
      </c>
    </row>
    <row r="29" spans="1:9" ht="15.75" customHeight="1" x14ac:dyDescent="0.25">
      <c r="A29" s="239" t="s">
        <v>367</v>
      </c>
      <c r="B29" s="239">
        <v>46235</v>
      </c>
      <c r="C29" s="246">
        <v>0.20833333333333334</v>
      </c>
      <c r="D29" s="246">
        <v>0.25</v>
      </c>
      <c r="E29" s="319">
        <v>39.432786885183305</v>
      </c>
      <c r="F29">
        <v>13.246874999953434</v>
      </c>
      <c r="G29">
        <v>0</v>
      </c>
      <c r="H29">
        <v>0</v>
      </c>
      <c r="I29">
        <v>0</v>
      </c>
    </row>
    <row r="30" spans="1:9" ht="15.75" customHeight="1" x14ac:dyDescent="0.25">
      <c r="A30" s="239" t="s">
        <v>368</v>
      </c>
      <c r="B30" s="239">
        <v>46236</v>
      </c>
      <c r="C30" s="246">
        <v>0.25</v>
      </c>
      <c r="D30" s="246">
        <v>0.29166666666666669</v>
      </c>
      <c r="E30" s="319">
        <v>40.192213114816695</v>
      </c>
      <c r="F30">
        <v>3.25</v>
      </c>
      <c r="G30">
        <v>0</v>
      </c>
      <c r="H30">
        <v>0</v>
      </c>
      <c r="I30">
        <v>0</v>
      </c>
    </row>
    <row r="31" spans="1:9" ht="15.75" customHeight="1" x14ac:dyDescent="0.25">
      <c r="A31" s="239" t="s">
        <v>369</v>
      </c>
      <c r="B31" s="239">
        <v>46236</v>
      </c>
      <c r="C31" s="246">
        <v>0.29166666666666669</v>
      </c>
      <c r="D31" s="246">
        <v>0.33333333333333331</v>
      </c>
      <c r="E31" s="319">
        <v>41.4375</v>
      </c>
      <c r="F31">
        <v>2.7046875000232831</v>
      </c>
      <c r="G31">
        <v>0</v>
      </c>
      <c r="H31">
        <v>0</v>
      </c>
      <c r="I31">
        <v>0</v>
      </c>
    </row>
    <row r="32" spans="1:9" ht="15.75" customHeight="1" x14ac:dyDescent="0.25">
      <c r="A32" s="239" t="s">
        <v>370</v>
      </c>
      <c r="B32" s="239">
        <v>46236</v>
      </c>
      <c r="C32" s="246">
        <v>0.33333333333333331</v>
      </c>
      <c r="D32" s="246">
        <v>0.375</v>
      </c>
      <c r="E32" s="319">
        <v>43.154166666790843</v>
      </c>
      <c r="F32">
        <v>2.6640625</v>
      </c>
      <c r="G32">
        <v>0</v>
      </c>
      <c r="H32">
        <v>0</v>
      </c>
      <c r="I32">
        <v>0</v>
      </c>
    </row>
    <row r="33" spans="1:9" ht="15.75" customHeight="1" x14ac:dyDescent="0.25">
      <c r="A33" s="239" t="s">
        <v>371</v>
      </c>
      <c r="B33" s="239">
        <v>46236</v>
      </c>
      <c r="C33" s="246">
        <v>0.375</v>
      </c>
      <c r="D33" s="246">
        <v>0.41666666666666669</v>
      </c>
      <c r="E33" s="319">
        <v>40.700282485689968</v>
      </c>
      <c r="F33">
        <v>2.8812499999767169</v>
      </c>
      <c r="G33">
        <v>0</v>
      </c>
      <c r="H33">
        <v>0</v>
      </c>
      <c r="I33">
        <v>0</v>
      </c>
    </row>
    <row r="34" spans="1:9" ht="15.75" customHeight="1" x14ac:dyDescent="0.25">
      <c r="A34" s="239" t="s">
        <v>372</v>
      </c>
      <c r="B34" s="239">
        <v>46236</v>
      </c>
      <c r="C34" s="246">
        <v>0.41666666666666669</v>
      </c>
      <c r="D34" s="246">
        <v>0.45833333333333331</v>
      </c>
      <c r="E34" s="319">
        <v>36.720550847239792</v>
      </c>
      <c r="F34">
        <v>2.6984374999301508</v>
      </c>
      <c r="G34">
        <v>0</v>
      </c>
      <c r="H34">
        <v>0</v>
      </c>
      <c r="I34">
        <v>0</v>
      </c>
    </row>
    <row r="35" spans="1:9" ht="15.75" customHeight="1" x14ac:dyDescent="0.25">
      <c r="A35" s="239" t="s">
        <v>373</v>
      </c>
      <c r="B35" s="239">
        <v>46236</v>
      </c>
      <c r="C35" s="246">
        <v>0.45833333333333331</v>
      </c>
      <c r="D35" s="246">
        <v>0.5</v>
      </c>
      <c r="E35" s="319">
        <v>45.6875</v>
      </c>
      <c r="F35">
        <v>2.5015625000232831</v>
      </c>
      <c r="G35">
        <v>0</v>
      </c>
      <c r="H35">
        <v>0</v>
      </c>
      <c r="I35">
        <v>0.3515625</v>
      </c>
    </row>
    <row r="36" spans="1:9" ht="15.75" customHeight="1" x14ac:dyDescent="0.25">
      <c r="A36" s="239" t="s">
        <v>374</v>
      </c>
      <c r="B36" s="239">
        <v>46236</v>
      </c>
      <c r="C36" s="246">
        <v>0.5</v>
      </c>
      <c r="D36" s="246">
        <v>0.54166666666666663</v>
      </c>
      <c r="E36" s="319">
        <v>38.200000000186265</v>
      </c>
      <c r="F36">
        <v>3.2375000000465661</v>
      </c>
      <c r="G36">
        <v>0</v>
      </c>
      <c r="H36">
        <v>0</v>
      </c>
      <c r="I36">
        <v>0</v>
      </c>
    </row>
    <row r="37" spans="1:9" ht="15.75" customHeight="1" x14ac:dyDescent="0.25">
      <c r="A37" s="239" t="s">
        <v>375</v>
      </c>
      <c r="B37" s="239">
        <v>46236</v>
      </c>
      <c r="C37" s="246">
        <v>0.54166666666666663</v>
      </c>
      <c r="D37" s="246">
        <v>0.58333333333333337</v>
      </c>
      <c r="E37" s="319">
        <v>43.440573770552874</v>
      </c>
      <c r="F37">
        <v>3.4718749999301508</v>
      </c>
      <c r="G37">
        <v>0</v>
      </c>
      <c r="H37">
        <v>0</v>
      </c>
      <c r="I37">
        <v>0</v>
      </c>
    </row>
    <row r="38" spans="1:9" ht="15.75" customHeight="1" x14ac:dyDescent="0.25">
      <c r="A38" s="239" t="s">
        <v>376</v>
      </c>
      <c r="B38" s="239">
        <v>46236</v>
      </c>
      <c r="C38" s="246">
        <v>0.58333333333333337</v>
      </c>
      <c r="D38" s="246">
        <v>0.625</v>
      </c>
      <c r="E38" s="319">
        <v>40.709426229353994</v>
      </c>
      <c r="F38">
        <v>3.7781250000698492</v>
      </c>
      <c r="G38">
        <v>0</v>
      </c>
      <c r="H38">
        <v>0</v>
      </c>
      <c r="I38">
        <v>0</v>
      </c>
    </row>
    <row r="39" spans="1:9" ht="15.75" customHeight="1" x14ac:dyDescent="0.25">
      <c r="A39" s="239" t="s">
        <v>377</v>
      </c>
      <c r="B39" s="239">
        <v>46236</v>
      </c>
      <c r="C39" s="246">
        <v>0.625</v>
      </c>
      <c r="D39" s="246">
        <v>0.66666666666666663</v>
      </c>
      <c r="E39" s="319">
        <v>45.450000000186265</v>
      </c>
      <c r="F39">
        <v>3.3703124999301508</v>
      </c>
      <c r="G39">
        <v>0</v>
      </c>
      <c r="H39">
        <v>0</v>
      </c>
      <c r="I39">
        <v>0</v>
      </c>
    </row>
    <row r="40" spans="1:9" ht="15.75" customHeight="1" x14ac:dyDescent="0.25">
      <c r="A40" s="239" t="s">
        <v>378</v>
      </c>
      <c r="B40" s="239">
        <v>46236</v>
      </c>
      <c r="C40" s="246">
        <v>0.66666666666666663</v>
      </c>
      <c r="D40" s="246">
        <v>0.70833333333333337</v>
      </c>
      <c r="E40" s="319">
        <v>46.199999999720603</v>
      </c>
      <c r="F40">
        <v>3.480297256144695</v>
      </c>
      <c r="G40">
        <v>0</v>
      </c>
      <c r="H40">
        <v>0</v>
      </c>
      <c r="I40">
        <v>0</v>
      </c>
    </row>
    <row r="41" spans="1:9" ht="15.75" customHeight="1" x14ac:dyDescent="0.25">
      <c r="A41" s="239" t="s">
        <v>379</v>
      </c>
      <c r="B41" s="239">
        <v>46236</v>
      </c>
      <c r="C41" s="246">
        <v>0.70833333333333337</v>
      </c>
      <c r="D41" s="246">
        <v>0.75</v>
      </c>
      <c r="E41" s="319">
        <v>65.894672131165862</v>
      </c>
      <c r="F41">
        <v>3.6040777439484373</v>
      </c>
      <c r="G41">
        <v>0</v>
      </c>
      <c r="H41">
        <v>0</v>
      </c>
      <c r="I41">
        <v>0</v>
      </c>
    </row>
    <row r="42" spans="1:9" ht="15.75" customHeight="1" x14ac:dyDescent="0.25">
      <c r="A42" s="239" t="s">
        <v>380</v>
      </c>
      <c r="B42" s="239">
        <v>46236</v>
      </c>
      <c r="C42" s="246">
        <v>0.75</v>
      </c>
      <c r="D42" s="246">
        <v>0.79166666666666663</v>
      </c>
      <c r="E42" s="319">
        <v>65.83032786892727</v>
      </c>
      <c r="F42">
        <v>3.7921874999301508</v>
      </c>
      <c r="G42">
        <v>0</v>
      </c>
      <c r="H42">
        <v>0</v>
      </c>
      <c r="I42">
        <v>0</v>
      </c>
    </row>
    <row r="43" spans="1:9" ht="15.75" customHeight="1" x14ac:dyDescent="0.25">
      <c r="A43" s="239" t="s">
        <v>381</v>
      </c>
      <c r="B43" s="239">
        <v>46236</v>
      </c>
      <c r="C43" s="246">
        <v>0.79166666666666663</v>
      </c>
      <c r="D43" s="246">
        <v>0.83333333333333337</v>
      </c>
      <c r="E43" s="319">
        <v>49.095901639666408</v>
      </c>
      <c r="F43">
        <v>5.4156250000232831</v>
      </c>
      <c r="G43">
        <v>0</v>
      </c>
      <c r="H43">
        <v>0</v>
      </c>
      <c r="I43">
        <v>0</v>
      </c>
    </row>
    <row r="44" spans="1:9" ht="15.75" customHeight="1" x14ac:dyDescent="0.25">
      <c r="A44" s="239" t="s">
        <v>382</v>
      </c>
      <c r="B44" s="239">
        <v>46236</v>
      </c>
      <c r="C44" s="246">
        <v>0.83333333333333337</v>
      </c>
      <c r="D44" s="246">
        <v>0.875</v>
      </c>
      <c r="E44" s="319">
        <v>10.295988703612238</v>
      </c>
      <c r="F44">
        <v>5.3531250000232831</v>
      </c>
      <c r="G44">
        <v>34.468098958328483</v>
      </c>
      <c r="H44">
        <v>0</v>
      </c>
      <c r="I44">
        <v>0</v>
      </c>
    </row>
    <row r="45" spans="1:9" ht="15.75" customHeight="1" x14ac:dyDescent="0.25">
      <c r="A45" s="239" t="s">
        <v>383</v>
      </c>
      <c r="B45" s="239">
        <v>46236</v>
      </c>
      <c r="C45" s="246">
        <v>0.875</v>
      </c>
      <c r="D45" s="246">
        <v>0.91666666666666663</v>
      </c>
      <c r="E45" s="319">
        <v>5.4285542108118534E-2</v>
      </c>
      <c r="F45">
        <v>5.4721798780374229</v>
      </c>
      <c r="G45">
        <v>46.832291666665697</v>
      </c>
      <c r="H45">
        <v>0</v>
      </c>
      <c r="I45">
        <v>0</v>
      </c>
    </row>
    <row r="46" spans="1:9" ht="15.75" customHeight="1" x14ac:dyDescent="0.25">
      <c r="A46" s="239" t="s">
        <v>384</v>
      </c>
      <c r="B46" s="239">
        <v>46236</v>
      </c>
      <c r="C46" s="246">
        <v>0.91666666666666663</v>
      </c>
      <c r="D46" s="246">
        <v>0.95833333333333337</v>
      </c>
      <c r="E46" s="319">
        <v>5.4285541642457247E-2</v>
      </c>
      <c r="F46">
        <v>5.2333489680895582</v>
      </c>
      <c r="G46">
        <v>45.081494968224433</v>
      </c>
      <c r="H46">
        <v>0</v>
      </c>
      <c r="I46">
        <v>0</v>
      </c>
    </row>
    <row r="47" spans="1:9" ht="15.75" customHeight="1" x14ac:dyDescent="0.25">
      <c r="A47" s="239" t="s">
        <v>385</v>
      </c>
      <c r="B47" s="239">
        <v>46236</v>
      </c>
      <c r="C47" s="246">
        <v>0.95833333333333337</v>
      </c>
      <c r="D47" s="246">
        <v>0</v>
      </c>
      <c r="E47" s="319">
        <v>5.4285542108118534E-2</v>
      </c>
      <c r="F47">
        <v>5.2304086538497359</v>
      </c>
      <c r="G47">
        <v>44.991551906787208</v>
      </c>
      <c r="H47">
        <v>0</v>
      </c>
      <c r="I47">
        <v>0</v>
      </c>
    </row>
    <row r="48" spans="1:9" ht="15.75" customHeight="1" x14ac:dyDescent="0.25">
      <c r="A48" s="239" t="s">
        <v>386</v>
      </c>
      <c r="B48" s="239">
        <v>46236</v>
      </c>
      <c r="C48" s="246">
        <v>0</v>
      </c>
      <c r="D48" s="246">
        <v>4.1666666666666664E-2</v>
      </c>
      <c r="E48" s="319">
        <v>6.2702530310489237</v>
      </c>
      <c r="F48">
        <v>5.1656250000232831</v>
      </c>
      <c r="G48">
        <v>36.204687499994179</v>
      </c>
      <c r="H48">
        <v>0</v>
      </c>
      <c r="I48">
        <v>0</v>
      </c>
    </row>
    <row r="49" spans="1:9" ht="15.75" customHeight="1" x14ac:dyDescent="0.25">
      <c r="A49" s="239" t="s">
        <v>387</v>
      </c>
      <c r="B49" s="239">
        <v>46236</v>
      </c>
      <c r="C49" s="246">
        <v>4.1666666666666664E-2</v>
      </c>
      <c r="D49" s="246">
        <v>8.3333333333333329E-2</v>
      </c>
      <c r="E49" s="319">
        <v>42.426639344077557</v>
      </c>
      <c r="F49">
        <v>5.2906250000232831</v>
      </c>
      <c r="G49">
        <v>0</v>
      </c>
      <c r="H49">
        <v>0</v>
      </c>
      <c r="I49">
        <v>0</v>
      </c>
    </row>
    <row r="50" spans="1:9" ht="15.75" customHeight="1" x14ac:dyDescent="0.25">
      <c r="A50" s="239" t="s">
        <v>388</v>
      </c>
      <c r="B50" s="239">
        <v>46236</v>
      </c>
      <c r="C50" s="246">
        <v>8.3333333333333329E-2</v>
      </c>
      <c r="D50" s="246">
        <v>0.125</v>
      </c>
      <c r="E50" s="319">
        <v>42.460860655643046</v>
      </c>
      <c r="F50">
        <v>5.0401041666045785</v>
      </c>
      <c r="G50">
        <v>0</v>
      </c>
      <c r="H50">
        <v>0</v>
      </c>
      <c r="I50">
        <v>0</v>
      </c>
    </row>
    <row r="51" spans="1:9" ht="15.75" customHeight="1" x14ac:dyDescent="0.25">
      <c r="A51" s="239" t="s">
        <v>389</v>
      </c>
      <c r="B51" s="239">
        <v>46236</v>
      </c>
      <c r="C51" s="246">
        <v>0.125</v>
      </c>
      <c r="D51" s="246">
        <v>0.16666666666666666</v>
      </c>
      <c r="E51" s="319">
        <v>41.262500000186265</v>
      </c>
      <c r="F51">
        <v>5.0395833333022892</v>
      </c>
      <c r="G51">
        <v>0</v>
      </c>
      <c r="H51">
        <v>0</v>
      </c>
      <c r="I51">
        <v>0</v>
      </c>
    </row>
    <row r="52" spans="1:9" ht="15.75" customHeight="1" x14ac:dyDescent="0.25">
      <c r="A52" s="239" t="s">
        <v>390</v>
      </c>
      <c r="B52" s="239">
        <v>46236</v>
      </c>
      <c r="C52" s="246">
        <v>0.16666666666666666</v>
      </c>
      <c r="D52" s="246">
        <v>0.20833333333333334</v>
      </c>
      <c r="E52" s="319">
        <v>40.541666666511446</v>
      </c>
      <c r="F52">
        <v>5.2281250000232831</v>
      </c>
      <c r="G52">
        <v>0</v>
      </c>
      <c r="H52">
        <v>0</v>
      </c>
      <c r="I52">
        <v>0</v>
      </c>
    </row>
    <row r="53" spans="1:9" ht="15.75" customHeight="1" x14ac:dyDescent="0.25">
      <c r="A53" s="239" t="s">
        <v>391</v>
      </c>
      <c r="B53" s="239">
        <v>46236</v>
      </c>
      <c r="C53" s="246">
        <v>0.20833333333333334</v>
      </c>
      <c r="D53" s="246">
        <v>0.25</v>
      </c>
      <c r="E53" s="319">
        <v>42.303672316484153</v>
      </c>
      <c r="F53">
        <v>5.1031250000232831</v>
      </c>
      <c r="G53">
        <v>0</v>
      </c>
      <c r="H53">
        <v>0</v>
      </c>
      <c r="I53">
        <v>0</v>
      </c>
    </row>
    <row r="54" spans="1:9" ht="15.75" customHeight="1" x14ac:dyDescent="0.25">
      <c r="A54" s="239" t="s">
        <v>392</v>
      </c>
      <c r="B54" s="239">
        <v>46237</v>
      </c>
      <c r="C54" s="246">
        <v>0.25</v>
      </c>
      <c r="D54" s="246">
        <v>0.29166666666666669</v>
      </c>
      <c r="E54" s="319">
        <v>67.304661016911268</v>
      </c>
      <c r="F54">
        <v>16.634375000023283</v>
      </c>
      <c r="G54">
        <v>0</v>
      </c>
      <c r="H54">
        <v>0</v>
      </c>
      <c r="I54">
        <v>0</v>
      </c>
    </row>
    <row r="55" spans="1:9" ht="15.75" customHeight="1" x14ac:dyDescent="0.25">
      <c r="A55" s="239" t="s">
        <v>393</v>
      </c>
      <c r="B55" s="239">
        <v>46237</v>
      </c>
      <c r="C55" s="246">
        <v>0.29166666666666669</v>
      </c>
      <c r="D55" s="246">
        <v>0.33333333333333331</v>
      </c>
      <c r="E55" s="319">
        <v>83.125</v>
      </c>
      <c r="F55">
        <v>12.809375000069849</v>
      </c>
      <c r="G55">
        <v>0</v>
      </c>
      <c r="H55">
        <v>0</v>
      </c>
      <c r="I55">
        <v>0</v>
      </c>
    </row>
    <row r="56" spans="1:9" ht="15.75" customHeight="1" x14ac:dyDescent="0.25">
      <c r="A56" s="239" t="s">
        <v>394</v>
      </c>
      <c r="B56" s="239">
        <v>46237</v>
      </c>
      <c r="C56" s="246">
        <v>0.33333333333333331</v>
      </c>
      <c r="D56" s="246">
        <v>0.375</v>
      </c>
      <c r="E56" s="319">
        <v>98.491666666697711</v>
      </c>
      <c r="F56">
        <v>16.868749999906868</v>
      </c>
      <c r="G56">
        <v>0</v>
      </c>
      <c r="H56">
        <v>0</v>
      </c>
      <c r="I56">
        <v>0</v>
      </c>
    </row>
    <row r="57" spans="1:9" ht="15.75" customHeight="1" x14ac:dyDescent="0.25">
      <c r="A57" s="239" t="s">
        <v>395</v>
      </c>
      <c r="B57" s="239">
        <v>46237</v>
      </c>
      <c r="C57" s="246">
        <v>0.375</v>
      </c>
      <c r="D57" s="246">
        <v>0.41666666666666669</v>
      </c>
      <c r="E57" s="319">
        <v>111.84109195414931</v>
      </c>
      <c r="F57">
        <v>11.709374999976717</v>
      </c>
      <c r="G57">
        <v>0</v>
      </c>
      <c r="H57">
        <v>0</v>
      </c>
      <c r="I57">
        <v>0</v>
      </c>
    </row>
    <row r="58" spans="1:9" ht="15.75" customHeight="1" x14ac:dyDescent="0.25">
      <c r="A58" s="239" t="s">
        <v>396</v>
      </c>
      <c r="B58" s="239">
        <v>46237</v>
      </c>
      <c r="C58" s="246">
        <v>0.41666666666666669</v>
      </c>
      <c r="D58" s="246">
        <v>0.45833333333333331</v>
      </c>
      <c r="E58" s="319">
        <v>117.64640804613009</v>
      </c>
      <c r="F58">
        <v>8.2462652439717203</v>
      </c>
      <c r="G58">
        <v>0</v>
      </c>
      <c r="H58">
        <v>0</v>
      </c>
      <c r="I58">
        <v>0</v>
      </c>
    </row>
    <row r="59" spans="1:9" ht="15.75" customHeight="1" x14ac:dyDescent="0.25">
      <c r="A59" s="239" t="s">
        <v>397</v>
      </c>
      <c r="B59" s="239">
        <v>46237</v>
      </c>
      <c r="C59" s="246">
        <v>0.45833333333333331</v>
      </c>
      <c r="D59" s="246">
        <v>0.5</v>
      </c>
      <c r="E59" s="319">
        <v>109.92083333292976</v>
      </c>
      <c r="F59">
        <v>9.7347560975467786</v>
      </c>
      <c r="G59">
        <v>0</v>
      </c>
      <c r="H59">
        <v>0</v>
      </c>
      <c r="I59">
        <v>0</v>
      </c>
    </row>
    <row r="60" spans="1:9" ht="15.75" customHeight="1" x14ac:dyDescent="0.25">
      <c r="A60" s="239" t="s">
        <v>398</v>
      </c>
      <c r="B60" s="239">
        <v>46237</v>
      </c>
      <c r="C60" s="246">
        <v>0.5</v>
      </c>
      <c r="D60" s="246">
        <v>0.54166666666666663</v>
      </c>
      <c r="E60" s="319">
        <v>115.08333333348855</v>
      </c>
      <c r="F60">
        <v>10.411906290100887</v>
      </c>
      <c r="G60">
        <v>0</v>
      </c>
      <c r="H60">
        <v>0</v>
      </c>
      <c r="I60">
        <v>0</v>
      </c>
    </row>
    <row r="61" spans="1:9" ht="15.75" customHeight="1" x14ac:dyDescent="0.25">
      <c r="A61" s="239" t="s">
        <v>399</v>
      </c>
      <c r="B61" s="239">
        <v>46237</v>
      </c>
      <c r="C61" s="246">
        <v>0.54166666666666663</v>
      </c>
      <c r="D61" s="246">
        <v>0.58333333333333337</v>
      </c>
      <c r="E61" s="319">
        <v>118.33387978142127</v>
      </c>
      <c r="F61">
        <v>10.105509868357331</v>
      </c>
      <c r="G61">
        <v>0</v>
      </c>
      <c r="H61">
        <v>0</v>
      </c>
      <c r="I61">
        <v>0</v>
      </c>
    </row>
    <row r="62" spans="1:9" ht="15.75" customHeight="1" x14ac:dyDescent="0.25">
      <c r="A62" s="239" t="s">
        <v>400</v>
      </c>
      <c r="B62" s="239">
        <v>46237</v>
      </c>
      <c r="C62" s="246">
        <v>0.58333333333333337</v>
      </c>
      <c r="D62" s="246">
        <v>0.625</v>
      </c>
      <c r="E62" s="319">
        <v>114.39945355197415</v>
      </c>
      <c r="F62">
        <v>10.048132622032426</v>
      </c>
      <c r="G62">
        <v>0</v>
      </c>
      <c r="H62">
        <v>0</v>
      </c>
      <c r="I62">
        <v>0</v>
      </c>
    </row>
    <row r="63" spans="1:9" ht="15.75" customHeight="1" x14ac:dyDescent="0.25">
      <c r="A63" s="239" t="s">
        <v>401</v>
      </c>
      <c r="B63" s="239">
        <v>46237</v>
      </c>
      <c r="C63" s="246">
        <v>0.625</v>
      </c>
      <c r="D63" s="246">
        <v>0.66666666666666663</v>
      </c>
      <c r="E63" s="319">
        <v>112.39999999990687</v>
      </c>
      <c r="F63">
        <v>11.331554878037423</v>
      </c>
      <c r="G63">
        <v>0</v>
      </c>
      <c r="H63">
        <v>0</v>
      </c>
      <c r="I63">
        <v>0</v>
      </c>
    </row>
    <row r="64" spans="1:9" ht="15.75" customHeight="1" x14ac:dyDescent="0.25">
      <c r="A64" s="239" t="s">
        <v>402</v>
      </c>
      <c r="B64" s="239">
        <v>46237</v>
      </c>
      <c r="C64" s="246">
        <v>0.66666666666666663</v>
      </c>
      <c r="D64" s="246">
        <v>0.70833333333333337</v>
      </c>
      <c r="E64" s="319">
        <v>104.10416666651145</v>
      </c>
      <c r="F64">
        <v>12.473323170794174</v>
      </c>
      <c r="G64">
        <v>0</v>
      </c>
      <c r="H64">
        <v>0</v>
      </c>
      <c r="I64">
        <v>0</v>
      </c>
    </row>
    <row r="65" spans="1:9" ht="15.75" customHeight="1" x14ac:dyDescent="0.25">
      <c r="A65" s="239" t="s">
        <v>403</v>
      </c>
      <c r="B65" s="239">
        <v>46237</v>
      </c>
      <c r="C65" s="246">
        <v>0.70833333333333337</v>
      </c>
      <c r="D65" s="246">
        <v>0.75</v>
      </c>
      <c r="E65" s="319">
        <v>96.93951149424538</v>
      </c>
      <c r="F65">
        <v>15.942542213830166</v>
      </c>
      <c r="G65">
        <v>0</v>
      </c>
      <c r="H65">
        <v>0</v>
      </c>
      <c r="I65">
        <v>0</v>
      </c>
    </row>
    <row r="66" spans="1:9" ht="15.75" customHeight="1" x14ac:dyDescent="0.25">
      <c r="A66" s="239" t="s">
        <v>404</v>
      </c>
      <c r="B66" s="239">
        <v>46237</v>
      </c>
      <c r="C66" s="246">
        <v>0.75</v>
      </c>
      <c r="D66" s="246">
        <v>0.79166666666666663</v>
      </c>
      <c r="E66" s="319">
        <v>94.297988506034017</v>
      </c>
      <c r="F66">
        <v>13.86538461537566</v>
      </c>
      <c r="G66">
        <v>0</v>
      </c>
      <c r="H66">
        <v>0</v>
      </c>
      <c r="I66">
        <v>0</v>
      </c>
    </row>
    <row r="67" spans="1:9" ht="15.75" customHeight="1" x14ac:dyDescent="0.25">
      <c r="A67" s="239" t="s">
        <v>405</v>
      </c>
      <c r="B67" s="239">
        <v>46237</v>
      </c>
      <c r="C67" s="246">
        <v>0.79166666666666663</v>
      </c>
      <c r="D67" s="246">
        <v>0.83333333333333337</v>
      </c>
      <c r="E67" s="319">
        <v>76.100000000093132</v>
      </c>
      <c r="F67">
        <v>17.642187500023283</v>
      </c>
      <c r="G67">
        <v>0</v>
      </c>
      <c r="H67">
        <v>0</v>
      </c>
      <c r="I67">
        <v>0</v>
      </c>
    </row>
    <row r="68" spans="1:9" ht="15.75" customHeight="1" x14ac:dyDescent="0.25">
      <c r="A68" s="239" t="s">
        <v>406</v>
      </c>
      <c r="B68" s="239">
        <v>46237</v>
      </c>
      <c r="C68" s="246">
        <v>0.83333333333333337</v>
      </c>
      <c r="D68" s="246">
        <v>0.875</v>
      </c>
      <c r="E68" s="319">
        <v>61.404166666325182</v>
      </c>
      <c r="F68">
        <v>28.519397865864448</v>
      </c>
      <c r="G68">
        <v>0</v>
      </c>
      <c r="H68">
        <v>0</v>
      </c>
      <c r="I68">
        <v>0</v>
      </c>
    </row>
    <row r="69" spans="1:9" ht="15.75" customHeight="1" x14ac:dyDescent="0.25">
      <c r="A69" s="239" t="s">
        <v>407</v>
      </c>
      <c r="B69" s="239">
        <v>46237</v>
      </c>
      <c r="C69" s="246">
        <v>0.875</v>
      </c>
      <c r="D69" s="246">
        <v>0.91666666666666663</v>
      </c>
      <c r="E69" s="319">
        <v>47.6875</v>
      </c>
      <c r="F69">
        <v>33.244664634112269</v>
      </c>
      <c r="G69">
        <v>0</v>
      </c>
      <c r="H69">
        <v>0</v>
      </c>
      <c r="I69">
        <v>0</v>
      </c>
    </row>
    <row r="70" spans="1:9" ht="15.75" customHeight="1" x14ac:dyDescent="0.25">
      <c r="A70" s="239" t="s">
        <v>408</v>
      </c>
      <c r="B70" s="239">
        <v>46237</v>
      </c>
      <c r="C70" s="246">
        <v>0.91666666666666663</v>
      </c>
      <c r="D70" s="246">
        <v>0.95833333333333337</v>
      </c>
      <c r="E70" s="319">
        <v>46.950000000186265</v>
      </c>
      <c r="F70">
        <v>24.306250000023283</v>
      </c>
      <c r="G70">
        <v>0</v>
      </c>
      <c r="H70">
        <v>0</v>
      </c>
      <c r="I70">
        <v>0</v>
      </c>
    </row>
    <row r="71" spans="1:9" ht="15.75" customHeight="1" x14ac:dyDescent="0.25">
      <c r="A71" s="239" t="s">
        <v>409</v>
      </c>
      <c r="B71" s="239">
        <v>46237</v>
      </c>
      <c r="C71" s="246">
        <v>0.95833333333333337</v>
      </c>
      <c r="D71" s="246">
        <v>0</v>
      </c>
      <c r="E71" s="319">
        <v>45.516666666604578</v>
      </c>
      <c r="F71">
        <v>19.921875</v>
      </c>
      <c r="G71">
        <v>0</v>
      </c>
      <c r="H71">
        <v>0</v>
      </c>
      <c r="I71">
        <v>0</v>
      </c>
    </row>
    <row r="72" spans="1:9" ht="15.75" customHeight="1" x14ac:dyDescent="0.25">
      <c r="A72" s="239" t="s">
        <v>410</v>
      </c>
      <c r="B72" s="239">
        <v>46237</v>
      </c>
      <c r="C72" s="246">
        <v>0</v>
      </c>
      <c r="D72" s="246">
        <v>4.1666666666666664E-2</v>
      </c>
      <c r="E72" s="319">
        <v>44.133333333302289</v>
      </c>
      <c r="F72">
        <v>15.251562500023283</v>
      </c>
      <c r="G72">
        <v>0</v>
      </c>
      <c r="H72">
        <v>0</v>
      </c>
      <c r="I72">
        <v>0</v>
      </c>
    </row>
    <row r="73" spans="1:9" ht="15.75" customHeight="1" x14ac:dyDescent="0.25">
      <c r="A73" s="239" t="s">
        <v>411</v>
      </c>
      <c r="B73" s="239">
        <v>46237</v>
      </c>
      <c r="C73" s="246">
        <v>4.1666666666666664E-2</v>
      </c>
      <c r="D73" s="246">
        <v>8.3333333333333329E-2</v>
      </c>
      <c r="E73" s="319">
        <v>47.649999999906868</v>
      </c>
      <c r="F73">
        <v>15.309374999953434</v>
      </c>
      <c r="G73">
        <v>0</v>
      </c>
      <c r="H73">
        <v>0</v>
      </c>
      <c r="I73">
        <v>0</v>
      </c>
    </row>
    <row r="74" spans="1:9" ht="15.75" customHeight="1" x14ac:dyDescent="0.25">
      <c r="A74" s="239" t="s">
        <v>412</v>
      </c>
      <c r="B74" s="239">
        <v>46237</v>
      </c>
      <c r="C74" s="246">
        <v>8.3333333333333329E-2</v>
      </c>
      <c r="D74" s="246">
        <v>0.125</v>
      </c>
      <c r="E74" s="319">
        <v>45.200000000186265</v>
      </c>
      <c r="F74">
        <v>16.995312500046566</v>
      </c>
      <c r="G74">
        <v>0</v>
      </c>
      <c r="H74">
        <v>0</v>
      </c>
      <c r="I74">
        <v>0</v>
      </c>
    </row>
    <row r="75" spans="1:9" ht="15.75" customHeight="1" x14ac:dyDescent="0.25">
      <c r="A75" s="239" t="s">
        <v>413</v>
      </c>
      <c r="B75" s="239">
        <v>46237</v>
      </c>
      <c r="C75" s="246">
        <v>0.125</v>
      </c>
      <c r="D75" s="246">
        <v>0.16666666666666666</v>
      </c>
      <c r="E75" s="319">
        <v>43.4375</v>
      </c>
      <c r="F75">
        <v>14.643749999930151</v>
      </c>
      <c r="G75">
        <v>0</v>
      </c>
      <c r="H75">
        <v>0</v>
      </c>
      <c r="I75">
        <v>0</v>
      </c>
    </row>
    <row r="76" spans="1:9" ht="15.75" customHeight="1" x14ac:dyDescent="0.25">
      <c r="A76" s="239" t="s">
        <v>414</v>
      </c>
      <c r="B76" s="239">
        <v>46237</v>
      </c>
      <c r="C76" s="246">
        <v>0.16666666666666666</v>
      </c>
      <c r="D76" s="246">
        <v>0.20833333333333334</v>
      </c>
      <c r="E76" s="319">
        <v>44.237499999813735</v>
      </c>
      <c r="F76">
        <v>27.287500000093132</v>
      </c>
      <c r="G76">
        <v>0</v>
      </c>
      <c r="H76">
        <v>0</v>
      </c>
      <c r="I76">
        <v>0</v>
      </c>
    </row>
    <row r="77" spans="1:9" ht="15.75" customHeight="1" x14ac:dyDescent="0.25">
      <c r="A77" s="239" t="s">
        <v>415</v>
      </c>
      <c r="B77" s="239">
        <v>46237</v>
      </c>
      <c r="C77" s="246">
        <v>0.20833333333333334</v>
      </c>
      <c r="D77" s="246">
        <v>0.25</v>
      </c>
      <c r="E77" s="319">
        <v>45.400000000372529</v>
      </c>
      <c r="F77">
        <v>25.749999999883585</v>
      </c>
      <c r="G77">
        <v>0</v>
      </c>
      <c r="H77">
        <v>0</v>
      </c>
      <c r="I77">
        <v>0</v>
      </c>
    </row>
    <row r="78" spans="1:9" ht="15.75" customHeight="1" x14ac:dyDescent="0.25">
      <c r="A78" s="239" t="s">
        <v>416</v>
      </c>
      <c r="B78" s="239">
        <v>46238</v>
      </c>
      <c r="C78" s="246">
        <v>0.25</v>
      </c>
      <c r="D78" s="246">
        <v>0.29166666666666669</v>
      </c>
      <c r="E78" s="319">
        <v>75.049999999813735</v>
      </c>
      <c r="F78">
        <v>16.052232143003494</v>
      </c>
      <c r="G78">
        <v>0</v>
      </c>
      <c r="H78">
        <v>0</v>
      </c>
      <c r="I78">
        <v>0</v>
      </c>
    </row>
    <row r="79" spans="1:9" ht="15.75" customHeight="1" x14ac:dyDescent="0.25">
      <c r="A79" s="239" t="s">
        <v>417</v>
      </c>
      <c r="B79" s="239">
        <v>46238</v>
      </c>
      <c r="C79" s="246">
        <v>0.29166666666666669</v>
      </c>
      <c r="D79" s="246">
        <v>0.33333333333333331</v>
      </c>
      <c r="E79" s="319">
        <v>88.824999999720603</v>
      </c>
      <c r="F79">
        <v>12.311469780164771</v>
      </c>
      <c r="G79">
        <v>0</v>
      </c>
      <c r="H79">
        <v>0</v>
      </c>
      <c r="I79">
        <v>0</v>
      </c>
    </row>
    <row r="80" spans="1:9" ht="15.75" customHeight="1" x14ac:dyDescent="0.25">
      <c r="A80" s="239" t="s">
        <v>418</v>
      </c>
      <c r="B80" s="239">
        <v>46238</v>
      </c>
      <c r="C80" s="246">
        <v>0.33333333333333331</v>
      </c>
      <c r="D80" s="246">
        <v>0.375</v>
      </c>
      <c r="E80" s="319">
        <v>94.762500000186265</v>
      </c>
      <c r="F80">
        <v>15.258012820384465</v>
      </c>
      <c r="G80">
        <v>0</v>
      </c>
      <c r="H80">
        <v>0</v>
      </c>
      <c r="I80">
        <v>0</v>
      </c>
    </row>
    <row r="81" spans="1:9" ht="15.75" customHeight="1" x14ac:dyDescent="0.25">
      <c r="A81" s="239" t="s">
        <v>419</v>
      </c>
      <c r="B81" s="239">
        <v>46238</v>
      </c>
      <c r="C81" s="246">
        <v>0.375</v>
      </c>
      <c r="D81" s="246">
        <v>0.41666666666666669</v>
      </c>
      <c r="E81" s="319">
        <v>115.10416666697711</v>
      </c>
      <c r="F81">
        <v>11.268910256447271</v>
      </c>
      <c r="G81">
        <v>0</v>
      </c>
      <c r="H81">
        <v>0</v>
      </c>
      <c r="I81">
        <v>0</v>
      </c>
    </row>
    <row r="82" spans="1:9" ht="15.75" customHeight="1" x14ac:dyDescent="0.25">
      <c r="A82" s="239" t="s">
        <v>420</v>
      </c>
      <c r="B82" s="239">
        <v>46238</v>
      </c>
      <c r="C82" s="246">
        <v>0.41666666666666669</v>
      </c>
      <c r="D82" s="246">
        <v>0.45833333333333331</v>
      </c>
      <c r="E82" s="319">
        <v>118.8607526877895</v>
      </c>
      <c r="F82">
        <v>9.3171875000698492</v>
      </c>
      <c r="G82">
        <v>0</v>
      </c>
      <c r="H82">
        <v>0</v>
      </c>
      <c r="I82">
        <v>0</v>
      </c>
    </row>
    <row r="83" spans="1:9" ht="15.75" customHeight="1" x14ac:dyDescent="0.25">
      <c r="A83" s="239" t="s">
        <v>421</v>
      </c>
      <c r="B83" s="239">
        <v>46238</v>
      </c>
      <c r="C83" s="246">
        <v>0.45833333333333331</v>
      </c>
      <c r="D83" s="246">
        <v>0.5</v>
      </c>
      <c r="E83" s="319">
        <v>120.12674731202424</v>
      </c>
      <c r="F83">
        <v>14.459946646355093</v>
      </c>
      <c r="G83">
        <v>0</v>
      </c>
      <c r="H83">
        <v>0</v>
      </c>
      <c r="I83">
        <v>0</v>
      </c>
    </row>
    <row r="84" spans="1:9" ht="15.75" customHeight="1" x14ac:dyDescent="0.25">
      <c r="A84" s="239" t="s">
        <v>422</v>
      </c>
      <c r="B84" s="239">
        <v>46238</v>
      </c>
      <c r="C84" s="246">
        <v>0.5</v>
      </c>
      <c r="D84" s="246">
        <v>0.54166666666666663</v>
      </c>
      <c r="E84" s="319">
        <v>109.44583333330229</v>
      </c>
      <c r="F84">
        <v>17.122865853714757</v>
      </c>
      <c r="G84">
        <v>0</v>
      </c>
      <c r="H84">
        <v>0</v>
      </c>
      <c r="I84">
        <v>0</v>
      </c>
    </row>
    <row r="85" spans="1:9" ht="15.75" customHeight="1" x14ac:dyDescent="0.25">
      <c r="A85" s="239" t="s">
        <v>423</v>
      </c>
      <c r="B85" s="239">
        <v>46238</v>
      </c>
      <c r="C85" s="246">
        <v>0.54166666666666663</v>
      </c>
      <c r="D85" s="246">
        <v>0.58333333333333337</v>
      </c>
      <c r="E85" s="319">
        <v>117.61666666669771</v>
      </c>
      <c r="F85">
        <v>12.542187499930151</v>
      </c>
      <c r="G85">
        <v>0</v>
      </c>
      <c r="H85">
        <v>0</v>
      </c>
      <c r="I85">
        <v>0</v>
      </c>
    </row>
    <row r="86" spans="1:9" ht="15.75" customHeight="1" x14ac:dyDescent="0.25">
      <c r="A86" s="239" t="s">
        <v>424</v>
      </c>
      <c r="B86" s="239">
        <v>46238</v>
      </c>
      <c r="C86" s="246">
        <v>0.58333333333333337</v>
      </c>
      <c r="D86" s="246">
        <v>0.625</v>
      </c>
      <c r="E86" s="319">
        <v>124.41666666651145</v>
      </c>
      <c r="F86">
        <v>11.167187499930151</v>
      </c>
      <c r="G86">
        <v>0</v>
      </c>
      <c r="H86">
        <v>0</v>
      </c>
      <c r="I86">
        <v>0</v>
      </c>
    </row>
    <row r="87" spans="1:9" ht="15.75" customHeight="1" x14ac:dyDescent="0.25">
      <c r="A87" s="239" t="s">
        <v>425</v>
      </c>
      <c r="B87" s="239">
        <v>46238</v>
      </c>
      <c r="C87" s="246">
        <v>0.625</v>
      </c>
      <c r="D87" s="246">
        <v>0.66666666666666663</v>
      </c>
      <c r="E87" s="319">
        <v>114.30564971780404</v>
      </c>
      <c r="F87">
        <v>10.917759146424942</v>
      </c>
      <c r="G87">
        <v>0</v>
      </c>
      <c r="H87">
        <v>0</v>
      </c>
      <c r="I87">
        <v>0</v>
      </c>
    </row>
    <row r="88" spans="1:9" ht="15.75" customHeight="1" x14ac:dyDescent="0.25">
      <c r="A88" s="239" t="s">
        <v>426</v>
      </c>
      <c r="B88" s="239">
        <v>46238</v>
      </c>
      <c r="C88" s="246">
        <v>0.66666666666666663</v>
      </c>
      <c r="D88" s="246">
        <v>0.70833333333333337</v>
      </c>
      <c r="E88" s="319">
        <v>115.06101694889367</v>
      </c>
      <c r="F88">
        <v>11.521303353598341</v>
      </c>
      <c r="G88">
        <v>0</v>
      </c>
      <c r="H88">
        <v>0</v>
      </c>
      <c r="I88">
        <v>0</v>
      </c>
    </row>
    <row r="89" spans="1:9" ht="15.75" customHeight="1" x14ac:dyDescent="0.25">
      <c r="A89" s="239" t="s">
        <v>427</v>
      </c>
      <c r="B89" s="239">
        <v>46238</v>
      </c>
      <c r="C89" s="246">
        <v>0.70833333333333337</v>
      </c>
      <c r="D89" s="246">
        <v>0.75</v>
      </c>
      <c r="E89" s="319">
        <v>96.950000000186265</v>
      </c>
      <c r="F89">
        <v>13.876562500023283</v>
      </c>
      <c r="G89">
        <v>0</v>
      </c>
      <c r="H89">
        <v>0</v>
      </c>
      <c r="I89">
        <v>0</v>
      </c>
    </row>
    <row r="90" spans="1:9" ht="15.75" customHeight="1" x14ac:dyDescent="0.25">
      <c r="A90" s="239" t="s">
        <v>428</v>
      </c>
      <c r="B90" s="239">
        <v>46238</v>
      </c>
      <c r="C90" s="246">
        <v>0.75</v>
      </c>
      <c r="D90" s="246">
        <v>0.79166666666666663</v>
      </c>
      <c r="E90" s="319">
        <v>86.608333333395422</v>
      </c>
      <c r="F90">
        <v>15.349999999976717</v>
      </c>
      <c r="G90">
        <v>0</v>
      </c>
      <c r="H90">
        <v>0</v>
      </c>
      <c r="I90">
        <v>0</v>
      </c>
    </row>
    <row r="91" spans="1:9" ht="15.75" customHeight="1" x14ac:dyDescent="0.25">
      <c r="A91" s="239" t="s">
        <v>429</v>
      </c>
      <c r="B91" s="239">
        <v>46238</v>
      </c>
      <c r="C91" s="246">
        <v>0.79166666666666663</v>
      </c>
      <c r="D91" s="246">
        <v>0.83333333333333337</v>
      </c>
      <c r="E91" s="319">
        <v>75.901836158242077</v>
      </c>
      <c r="F91">
        <v>18.349999999976717</v>
      </c>
      <c r="G91">
        <v>0</v>
      </c>
      <c r="H91">
        <v>0</v>
      </c>
      <c r="I91">
        <v>0</v>
      </c>
    </row>
    <row r="92" spans="1:9" ht="15.75" customHeight="1" x14ac:dyDescent="0.25">
      <c r="A92" s="239" t="s">
        <v>430</v>
      </c>
      <c r="B92" s="239">
        <v>46238</v>
      </c>
      <c r="C92" s="246">
        <v>0.83333333333333337</v>
      </c>
      <c r="D92" s="246">
        <v>0.875</v>
      </c>
      <c r="E92" s="319">
        <v>62.373163841664791</v>
      </c>
      <c r="F92">
        <v>20.599107142887078</v>
      </c>
      <c r="G92">
        <v>0</v>
      </c>
      <c r="H92">
        <v>0</v>
      </c>
      <c r="I92">
        <v>0</v>
      </c>
    </row>
    <row r="93" spans="1:9" ht="15.75" customHeight="1" x14ac:dyDescent="0.25">
      <c r="A93" s="239" t="s">
        <v>431</v>
      </c>
      <c r="B93" s="239">
        <v>46238</v>
      </c>
      <c r="C93" s="246">
        <v>0.875</v>
      </c>
      <c r="D93" s="246">
        <v>0.91666666666666663</v>
      </c>
      <c r="E93" s="319">
        <v>49.891666666604578</v>
      </c>
      <c r="F93">
        <v>18.998969780281186</v>
      </c>
      <c r="G93">
        <v>0</v>
      </c>
      <c r="H93">
        <v>0</v>
      </c>
      <c r="I93">
        <v>0</v>
      </c>
    </row>
    <row r="94" spans="1:9" ht="15.75" customHeight="1" x14ac:dyDescent="0.25">
      <c r="A94" s="239" t="s">
        <v>432</v>
      </c>
      <c r="B94" s="239">
        <v>46238</v>
      </c>
      <c r="C94" s="246">
        <v>0.91666666666666663</v>
      </c>
      <c r="D94" s="246">
        <v>0.95833333333333337</v>
      </c>
      <c r="E94" s="319">
        <v>45.6875</v>
      </c>
      <c r="F94">
        <v>15.514423076878302</v>
      </c>
      <c r="G94">
        <v>0</v>
      </c>
      <c r="H94">
        <v>0</v>
      </c>
      <c r="I94">
        <v>0</v>
      </c>
    </row>
    <row r="95" spans="1:9" ht="15.75" customHeight="1" x14ac:dyDescent="0.25">
      <c r="A95" s="239" t="s">
        <v>433</v>
      </c>
      <c r="B95" s="239">
        <v>46238</v>
      </c>
      <c r="C95" s="246">
        <v>0.95833333333333337</v>
      </c>
      <c r="D95" s="246">
        <v>0</v>
      </c>
      <c r="E95" s="319">
        <v>43.4375</v>
      </c>
      <c r="F95">
        <v>20.043749999953434</v>
      </c>
      <c r="G95">
        <v>0</v>
      </c>
      <c r="H95">
        <v>0</v>
      </c>
      <c r="I95">
        <v>0</v>
      </c>
    </row>
    <row r="96" spans="1:9" ht="15.75" customHeight="1" x14ac:dyDescent="0.25">
      <c r="A96" s="239" t="s">
        <v>434</v>
      </c>
      <c r="B96" s="239">
        <v>46238</v>
      </c>
      <c r="C96" s="246">
        <v>0</v>
      </c>
      <c r="D96" s="246">
        <v>4.1666666666666664E-2</v>
      </c>
      <c r="E96" s="319">
        <v>42.4375</v>
      </c>
      <c r="F96">
        <v>15.150000000023283</v>
      </c>
      <c r="G96">
        <v>0</v>
      </c>
      <c r="H96">
        <v>0</v>
      </c>
      <c r="I96">
        <v>0</v>
      </c>
    </row>
    <row r="97" spans="1:9" ht="15.75" customHeight="1" x14ac:dyDescent="0.25">
      <c r="A97" s="239" t="s">
        <v>435</v>
      </c>
      <c r="B97" s="239">
        <v>46238</v>
      </c>
      <c r="C97" s="246">
        <v>4.1666666666666664E-2</v>
      </c>
      <c r="D97" s="246">
        <v>8.3333333333333329E-2</v>
      </c>
      <c r="E97" s="319">
        <v>43.200000000186265</v>
      </c>
      <c r="F97">
        <v>25.292530487873591</v>
      </c>
      <c r="G97">
        <v>0</v>
      </c>
      <c r="H97">
        <v>0</v>
      </c>
      <c r="I97">
        <v>0</v>
      </c>
    </row>
    <row r="98" spans="1:9" ht="15.75" customHeight="1" x14ac:dyDescent="0.25">
      <c r="A98" s="239" t="s">
        <v>436</v>
      </c>
      <c r="B98" s="239">
        <v>46238</v>
      </c>
      <c r="C98" s="246">
        <v>8.3333333333333329E-2</v>
      </c>
      <c r="D98" s="246">
        <v>0.125</v>
      </c>
      <c r="E98" s="319">
        <v>42.4375</v>
      </c>
      <c r="F98">
        <v>24.010594512103125</v>
      </c>
      <c r="G98">
        <v>0</v>
      </c>
      <c r="H98">
        <v>0</v>
      </c>
      <c r="I98">
        <v>0</v>
      </c>
    </row>
    <row r="99" spans="1:9" ht="15.75" customHeight="1" x14ac:dyDescent="0.25">
      <c r="A99" s="239" t="s">
        <v>437</v>
      </c>
      <c r="B99" s="239">
        <v>46238</v>
      </c>
      <c r="C99" s="246">
        <v>0.125</v>
      </c>
      <c r="D99" s="246">
        <v>0.16666666666666666</v>
      </c>
      <c r="E99" s="319">
        <v>42.17076271167025</v>
      </c>
      <c r="F99">
        <v>30.806250000023283</v>
      </c>
      <c r="G99">
        <v>0</v>
      </c>
      <c r="H99">
        <v>0</v>
      </c>
      <c r="I99">
        <v>0</v>
      </c>
    </row>
    <row r="100" spans="1:9" ht="15.75" customHeight="1" x14ac:dyDescent="0.25">
      <c r="A100" s="239" t="s">
        <v>438</v>
      </c>
      <c r="B100" s="239">
        <v>46238</v>
      </c>
      <c r="C100" s="246">
        <v>0.16666666666666666</v>
      </c>
      <c r="D100" s="246">
        <v>0.20833333333333334</v>
      </c>
      <c r="E100" s="319">
        <v>40.549319255165756</v>
      </c>
      <c r="F100">
        <v>22.534375000046566</v>
      </c>
      <c r="G100">
        <v>0</v>
      </c>
      <c r="H100">
        <v>0</v>
      </c>
      <c r="I100">
        <v>0</v>
      </c>
    </row>
    <row r="101" spans="1:9" ht="15.75" customHeight="1" x14ac:dyDescent="0.25">
      <c r="A101" s="239" t="s">
        <v>439</v>
      </c>
      <c r="B101" s="239">
        <v>46238</v>
      </c>
      <c r="C101" s="246">
        <v>0.20833333333333334</v>
      </c>
      <c r="D101" s="246">
        <v>0.25</v>
      </c>
      <c r="E101" s="319">
        <v>43.592418033163995</v>
      </c>
      <c r="F101">
        <v>31.896874999976717</v>
      </c>
      <c r="G101">
        <v>0</v>
      </c>
      <c r="H101">
        <v>0</v>
      </c>
      <c r="I101">
        <v>0</v>
      </c>
    </row>
    <row r="102" spans="1:9" ht="15.75" customHeight="1" x14ac:dyDescent="0.25">
      <c r="A102" s="239" t="s">
        <v>440</v>
      </c>
      <c r="B102" s="239">
        <v>46239</v>
      </c>
      <c r="C102" s="246">
        <v>0.25</v>
      </c>
      <c r="D102" s="246">
        <v>0.29166666666666669</v>
      </c>
      <c r="E102" s="319">
        <v>72.904166666325182</v>
      </c>
      <c r="F102">
        <v>15.753125000046566</v>
      </c>
      <c r="G102">
        <v>0</v>
      </c>
      <c r="H102">
        <v>0</v>
      </c>
      <c r="I102">
        <v>0</v>
      </c>
    </row>
    <row r="103" spans="1:9" ht="15.75" customHeight="1" x14ac:dyDescent="0.25">
      <c r="A103" s="239" t="s">
        <v>441</v>
      </c>
      <c r="B103" s="239">
        <v>46239</v>
      </c>
      <c r="C103" s="246">
        <v>0.29166666666666669</v>
      </c>
      <c r="D103" s="246">
        <v>0.33333333333333331</v>
      </c>
      <c r="E103" s="319">
        <v>84.301553672645241</v>
      </c>
      <c r="F103">
        <v>11.581249999930151</v>
      </c>
      <c r="G103">
        <v>0</v>
      </c>
      <c r="H103">
        <v>0</v>
      </c>
      <c r="I103">
        <v>0</v>
      </c>
    </row>
    <row r="104" spans="1:9" ht="15.75" customHeight="1" x14ac:dyDescent="0.25">
      <c r="A104" s="239" t="s">
        <v>442</v>
      </c>
      <c r="B104" s="239">
        <v>46239</v>
      </c>
      <c r="C104" s="246">
        <v>0.33333333333333331</v>
      </c>
      <c r="D104" s="246">
        <v>0.375</v>
      </c>
      <c r="E104" s="319">
        <v>97.873446327634156</v>
      </c>
      <c r="F104">
        <v>14.268750000046566</v>
      </c>
      <c r="G104">
        <v>0</v>
      </c>
      <c r="H104">
        <v>0</v>
      </c>
      <c r="I104">
        <v>0</v>
      </c>
    </row>
    <row r="105" spans="1:9" ht="15.75" customHeight="1" x14ac:dyDescent="0.25">
      <c r="A105" s="239" t="s">
        <v>443</v>
      </c>
      <c r="B105" s="239">
        <v>46239</v>
      </c>
      <c r="C105" s="246">
        <v>0.375</v>
      </c>
      <c r="D105" s="246">
        <v>0.41666666666666669</v>
      </c>
      <c r="E105" s="319">
        <v>106.69583333330229</v>
      </c>
      <c r="F105">
        <v>10.706249999930151</v>
      </c>
      <c r="G105">
        <v>0</v>
      </c>
      <c r="H105">
        <v>0</v>
      </c>
      <c r="I105">
        <v>0</v>
      </c>
    </row>
    <row r="106" spans="1:9" ht="15.75" customHeight="1" x14ac:dyDescent="0.25">
      <c r="A106" s="239" t="s">
        <v>444</v>
      </c>
      <c r="B106" s="239">
        <v>46239</v>
      </c>
      <c r="C106" s="246">
        <v>0.41666666666666669</v>
      </c>
      <c r="D106" s="246">
        <v>0.45833333333333331</v>
      </c>
      <c r="E106" s="319">
        <v>117.78750000009313</v>
      </c>
      <c r="F106">
        <v>9.4502976190997288</v>
      </c>
      <c r="G106">
        <v>0</v>
      </c>
      <c r="H106">
        <v>0</v>
      </c>
      <c r="I106">
        <v>0</v>
      </c>
    </row>
    <row r="107" spans="1:9" ht="15.75" customHeight="1" x14ac:dyDescent="0.25">
      <c r="A107" s="239" t="s">
        <v>445</v>
      </c>
      <c r="B107" s="239">
        <v>46239</v>
      </c>
      <c r="C107" s="246">
        <v>0.45833333333333331</v>
      </c>
      <c r="D107" s="246">
        <v>0.5</v>
      </c>
      <c r="E107" s="319">
        <v>113.34166666632518</v>
      </c>
      <c r="F107">
        <v>8.9845708019565791</v>
      </c>
      <c r="G107">
        <v>0</v>
      </c>
      <c r="H107">
        <v>0</v>
      </c>
      <c r="I107">
        <v>0</v>
      </c>
    </row>
    <row r="108" spans="1:9" ht="15.75" customHeight="1" x14ac:dyDescent="0.25">
      <c r="A108" s="239" t="s">
        <v>446</v>
      </c>
      <c r="B108" s="239">
        <v>46239</v>
      </c>
      <c r="C108" s="246">
        <v>0.5</v>
      </c>
      <c r="D108" s="246">
        <v>0.54166666666666663</v>
      </c>
      <c r="E108" s="319">
        <v>105.12083333358169</v>
      </c>
      <c r="F108">
        <v>11.499506579013541</v>
      </c>
      <c r="G108">
        <v>0</v>
      </c>
      <c r="H108">
        <v>0</v>
      </c>
      <c r="I108">
        <v>0</v>
      </c>
    </row>
    <row r="109" spans="1:9" ht="15.75" customHeight="1" x14ac:dyDescent="0.25">
      <c r="A109" s="239" t="s">
        <v>447</v>
      </c>
      <c r="B109" s="239">
        <v>46239</v>
      </c>
      <c r="C109" s="246">
        <v>0.54166666666666663</v>
      </c>
      <c r="D109" s="246">
        <v>0.58333333333333337</v>
      </c>
      <c r="E109" s="319">
        <v>110.82520491816103</v>
      </c>
      <c r="F109">
        <v>11.892301829298958</v>
      </c>
      <c r="G109">
        <v>0</v>
      </c>
      <c r="H109">
        <v>0</v>
      </c>
      <c r="I109">
        <v>0</v>
      </c>
    </row>
    <row r="110" spans="1:9" ht="15.75" customHeight="1" x14ac:dyDescent="0.25">
      <c r="A110" s="239" t="s">
        <v>448</v>
      </c>
      <c r="B110" s="239">
        <v>46239</v>
      </c>
      <c r="C110" s="246">
        <v>0.58333333333333337</v>
      </c>
      <c r="D110" s="246">
        <v>0.625</v>
      </c>
      <c r="E110" s="319">
        <v>118.29562841495499</v>
      </c>
      <c r="F110">
        <v>12.001448170631193</v>
      </c>
      <c r="G110">
        <v>0</v>
      </c>
      <c r="H110">
        <v>0</v>
      </c>
      <c r="I110">
        <v>0</v>
      </c>
    </row>
    <row r="111" spans="1:9" ht="15.75" customHeight="1" x14ac:dyDescent="0.25">
      <c r="A111" s="239" t="s">
        <v>449</v>
      </c>
      <c r="B111" s="239">
        <v>46239</v>
      </c>
      <c r="C111" s="246">
        <v>0.625</v>
      </c>
      <c r="D111" s="246">
        <v>0.66666666666666663</v>
      </c>
      <c r="E111" s="319">
        <v>112.37768361577764</v>
      </c>
      <c r="F111">
        <v>11.167759146424942</v>
      </c>
      <c r="G111">
        <v>0</v>
      </c>
      <c r="H111">
        <v>0</v>
      </c>
      <c r="I111">
        <v>0</v>
      </c>
    </row>
    <row r="112" spans="1:9" ht="15.75" customHeight="1" x14ac:dyDescent="0.25">
      <c r="A112" s="239" t="s">
        <v>450</v>
      </c>
      <c r="B112" s="239">
        <v>46239</v>
      </c>
      <c r="C112" s="246">
        <v>0.66666666666666663</v>
      </c>
      <c r="D112" s="246">
        <v>0.70833333333333337</v>
      </c>
      <c r="E112" s="319">
        <v>112.60564971761778</v>
      </c>
      <c r="F112">
        <v>12.705792682943866</v>
      </c>
      <c r="G112">
        <v>0</v>
      </c>
      <c r="H112">
        <v>0</v>
      </c>
      <c r="I112">
        <v>0</v>
      </c>
    </row>
    <row r="113" spans="1:9" ht="15.75" customHeight="1" x14ac:dyDescent="0.25">
      <c r="A113" s="239" t="s">
        <v>451</v>
      </c>
      <c r="B113" s="239">
        <v>46239</v>
      </c>
      <c r="C113" s="246">
        <v>0.70833333333333337</v>
      </c>
      <c r="D113" s="246">
        <v>0.75</v>
      </c>
      <c r="E113" s="319">
        <v>99.408333333209157</v>
      </c>
      <c r="F113">
        <v>13.335823170724325</v>
      </c>
      <c r="G113">
        <v>0</v>
      </c>
      <c r="H113">
        <v>0</v>
      </c>
      <c r="I113">
        <v>0</v>
      </c>
    </row>
    <row r="114" spans="1:9" ht="15.75" customHeight="1" x14ac:dyDescent="0.25">
      <c r="A114" s="239" t="s">
        <v>452</v>
      </c>
      <c r="B114" s="239">
        <v>46239</v>
      </c>
      <c r="C114" s="246">
        <v>0.75</v>
      </c>
      <c r="D114" s="246">
        <v>0.79166666666666663</v>
      </c>
      <c r="E114" s="319">
        <v>44.450000000186265</v>
      </c>
      <c r="F114">
        <v>17.618749999906868</v>
      </c>
      <c r="G114">
        <v>36</v>
      </c>
      <c r="H114">
        <v>0</v>
      </c>
      <c r="I114">
        <v>0</v>
      </c>
    </row>
    <row r="115" spans="1:9" ht="15.75" customHeight="1" x14ac:dyDescent="0.25">
      <c r="A115" s="239" t="s">
        <v>453</v>
      </c>
      <c r="B115" s="239">
        <v>46239</v>
      </c>
      <c r="C115" s="246">
        <v>0.79166666666666663</v>
      </c>
      <c r="D115" s="246">
        <v>0.83333333333333337</v>
      </c>
      <c r="E115" s="319">
        <v>80.058333333116025</v>
      </c>
      <c r="F115">
        <v>21.106250000069849</v>
      </c>
      <c r="G115">
        <v>0</v>
      </c>
      <c r="H115">
        <v>0</v>
      </c>
      <c r="I115">
        <v>0</v>
      </c>
    </row>
    <row r="116" spans="1:9" ht="15.75" customHeight="1" x14ac:dyDescent="0.25">
      <c r="A116" s="239" t="s">
        <v>454</v>
      </c>
      <c r="B116" s="239">
        <v>46239</v>
      </c>
      <c r="C116" s="246">
        <v>0.83333333333333337</v>
      </c>
      <c r="D116" s="246">
        <v>0.875</v>
      </c>
      <c r="E116" s="319">
        <v>53.26666666707024</v>
      </c>
      <c r="F116">
        <v>20.514062499976717</v>
      </c>
      <c r="G116">
        <v>0</v>
      </c>
      <c r="H116">
        <v>0</v>
      </c>
      <c r="I116">
        <v>0</v>
      </c>
    </row>
    <row r="117" spans="1:9" ht="15.75" customHeight="1" x14ac:dyDescent="0.25">
      <c r="A117" s="239" t="s">
        <v>455</v>
      </c>
      <c r="B117" s="239">
        <v>46239</v>
      </c>
      <c r="C117" s="246">
        <v>0.875</v>
      </c>
      <c r="D117" s="246">
        <v>0.91666666666666663</v>
      </c>
      <c r="E117" s="319">
        <v>46.1875</v>
      </c>
      <c r="F117">
        <v>24.01352896343451</v>
      </c>
      <c r="G117">
        <v>0</v>
      </c>
      <c r="H117">
        <v>0</v>
      </c>
      <c r="I117">
        <v>0</v>
      </c>
    </row>
    <row r="118" spans="1:9" ht="15.75" customHeight="1" x14ac:dyDescent="0.25">
      <c r="A118" s="239" t="s">
        <v>456</v>
      </c>
      <c r="B118" s="239">
        <v>46239</v>
      </c>
      <c r="C118" s="246">
        <v>0.91666666666666663</v>
      </c>
      <c r="D118" s="246">
        <v>0.95833333333333337</v>
      </c>
      <c r="E118" s="319">
        <v>45.079166666604578</v>
      </c>
      <c r="F118">
        <v>24.459908536518924</v>
      </c>
      <c r="G118">
        <v>0</v>
      </c>
      <c r="H118">
        <v>0</v>
      </c>
      <c r="I118">
        <v>0</v>
      </c>
    </row>
    <row r="119" spans="1:9" ht="15.75" customHeight="1" x14ac:dyDescent="0.25">
      <c r="A119" s="239" t="s">
        <v>457</v>
      </c>
      <c r="B119" s="239">
        <v>46239</v>
      </c>
      <c r="C119" s="246">
        <v>0.95833333333333337</v>
      </c>
      <c r="D119" s="246">
        <v>0</v>
      </c>
      <c r="E119" s="319">
        <v>44.633333333302289</v>
      </c>
      <c r="F119">
        <v>23.065625000046566</v>
      </c>
      <c r="G119">
        <v>0</v>
      </c>
      <c r="H119">
        <v>0</v>
      </c>
      <c r="I119">
        <v>0</v>
      </c>
    </row>
    <row r="120" spans="1:9" ht="15.75" customHeight="1" x14ac:dyDescent="0.25">
      <c r="A120" s="239" t="s">
        <v>458</v>
      </c>
      <c r="B120" s="239">
        <v>46239</v>
      </c>
      <c r="C120" s="246">
        <v>0</v>
      </c>
      <c r="D120" s="246">
        <v>4.1666666666666664E-2</v>
      </c>
      <c r="E120" s="319">
        <v>42.843548386823386</v>
      </c>
      <c r="F120">
        <v>14.92023026314564</v>
      </c>
      <c r="G120">
        <v>0</v>
      </c>
      <c r="H120">
        <v>0</v>
      </c>
      <c r="I120">
        <v>0</v>
      </c>
    </row>
    <row r="121" spans="1:9" ht="15.75" customHeight="1" x14ac:dyDescent="0.25">
      <c r="A121" s="239" t="s">
        <v>459</v>
      </c>
      <c r="B121" s="239">
        <v>46239</v>
      </c>
      <c r="C121" s="246">
        <v>4.1666666666666664E-2</v>
      </c>
      <c r="D121" s="246">
        <v>8.3333333333333329E-2</v>
      </c>
      <c r="E121" s="319">
        <v>41.398118279874325</v>
      </c>
      <c r="F121">
        <v>16.686740890727378</v>
      </c>
      <c r="G121">
        <v>0</v>
      </c>
      <c r="H121">
        <v>0</v>
      </c>
      <c r="I121">
        <v>0</v>
      </c>
    </row>
    <row r="122" spans="1:9" ht="15.75" customHeight="1" x14ac:dyDescent="0.25">
      <c r="A122" s="239" t="s">
        <v>460</v>
      </c>
      <c r="B122" s="239">
        <v>46239</v>
      </c>
      <c r="C122" s="246">
        <v>8.3333333333333329E-2</v>
      </c>
      <c r="D122" s="246">
        <v>0.125</v>
      </c>
      <c r="E122" s="319">
        <v>41.220833333209157</v>
      </c>
      <c r="F122">
        <v>15.468028846080415</v>
      </c>
      <c r="G122">
        <v>0</v>
      </c>
      <c r="H122">
        <v>0</v>
      </c>
      <c r="I122">
        <v>0</v>
      </c>
    </row>
    <row r="123" spans="1:9" ht="15.75" customHeight="1" x14ac:dyDescent="0.25">
      <c r="A123" s="239" t="s">
        <v>461</v>
      </c>
      <c r="B123" s="239">
        <v>46239</v>
      </c>
      <c r="C123" s="246">
        <v>0.125</v>
      </c>
      <c r="D123" s="246">
        <v>0.16666666666666666</v>
      </c>
      <c r="E123" s="319">
        <v>40.9375</v>
      </c>
      <c r="F123">
        <v>14.640625</v>
      </c>
      <c r="G123">
        <v>0</v>
      </c>
      <c r="H123">
        <v>0</v>
      </c>
      <c r="I123">
        <v>0</v>
      </c>
    </row>
    <row r="124" spans="1:9" ht="15.75" customHeight="1" x14ac:dyDescent="0.25">
      <c r="A124" s="239" t="s">
        <v>462</v>
      </c>
      <c r="B124" s="239">
        <v>46239</v>
      </c>
      <c r="C124" s="246">
        <v>0.16666666666666666</v>
      </c>
      <c r="D124" s="246">
        <v>0.20833333333333334</v>
      </c>
      <c r="E124" s="319">
        <v>40.458333333488554</v>
      </c>
      <c r="F124">
        <v>25.446875000023283</v>
      </c>
      <c r="G124">
        <v>0</v>
      </c>
      <c r="H124">
        <v>0</v>
      </c>
      <c r="I124">
        <v>0</v>
      </c>
    </row>
    <row r="125" spans="1:9" ht="15.75" customHeight="1" x14ac:dyDescent="0.25">
      <c r="A125" s="239" t="s">
        <v>463</v>
      </c>
      <c r="B125" s="239">
        <v>46239</v>
      </c>
      <c r="C125" s="246">
        <v>0.20833333333333334</v>
      </c>
      <c r="D125" s="246">
        <v>0.25</v>
      </c>
      <c r="E125" s="319">
        <v>41.429166666697711</v>
      </c>
      <c r="F125">
        <v>25.479649390210398</v>
      </c>
      <c r="G125">
        <v>0</v>
      </c>
      <c r="H125">
        <v>0</v>
      </c>
      <c r="I125">
        <v>0</v>
      </c>
    </row>
    <row r="126" spans="1:9" ht="15.75" customHeight="1" x14ac:dyDescent="0.25">
      <c r="A126" s="239" t="s">
        <v>464</v>
      </c>
      <c r="B126" s="239">
        <v>46240</v>
      </c>
      <c r="C126" s="246">
        <v>0.25</v>
      </c>
      <c r="D126" s="246">
        <v>0.29166666666666669</v>
      </c>
      <c r="E126" s="319">
        <v>68.320833333302289</v>
      </c>
      <c r="F126">
        <v>13.989329268340953</v>
      </c>
      <c r="G126">
        <v>0</v>
      </c>
      <c r="H126">
        <v>0</v>
      </c>
      <c r="I126">
        <v>0</v>
      </c>
    </row>
    <row r="127" spans="1:9" ht="15.75" customHeight="1" x14ac:dyDescent="0.25">
      <c r="A127" s="239" t="s">
        <v>465</v>
      </c>
      <c r="B127" s="239">
        <v>46240</v>
      </c>
      <c r="C127" s="246">
        <v>0.29166666666666669</v>
      </c>
      <c r="D127" s="246">
        <v>0.33333333333333331</v>
      </c>
      <c r="E127" s="319">
        <v>82.816666666418314</v>
      </c>
      <c r="F127">
        <v>13.084146341425367</v>
      </c>
      <c r="G127">
        <v>0</v>
      </c>
      <c r="H127">
        <v>0</v>
      </c>
      <c r="I127">
        <v>0</v>
      </c>
    </row>
    <row r="128" spans="1:9" ht="15.75" customHeight="1" x14ac:dyDescent="0.25">
      <c r="A128" s="239" t="s">
        <v>466</v>
      </c>
      <c r="B128" s="239">
        <v>46240</v>
      </c>
      <c r="C128" s="246">
        <v>0.33333333333333331</v>
      </c>
      <c r="D128" s="246">
        <v>0.375</v>
      </c>
      <c r="E128" s="319">
        <v>88.774999999906868</v>
      </c>
      <c r="F128">
        <v>14.081250000046566</v>
      </c>
      <c r="G128">
        <v>0</v>
      </c>
      <c r="H128">
        <v>0</v>
      </c>
      <c r="I128">
        <v>0</v>
      </c>
    </row>
    <row r="129" spans="1:9" ht="15.75" customHeight="1" x14ac:dyDescent="0.25">
      <c r="A129" s="239" t="s">
        <v>467</v>
      </c>
      <c r="B129" s="239">
        <v>46240</v>
      </c>
      <c r="C129" s="246">
        <v>0.375</v>
      </c>
      <c r="D129" s="246">
        <v>0.41666666666666669</v>
      </c>
      <c r="E129" s="319">
        <v>102.76666666707024</v>
      </c>
      <c r="F129">
        <v>10.275000000023283</v>
      </c>
      <c r="G129">
        <v>0</v>
      </c>
      <c r="H129">
        <v>0</v>
      </c>
      <c r="I129">
        <v>0</v>
      </c>
    </row>
    <row r="130" spans="1:9" ht="15.75" customHeight="1" x14ac:dyDescent="0.25">
      <c r="A130" s="239" t="s">
        <v>468</v>
      </c>
      <c r="B130" s="239">
        <v>46240</v>
      </c>
      <c r="C130" s="246">
        <v>0.41666666666666669</v>
      </c>
      <c r="D130" s="246">
        <v>0.45833333333333331</v>
      </c>
      <c r="E130" s="319">
        <v>121.08333333302289</v>
      </c>
      <c r="F130">
        <v>8.2906250000232831</v>
      </c>
      <c r="G130">
        <v>0</v>
      </c>
      <c r="H130">
        <v>0</v>
      </c>
      <c r="I130">
        <v>0</v>
      </c>
    </row>
    <row r="131" spans="1:9" ht="15.75" customHeight="1" x14ac:dyDescent="0.25">
      <c r="A131" s="239" t="s">
        <v>469</v>
      </c>
      <c r="B131" s="239">
        <v>46240</v>
      </c>
      <c r="C131" s="246">
        <v>0.45833333333333331</v>
      </c>
      <c r="D131" s="246">
        <v>0.5</v>
      </c>
      <c r="E131" s="319">
        <v>114.00983606558293</v>
      </c>
      <c r="F131">
        <v>9.9281249999767169</v>
      </c>
      <c r="G131">
        <v>0</v>
      </c>
      <c r="H131">
        <v>0</v>
      </c>
      <c r="I131">
        <v>0</v>
      </c>
    </row>
    <row r="132" spans="1:9" ht="15.75" customHeight="1" x14ac:dyDescent="0.25">
      <c r="A132" s="239" t="s">
        <v>470</v>
      </c>
      <c r="B132" s="239">
        <v>46240</v>
      </c>
      <c r="C132" s="246">
        <v>0.5</v>
      </c>
      <c r="D132" s="246">
        <v>0.54166666666666663</v>
      </c>
      <c r="E132" s="319">
        <v>105.77564780553803</v>
      </c>
      <c r="F132">
        <v>10.153124999953434</v>
      </c>
      <c r="G132">
        <v>0</v>
      </c>
      <c r="H132">
        <v>0</v>
      </c>
      <c r="I132">
        <v>0</v>
      </c>
    </row>
    <row r="133" spans="1:9" ht="15.75" customHeight="1" x14ac:dyDescent="0.25">
      <c r="A133" s="239" t="s">
        <v>471</v>
      </c>
      <c r="B133" s="239">
        <v>46240</v>
      </c>
      <c r="C133" s="246">
        <v>0.54166666666666663</v>
      </c>
      <c r="D133" s="246">
        <v>0.58333333333333337</v>
      </c>
      <c r="E133" s="319">
        <v>107.44368279585615</v>
      </c>
      <c r="F133">
        <v>10.795312499976717</v>
      </c>
      <c r="G133">
        <v>0</v>
      </c>
      <c r="H133">
        <v>0</v>
      </c>
      <c r="I133">
        <v>0</v>
      </c>
    </row>
    <row r="134" spans="1:9" ht="15.75" customHeight="1" x14ac:dyDescent="0.25">
      <c r="A134" s="239" t="s">
        <v>472</v>
      </c>
      <c r="B134" s="239">
        <v>46240</v>
      </c>
      <c r="C134" s="246">
        <v>0.58333333333333337</v>
      </c>
      <c r="D134" s="246">
        <v>0.625</v>
      </c>
      <c r="E134" s="319">
        <v>111.6374999997206</v>
      </c>
      <c r="F134">
        <v>12.485937500023283</v>
      </c>
      <c r="G134">
        <v>0</v>
      </c>
      <c r="H134">
        <v>0</v>
      </c>
      <c r="I134">
        <v>0</v>
      </c>
    </row>
    <row r="135" spans="1:9" ht="15.75" customHeight="1" x14ac:dyDescent="0.25">
      <c r="A135" s="239" t="s">
        <v>473</v>
      </c>
      <c r="B135" s="239">
        <v>46240</v>
      </c>
      <c r="C135" s="246">
        <v>0.625</v>
      </c>
      <c r="D135" s="246">
        <v>0.66666666666666663</v>
      </c>
      <c r="E135" s="319">
        <v>109.60000000009313</v>
      </c>
      <c r="F135">
        <v>14.069471153896302</v>
      </c>
      <c r="G135">
        <v>0</v>
      </c>
      <c r="H135">
        <v>0</v>
      </c>
      <c r="I135">
        <v>0</v>
      </c>
    </row>
    <row r="136" spans="1:9" ht="15.75" customHeight="1" x14ac:dyDescent="0.25">
      <c r="A136" s="239" t="s">
        <v>474</v>
      </c>
      <c r="B136" s="239">
        <v>46240</v>
      </c>
      <c r="C136" s="246">
        <v>0.66666666666666663</v>
      </c>
      <c r="D136" s="246">
        <v>0.70833333333333337</v>
      </c>
      <c r="E136" s="319">
        <v>111.35833333339542</v>
      </c>
      <c r="F136">
        <v>14.094629455939867</v>
      </c>
      <c r="G136">
        <v>0</v>
      </c>
      <c r="H136">
        <v>0</v>
      </c>
      <c r="I136">
        <v>0</v>
      </c>
    </row>
    <row r="137" spans="1:9" ht="15.75" customHeight="1" x14ac:dyDescent="0.25">
      <c r="A137" s="239" t="s">
        <v>475</v>
      </c>
      <c r="B137" s="239">
        <v>46240</v>
      </c>
      <c r="C137" s="246">
        <v>0.70833333333333337</v>
      </c>
      <c r="D137" s="246">
        <v>0.75</v>
      </c>
      <c r="E137" s="319">
        <v>99.625</v>
      </c>
      <c r="F137">
        <v>12.267149390187114</v>
      </c>
      <c r="G137">
        <v>0</v>
      </c>
      <c r="H137">
        <v>0</v>
      </c>
      <c r="I137">
        <v>0</v>
      </c>
    </row>
    <row r="138" spans="1:9" ht="15.75" customHeight="1" x14ac:dyDescent="0.25">
      <c r="A138" s="239" t="s">
        <v>476</v>
      </c>
      <c r="B138" s="239">
        <v>46240</v>
      </c>
      <c r="C138" s="246">
        <v>0.75</v>
      </c>
      <c r="D138" s="246">
        <v>0.79166666666666663</v>
      </c>
      <c r="E138" s="319">
        <v>96.774999999906868</v>
      </c>
      <c r="F138">
        <v>14.2890625</v>
      </c>
      <c r="G138">
        <v>0</v>
      </c>
      <c r="H138">
        <v>0</v>
      </c>
      <c r="I138">
        <v>0</v>
      </c>
    </row>
    <row r="139" spans="1:9" ht="15.75" customHeight="1" x14ac:dyDescent="0.25">
      <c r="A139" s="239" t="s">
        <v>477</v>
      </c>
      <c r="B139" s="239">
        <v>46240</v>
      </c>
      <c r="C139" s="246">
        <v>0.79166666666666663</v>
      </c>
      <c r="D139" s="246">
        <v>0.83333333333333337</v>
      </c>
      <c r="E139" s="319">
        <v>76.625</v>
      </c>
      <c r="F139">
        <v>27.384300595265813</v>
      </c>
      <c r="G139">
        <v>0</v>
      </c>
      <c r="H139">
        <v>0</v>
      </c>
      <c r="I139">
        <v>0</v>
      </c>
    </row>
    <row r="140" spans="1:9" ht="15.75" customHeight="1" x14ac:dyDescent="0.25">
      <c r="A140" s="239" t="s">
        <v>478</v>
      </c>
      <c r="B140" s="239">
        <v>46240</v>
      </c>
      <c r="C140" s="246">
        <v>0.83333333333333337</v>
      </c>
      <c r="D140" s="246">
        <v>0.875</v>
      </c>
      <c r="E140" s="319">
        <v>70.166666666511446</v>
      </c>
      <c r="F140">
        <v>20.440819596988149</v>
      </c>
      <c r="G140">
        <v>0</v>
      </c>
      <c r="H140">
        <v>0</v>
      </c>
      <c r="I140">
        <v>0</v>
      </c>
    </row>
    <row r="141" spans="1:9" ht="15.75" customHeight="1" x14ac:dyDescent="0.25">
      <c r="A141" s="239" t="s">
        <v>479</v>
      </c>
      <c r="B141" s="239">
        <v>46240</v>
      </c>
      <c r="C141" s="246">
        <v>0.875</v>
      </c>
      <c r="D141" s="246">
        <v>0.91666666666666663</v>
      </c>
      <c r="E141" s="319">
        <v>60.733333333395422</v>
      </c>
      <c r="F141">
        <v>18.121754807769321</v>
      </c>
      <c r="G141">
        <v>0</v>
      </c>
      <c r="H141">
        <v>0</v>
      </c>
      <c r="I141">
        <v>0</v>
      </c>
    </row>
    <row r="142" spans="1:9" ht="15.75" customHeight="1" x14ac:dyDescent="0.25">
      <c r="A142" s="239" t="s">
        <v>480</v>
      </c>
      <c r="B142" s="239">
        <v>46240</v>
      </c>
      <c r="C142" s="246">
        <v>0.91666666666666663</v>
      </c>
      <c r="D142" s="246">
        <v>0.95833333333333337</v>
      </c>
      <c r="E142" s="319">
        <v>49.4375</v>
      </c>
      <c r="F142">
        <v>30.860937500023283</v>
      </c>
      <c r="G142">
        <v>0</v>
      </c>
      <c r="H142">
        <v>0</v>
      </c>
      <c r="I142">
        <v>0</v>
      </c>
    </row>
    <row r="143" spans="1:9" ht="15.75" customHeight="1" x14ac:dyDescent="0.25">
      <c r="A143" s="239" t="s">
        <v>481</v>
      </c>
      <c r="B143" s="239">
        <v>46240</v>
      </c>
      <c r="C143" s="246">
        <v>0.95833333333333337</v>
      </c>
      <c r="D143" s="246">
        <v>0</v>
      </c>
      <c r="E143" s="319">
        <v>47.9375</v>
      </c>
      <c r="F143">
        <v>22.494207317009568</v>
      </c>
      <c r="G143">
        <v>0</v>
      </c>
      <c r="H143">
        <v>0</v>
      </c>
      <c r="I143">
        <v>0</v>
      </c>
    </row>
    <row r="144" spans="1:9" ht="15.75" customHeight="1" x14ac:dyDescent="0.25">
      <c r="A144" s="239" t="s">
        <v>482</v>
      </c>
      <c r="B144" s="239">
        <v>46240</v>
      </c>
      <c r="C144" s="246">
        <v>0</v>
      </c>
      <c r="D144" s="246">
        <v>4.1666666666666664E-2</v>
      </c>
      <c r="E144" s="319">
        <v>45.9375</v>
      </c>
      <c r="F144">
        <v>17.774542682920583</v>
      </c>
      <c r="G144">
        <v>0</v>
      </c>
      <c r="H144">
        <v>0</v>
      </c>
      <c r="I144">
        <v>0</v>
      </c>
    </row>
    <row r="145" spans="1:9" ht="15.75" customHeight="1" x14ac:dyDescent="0.25">
      <c r="A145" s="239" t="s">
        <v>483</v>
      </c>
      <c r="B145" s="239">
        <v>46240</v>
      </c>
      <c r="C145" s="246">
        <v>4.1666666666666664E-2</v>
      </c>
      <c r="D145" s="246">
        <v>8.3333333333333329E-2</v>
      </c>
      <c r="E145" s="319">
        <v>46.430942622944713</v>
      </c>
      <c r="F145">
        <v>16.589062500046566</v>
      </c>
      <c r="G145">
        <v>0</v>
      </c>
      <c r="H145">
        <v>0</v>
      </c>
      <c r="I145">
        <v>0</v>
      </c>
    </row>
    <row r="146" spans="1:9" ht="15.75" customHeight="1" x14ac:dyDescent="0.25">
      <c r="A146" s="239" t="s">
        <v>484</v>
      </c>
      <c r="B146" s="239">
        <v>46240</v>
      </c>
      <c r="C146" s="246">
        <v>8.3333333333333329E-2</v>
      </c>
      <c r="D146" s="246">
        <v>0.125</v>
      </c>
      <c r="E146" s="319">
        <v>46.289890710264444</v>
      </c>
      <c r="F146">
        <v>15.923437500023283</v>
      </c>
      <c r="G146">
        <v>0</v>
      </c>
      <c r="H146">
        <v>0</v>
      </c>
      <c r="I146">
        <v>0</v>
      </c>
    </row>
    <row r="147" spans="1:9" ht="15.75" customHeight="1" x14ac:dyDescent="0.25">
      <c r="A147" s="239" t="s">
        <v>485</v>
      </c>
      <c r="B147" s="239">
        <v>46240</v>
      </c>
      <c r="C147" s="246">
        <v>0.125</v>
      </c>
      <c r="D147" s="246">
        <v>0.16666666666666666</v>
      </c>
      <c r="E147" s="319">
        <v>45.570698924828321</v>
      </c>
      <c r="F147">
        <v>14.099999999976717</v>
      </c>
      <c r="G147">
        <v>0</v>
      </c>
      <c r="H147">
        <v>0</v>
      </c>
      <c r="I147">
        <v>0</v>
      </c>
    </row>
    <row r="148" spans="1:9" ht="15.75" customHeight="1" x14ac:dyDescent="0.25">
      <c r="A148" s="239" t="s">
        <v>486</v>
      </c>
      <c r="B148" s="239">
        <v>46240</v>
      </c>
      <c r="C148" s="246">
        <v>0.16666666666666666</v>
      </c>
      <c r="D148" s="246">
        <v>0.20833333333333334</v>
      </c>
      <c r="E148" s="319">
        <v>45.192689053714275</v>
      </c>
      <c r="F148">
        <v>29.342187499976717</v>
      </c>
      <c r="G148">
        <v>0</v>
      </c>
      <c r="H148">
        <v>0</v>
      </c>
      <c r="I148">
        <v>0</v>
      </c>
    </row>
    <row r="149" spans="1:9" ht="15.75" customHeight="1" x14ac:dyDescent="0.25">
      <c r="A149" s="239" t="s">
        <v>487</v>
      </c>
      <c r="B149" s="239">
        <v>46240</v>
      </c>
      <c r="C149" s="246">
        <v>0.20833333333333334</v>
      </c>
      <c r="D149" s="246">
        <v>0.25</v>
      </c>
      <c r="E149" s="319">
        <v>47.969945354852825</v>
      </c>
      <c r="F149">
        <v>16.104851973708719</v>
      </c>
      <c r="G149">
        <v>0</v>
      </c>
      <c r="H149">
        <v>0</v>
      </c>
      <c r="I149">
        <v>0</v>
      </c>
    </row>
    <row r="150" spans="1:9" ht="15.75" customHeight="1" x14ac:dyDescent="0.25">
      <c r="A150" s="239" t="s">
        <v>488</v>
      </c>
      <c r="B150" s="239">
        <v>46241</v>
      </c>
      <c r="C150" s="246">
        <v>0.25</v>
      </c>
      <c r="D150" s="246">
        <v>0.29166666666666669</v>
      </c>
      <c r="E150" s="319">
        <v>76.6875</v>
      </c>
      <c r="F150">
        <v>12.266527599422261</v>
      </c>
      <c r="G150">
        <v>0</v>
      </c>
      <c r="H150">
        <v>0</v>
      </c>
      <c r="I150">
        <v>0</v>
      </c>
    </row>
    <row r="151" spans="1:9" ht="15.75" customHeight="1" x14ac:dyDescent="0.25">
      <c r="A151" s="239" t="s">
        <v>489</v>
      </c>
      <c r="B151" s="239">
        <v>46241</v>
      </c>
      <c r="C151" s="246">
        <v>0.29166666666666669</v>
      </c>
      <c r="D151" s="246">
        <v>0.33333333333333331</v>
      </c>
      <c r="E151" s="319">
        <v>86.645833333488554</v>
      </c>
      <c r="F151">
        <v>14.405182926915586</v>
      </c>
      <c r="G151">
        <v>0</v>
      </c>
      <c r="H151">
        <v>0</v>
      </c>
      <c r="I151">
        <v>0</v>
      </c>
    </row>
    <row r="152" spans="1:9" ht="15.75" customHeight="1" x14ac:dyDescent="0.25">
      <c r="A152" s="239" t="s">
        <v>490</v>
      </c>
      <c r="B152" s="239">
        <v>46241</v>
      </c>
      <c r="C152" s="246">
        <v>0.33333333333333331</v>
      </c>
      <c r="D152" s="246">
        <v>0.375</v>
      </c>
      <c r="E152" s="319">
        <v>97.333333333488554</v>
      </c>
      <c r="F152">
        <v>17.337499999906868</v>
      </c>
      <c r="G152">
        <v>0</v>
      </c>
      <c r="H152">
        <v>0</v>
      </c>
      <c r="I152">
        <v>0</v>
      </c>
    </row>
    <row r="153" spans="1:9" ht="15.75" customHeight="1" x14ac:dyDescent="0.25">
      <c r="A153" s="239" t="s">
        <v>491</v>
      </c>
      <c r="B153" s="239">
        <v>46241</v>
      </c>
      <c r="C153" s="246">
        <v>0.375</v>
      </c>
      <c r="D153" s="246">
        <v>0.41666666666666669</v>
      </c>
      <c r="E153" s="319">
        <v>107.33333333302289</v>
      </c>
      <c r="F153">
        <v>13.452439024462365</v>
      </c>
      <c r="G153">
        <v>0</v>
      </c>
      <c r="H153">
        <v>0</v>
      </c>
      <c r="I153">
        <v>0</v>
      </c>
    </row>
    <row r="154" spans="1:9" ht="15.75" customHeight="1" x14ac:dyDescent="0.25">
      <c r="A154" s="239" t="s">
        <v>492</v>
      </c>
      <c r="B154" s="239">
        <v>46241</v>
      </c>
      <c r="C154" s="246">
        <v>0.41666666666666669</v>
      </c>
      <c r="D154" s="246">
        <v>0.45833333333333331</v>
      </c>
      <c r="E154" s="319">
        <v>123.36666666669771</v>
      </c>
      <c r="F154">
        <v>8.1417682926403359</v>
      </c>
      <c r="G154">
        <v>0</v>
      </c>
      <c r="H154">
        <v>0</v>
      </c>
      <c r="I154">
        <v>0</v>
      </c>
    </row>
    <row r="155" spans="1:9" ht="15.75" customHeight="1" x14ac:dyDescent="0.25">
      <c r="A155" s="239" t="s">
        <v>493</v>
      </c>
      <c r="B155" s="239">
        <v>46241</v>
      </c>
      <c r="C155" s="246">
        <v>0.45833333333333331</v>
      </c>
      <c r="D155" s="246">
        <v>0.5</v>
      </c>
      <c r="E155" s="319">
        <v>122.28333333367482</v>
      </c>
      <c r="F155">
        <v>8.3636051829671487</v>
      </c>
      <c r="G155">
        <v>0</v>
      </c>
      <c r="H155">
        <v>0</v>
      </c>
      <c r="I155">
        <v>0</v>
      </c>
    </row>
    <row r="156" spans="1:9" ht="15.75" customHeight="1" x14ac:dyDescent="0.25">
      <c r="A156" s="239" t="s">
        <v>494</v>
      </c>
      <c r="B156" s="239">
        <v>46241</v>
      </c>
      <c r="C156" s="246">
        <v>0.5</v>
      </c>
      <c r="D156" s="246">
        <v>0.54166666666666663</v>
      </c>
      <c r="E156" s="319">
        <v>108.97083333320916</v>
      </c>
      <c r="F156">
        <v>12.290625000023283</v>
      </c>
      <c r="G156">
        <v>0</v>
      </c>
      <c r="H156">
        <v>0</v>
      </c>
      <c r="I156">
        <v>0</v>
      </c>
    </row>
    <row r="157" spans="1:9" ht="15.75" customHeight="1" x14ac:dyDescent="0.25">
      <c r="A157" s="239" t="s">
        <v>495</v>
      </c>
      <c r="B157" s="239">
        <v>46241</v>
      </c>
      <c r="C157" s="246">
        <v>0.54166666666666663</v>
      </c>
      <c r="D157" s="246">
        <v>0.58333333333333337</v>
      </c>
      <c r="E157" s="319">
        <v>104.7624999997206</v>
      </c>
      <c r="F157">
        <v>10.217187499976717</v>
      </c>
      <c r="G157">
        <v>0</v>
      </c>
      <c r="H157">
        <v>0</v>
      </c>
      <c r="I157">
        <v>0</v>
      </c>
    </row>
    <row r="158" spans="1:9" ht="15.75" customHeight="1" x14ac:dyDescent="0.25">
      <c r="A158" s="239" t="s">
        <v>496</v>
      </c>
      <c r="B158" s="239">
        <v>46241</v>
      </c>
      <c r="C158" s="246">
        <v>0.58333333333333337</v>
      </c>
      <c r="D158" s="246">
        <v>0.625</v>
      </c>
      <c r="E158" s="319">
        <v>102.375</v>
      </c>
      <c r="F158">
        <v>10.328125</v>
      </c>
      <c r="G158">
        <v>0</v>
      </c>
      <c r="H158">
        <v>0</v>
      </c>
      <c r="I158">
        <v>0</v>
      </c>
    </row>
    <row r="159" spans="1:9" ht="15.75" customHeight="1" x14ac:dyDescent="0.25">
      <c r="A159" s="239" t="s">
        <v>497</v>
      </c>
      <c r="B159" s="239">
        <v>46241</v>
      </c>
      <c r="C159" s="246">
        <v>0.625</v>
      </c>
      <c r="D159" s="246">
        <v>0.66666666666666663</v>
      </c>
      <c r="E159" s="319">
        <v>102.1750000002794</v>
      </c>
      <c r="F159">
        <v>13.337042682920583</v>
      </c>
      <c r="G159">
        <v>0</v>
      </c>
      <c r="H159">
        <v>0</v>
      </c>
      <c r="I159">
        <v>0</v>
      </c>
    </row>
    <row r="160" spans="1:9" ht="15.75" customHeight="1" x14ac:dyDescent="0.25">
      <c r="A160" s="239" t="s">
        <v>498</v>
      </c>
      <c r="B160" s="239">
        <v>46241</v>
      </c>
      <c r="C160" s="246">
        <v>0.66666666666666663</v>
      </c>
      <c r="D160" s="246">
        <v>0.70833333333333337</v>
      </c>
      <c r="E160" s="319">
        <v>103.35416666651145</v>
      </c>
      <c r="F160">
        <v>13.197332317009568</v>
      </c>
      <c r="G160">
        <v>0</v>
      </c>
      <c r="H160">
        <v>0</v>
      </c>
      <c r="I160">
        <v>0</v>
      </c>
    </row>
    <row r="161" spans="1:9" ht="15.75" customHeight="1" x14ac:dyDescent="0.25">
      <c r="A161" s="239" t="s">
        <v>499</v>
      </c>
      <c r="B161" s="239">
        <v>46241</v>
      </c>
      <c r="C161" s="246">
        <v>0.70833333333333337</v>
      </c>
      <c r="D161" s="246">
        <v>0.75</v>
      </c>
      <c r="E161" s="319">
        <v>93.837499999906868</v>
      </c>
      <c r="F161">
        <v>14.934375000069849</v>
      </c>
      <c r="G161">
        <v>0</v>
      </c>
      <c r="H161">
        <v>0</v>
      </c>
      <c r="I161">
        <v>0</v>
      </c>
    </row>
    <row r="162" spans="1:9" ht="15.75" customHeight="1" x14ac:dyDescent="0.25">
      <c r="A162" s="239" t="s">
        <v>500</v>
      </c>
      <c r="B162" s="239">
        <v>46241</v>
      </c>
      <c r="C162" s="246">
        <v>0.75</v>
      </c>
      <c r="D162" s="246">
        <v>0.79166666666666663</v>
      </c>
      <c r="E162" s="319">
        <v>84.895833333488554</v>
      </c>
      <c r="F162">
        <v>14.845426829298958</v>
      </c>
      <c r="G162">
        <v>0</v>
      </c>
      <c r="H162">
        <v>0</v>
      </c>
      <c r="I162">
        <v>0</v>
      </c>
    </row>
    <row r="163" spans="1:9" ht="15.75" customHeight="1" x14ac:dyDescent="0.25">
      <c r="A163" s="239" t="s">
        <v>501</v>
      </c>
      <c r="B163" s="239">
        <v>46241</v>
      </c>
      <c r="C163" s="246">
        <v>0.79166666666666663</v>
      </c>
      <c r="D163" s="246">
        <v>0.83333333333333337</v>
      </c>
      <c r="E163" s="319">
        <v>70.179166666697711</v>
      </c>
      <c r="F163">
        <v>15.934260670677759</v>
      </c>
      <c r="G163">
        <v>0</v>
      </c>
      <c r="H163">
        <v>0</v>
      </c>
      <c r="I163">
        <v>0</v>
      </c>
    </row>
    <row r="164" spans="1:9" ht="15.75" customHeight="1" x14ac:dyDescent="0.25">
      <c r="A164" s="239" t="s">
        <v>502</v>
      </c>
      <c r="B164" s="239">
        <v>46241</v>
      </c>
      <c r="C164" s="246">
        <v>0.83333333333333337</v>
      </c>
      <c r="D164" s="246">
        <v>0.875</v>
      </c>
      <c r="E164" s="319">
        <v>53.416666666511446</v>
      </c>
      <c r="F164">
        <v>20.1953125</v>
      </c>
      <c r="G164">
        <v>0</v>
      </c>
      <c r="H164">
        <v>0</v>
      </c>
      <c r="I164">
        <v>0</v>
      </c>
    </row>
    <row r="165" spans="1:9" ht="15.75" customHeight="1" x14ac:dyDescent="0.25">
      <c r="A165" s="239" t="s">
        <v>503</v>
      </c>
      <c r="B165" s="239">
        <v>46241</v>
      </c>
      <c r="C165" s="246">
        <v>0.875</v>
      </c>
      <c r="D165" s="246">
        <v>0.91666666666666663</v>
      </c>
      <c r="E165" s="319">
        <v>52.987853107508272</v>
      </c>
      <c r="F165">
        <v>28.579268292640336</v>
      </c>
      <c r="G165">
        <v>0</v>
      </c>
      <c r="H165">
        <v>0</v>
      </c>
      <c r="I165">
        <v>0</v>
      </c>
    </row>
    <row r="166" spans="1:9" ht="15.75" customHeight="1" x14ac:dyDescent="0.25">
      <c r="A166" s="239" t="s">
        <v>504</v>
      </c>
      <c r="B166" s="239">
        <v>46241</v>
      </c>
      <c r="C166" s="246">
        <v>0.91666666666666663</v>
      </c>
      <c r="D166" s="246">
        <v>0.95833333333333337</v>
      </c>
      <c r="E166" s="319">
        <v>49.933731592260301</v>
      </c>
      <c r="F166">
        <v>22.823170731775463</v>
      </c>
      <c r="G166">
        <v>0</v>
      </c>
      <c r="H166">
        <v>0</v>
      </c>
      <c r="I166">
        <v>0</v>
      </c>
    </row>
    <row r="167" spans="1:9" ht="15.75" customHeight="1" x14ac:dyDescent="0.25">
      <c r="A167" s="239" t="s">
        <v>505</v>
      </c>
      <c r="B167" s="239">
        <v>46241</v>
      </c>
      <c r="C167" s="246">
        <v>0.95833333333333337</v>
      </c>
      <c r="D167" s="246">
        <v>0</v>
      </c>
      <c r="E167" s="319">
        <v>42.061748633626848</v>
      </c>
      <c r="F167">
        <v>18.119882404105738</v>
      </c>
      <c r="G167">
        <v>0</v>
      </c>
      <c r="H167">
        <v>0</v>
      </c>
      <c r="I167">
        <v>0</v>
      </c>
    </row>
    <row r="168" spans="1:9" ht="15.75" customHeight="1" x14ac:dyDescent="0.25">
      <c r="A168" s="239" t="s">
        <v>506</v>
      </c>
      <c r="B168" s="239">
        <v>46241</v>
      </c>
      <c r="C168" s="246">
        <v>0</v>
      </c>
      <c r="D168" s="246">
        <v>4.1666666666666664E-2</v>
      </c>
      <c r="E168" s="319">
        <v>41.528415300417691</v>
      </c>
      <c r="F168">
        <v>16.486607142840512</v>
      </c>
      <c r="G168">
        <v>0</v>
      </c>
      <c r="H168">
        <v>0</v>
      </c>
      <c r="I168">
        <v>0</v>
      </c>
    </row>
    <row r="169" spans="1:9" ht="15.75" customHeight="1" x14ac:dyDescent="0.25">
      <c r="A169" s="239" t="s">
        <v>507</v>
      </c>
      <c r="B169" s="239">
        <v>46241</v>
      </c>
      <c r="C169" s="246">
        <v>4.1666666666666664E-2</v>
      </c>
      <c r="D169" s="246">
        <v>8.3333333333333329E-2</v>
      </c>
      <c r="E169" s="319">
        <v>42.07991803297773</v>
      </c>
      <c r="F169">
        <v>30.059821428614669</v>
      </c>
      <c r="G169">
        <v>0</v>
      </c>
      <c r="H169">
        <v>0</v>
      </c>
      <c r="I169">
        <v>0</v>
      </c>
    </row>
    <row r="170" spans="1:9" ht="15.75" customHeight="1" x14ac:dyDescent="0.25">
      <c r="A170" s="239" t="s">
        <v>508</v>
      </c>
      <c r="B170" s="239">
        <v>46241</v>
      </c>
      <c r="C170" s="246">
        <v>8.3333333333333329E-2</v>
      </c>
      <c r="D170" s="246">
        <v>0.125</v>
      </c>
      <c r="E170" s="319">
        <v>41.9375</v>
      </c>
      <c r="F170">
        <v>30.114062500069849</v>
      </c>
      <c r="G170">
        <v>0</v>
      </c>
      <c r="H170">
        <v>0</v>
      </c>
      <c r="I170">
        <v>0</v>
      </c>
    </row>
    <row r="171" spans="1:9" ht="15.75" customHeight="1" x14ac:dyDescent="0.25">
      <c r="A171" s="239" t="s">
        <v>509</v>
      </c>
      <c r="B171" s="239">
        <v>46241</v>
      </c>
      <c r="C171" s="246">
        <v>0.125</v>
      </c>
      <c r="D171" s="246">
        <v>0.16666666666666666</v>
      </c>
      <c r="E171" s="319">
        <v>40.851434426382184</v>
      </c>
      <c r="F171">
        <v>17.3046875</v>
      </c>
      <c r="G171">
        <v>0</v>
      </c>
      <c r="H171">
        <v>0</v>
      </c>
      <c r="I171">
        <v>0</v>
      </c>
    </row>
    <row r="172" spans="1:9" ht="15.75" customHeight="1" x14ac:dyDescent="0.25">
      <c r="A172" s="239" t="s">
        <v>510</v>
      </c>
      <c r="B172" s="239">
        <v>46241</v>
      </c>
      <c r="C172" s="246">
        <v>0.16666666666666666</v>
      </c>
      <c r="D172" s="246">
        <v>0.20833333333333334</v>
      </c>
      <c r="E172" s="319">
        <v>40.511065573431551</v>
      </c>
      <c r="F172">
        <v>14.754878048785031</v>
      </c>
      <c r="G172">
        <v>0</v>
      </c>
      <c r="H172">
        <v>0</v>
      </c>
      <c r="I172">
        <v>0</v>
      </c>
    </row>
    <row r="173" spans="1:9" ht="15.75" customHeight="1" x14ac:dyDescent="0.25">
      <c r="A173" s="239" t="s">
        <v>511</v>
      </c>
      <c r="B173" s="239">
        <v>46241</v>
      </c>
      <c r="C173" s="246">
        <v>0.20833333333333334</v>
      </c>
      <c r="D173" s="246">
        <v>0.25</v>
      </c>
      <c r="E173" s="319">
        <v>43.900000000372529</v>
      </c>
      <c r="F173">
        <v>19.22480945114512</v>
      </c>
      <c r="G173">
        <v>0</v>
      </c>
      <c r="H173">
        <v>0</v>
      </c>
      <c r="I173">
        <v>0</v>
      </c>
    </row>
    <row r="174" spans="1:9" ht="15.75" customHeight="1" x14ac:dyDescent="0.25">
      <c r="A174" s="239" t="s">
        <v>512</v>
      </c>
      <c r="B174" s="239">
        <v>46242</v>
      </c>
      <c r="C174" s="246">
        <v>0.25</v>
      </c>
      <c r="D174" s="246">
        <v>0.29166666666666669</v>
      </c>
      <c r="E174" s="319">
        <v>43.224999999627471</v>
      </c>
      <c r="F174">
        <v>15.276562500046566</v>
      </c>
      <c r="G174">
        <v>0</v>
      </c>
      <c r="H174">
        <v>0</v>
      </c>
      <c r="I174">
        <v>0</v>
      </c>
    </row>
    <row r="175" spans="1:9" ht="15.75" customHeight="1" x14ac:dyDescent="0.25">
      <c r="A175" s="239" t="s">
        <v>513</v>
      </c>
      <c r="B175" s="239">
        <v>46242</v>
      </c>
      <c r="C175" s="246">
        <v>0.29166666666666669</v>
      </c>
      <c r="D175" s="246">
        <v>0.33333333333333331</v>
      </c>
      <c r="E175" s="319">
        <v>62.884426229633391</v>
      </c>
      <c r="F175">
        <v>11.203125</v>
      </c>
      <c r="G175">
        <v>0</v>
      </c>
      <c r="H175">
        <v>0</v>
      </c>
      <c r="I175">
        <v>0</v>
      </c>
    </row>
    <row r="176" spans="1:9" ht="15.75" customHeight="1" x14ac:dyDescent="0.25">
      <c r="A176" s="239" t="s">
        <v>514</v>
      </c>
      <c r="B176" s="239">
        <v>46242</v>
      </c>
      <c r="C176" s="246">
        <v>0.33333333333333331</v>
      </c>
      <c r="D176" s="246">
        <v>0.375</v>
      </c>
      <c r="E176" s="319">
        <v>69.432240437250584</v>
      </c>
      <c r="F176">
        <v>13.453125</v>
      </c>
      <c r="G176">
        <v>0</v>
      </c>
      <c r="H176">
        <v>0</v>
      </c>
      <c r="I176">
        <v>0</v>
      </c>
    </row>
    <row r="177" spans="1:9" ht="15.75" customHeight="1" x14ac:dyDescent="0.25">
      <c r="A177" s="239" t="s">
        <v>515</v>
      </c>
      <c r="B177" s="239">
        <v>46242</v>
      </c>
      <c r="C177" s="246">
        <v>0.375</v>
      </c>
      <c r="D177" s="246">
        <v>0.41666666666666669</v>
      </c>
      <c r="E177" s="319">
        <v>65.403825136367232</v>
      </c>
      <c r="F177">
        <v>11.640625</v>
      </c>
      <c r="G177">
        <v>0</v>
      </c>
      <c r="H177">
        <v>0</v>
      </c>
      <c r="I177">
        <v>0</v>
      </c>
    </row>
    <row r="178" spans="1:9" ht="15.75" customHeight="1" x14ac:dyDescent="0.25">
      <c r="A178" s="239" t="s">
        <v>516</v>
      </c>
      <c r="B178" s="239">
        <v>46242</v>
      </c>
      <c r="C178" s="246">
        <v>0.41666666666666669</v>
      </c>
      <c r="D178" s="246">
        <v>0.45833333333333331</v>
      </c>
      <c r="E178" s="319">
        <v>63.083674863446504</v>
      </c>
      <c r="F178">
        <v>8.7060855262679979</v>
      </c>
      <c r="G178">
        <v>0</v>
      </c>
      <c r="H178">
        <v>0</v>
      </c>
      <c r="I178">
        <v>0</v>
      </c>
    </row>
    <row r="179" spans="1:9" ht="15.75" customHeight="1" x14ac:dyDescent="0.25">
      <c r="A179" s="239" t="s">
        <v>517</v>
      </c>
      <c r="B179" s="239">
        <v>46242</v>
      </c>
      <c r="C179" s="246">
        <v>0.45833333333333331</v>
      </c>
      <c r="D179" s="246">
        <v>0.5</v>
      </c>
      <c r="E179" s="319">
        <v>65.633538251277059</v>
      </c>
      <c r="F179">
        <v>9.3282894736621529</v>
      </c>
      <c r="G179">
        <v>0</v>
      </c>
      <c r="H179">
        <v>0</v>
      </c>
      <c r="I179">
        <v>0</v>
      </c>
    </row>
    <row r="180" spans="1:9" ht="15.75" customHeight="1" x14ac:dyDescent="0.25">
      <c r="A180" s="239" t="s">
        <v>518</v>
      </c>
      <c r="B180" s="239">
        <v>46242</v>
      </c>
      <c r="C180" s="246">
        <v>0.5</v>
      </c>
      <c r="D180" s="246">
        <v>0.54166666666666663</v>
      </c>
      <c r="E180" s="319">
        <v>61.143442623317242</v>
      </c>
      <c r="F180">
        <v>11.065625000046566</v>
      </c>
      <c r="G180">
        <v>0</v>
      </c>
      <c r="H180">
        <v>0</v>
      </c>
      <c r="I180">
        <v>0</v>
      </c>
    </row>
    <row r="181" spans="1:9" ht="15.75" customHeight="1" x14ac:dyDescent="0.25">
      <c r="A181" s="239" t="s">
        <v>519</v>
      </c>
      <c r="B181" s="239">
        <v>46242</v>
      </c>
      <c r="C181" s="246">
        <v>0.54166666666666663</v>
      </c>
      <c r="D181" s="246">
        <v>0.58333333333333337</v>
      </c>
      <c r="E181" s="319">
        <v>55.181352458894253</v>
      </c>
      <c r="F181">
        <v>11.215624999953434</v>
      </c>
      <c r="G181">
        <v>0</v>
      </c>
      <c r="H181">
        <v>0</v>
      </c>
      <c r="I181">
        <v>0</v>
      </c>
    </row>
    <row r="182" spans="1:9" ht="15.75" customHeight="1" x14ac:dyDescent="0.25">
      <c r="A182" s="239" t="s">
        <v>520</v>
      </c>
      <c r="B182" s="239">
        <v>46242</v>
      </c>
      <c r="C182" s="246">
        <v>0.58333333333333337</v>
      </c>
      <c r="D182" s="246">
        <v>0.625</v>
      </c>
      <c r="E182" s="319">
        <v>57.270833333488554</v>
      </c>
      <c r="F182">
        <v>7.3703125000465661</v>
      </c>
      <c r="G182">
        <v>0</v>
      </c>
      <c r="H182">
        <v>0</v>
      </c>
      <c r="I182">
        <v>1.76953125</v>
      </c>
    </row>
    <row r="183" spans="1:9" ht="15.75" customHeight="1" x14ac:dyDescent="0.25">
      <c r="A183" s="239" t="s">
        <v>521</v>
      </c>
      <c r="B183" s="239">
        <v>46242</v>
      </c>
      <c r="C183" s="246">
        <v>0.625</v>
      </c>
      <c r="D183" s="246">
        <v>0.66666666666666663</v>
      </c>
      <c r="E183" s="319">
        <v>52.581920903641731</v>
      </c>
      <c r="F183">
        <v>6.4609375</v>
      </c>
      <c r="G183">
        <v>0</v>
      </c>
      <c r="H183">
        <v>0</v>
      </c>
      <c r="I183">
        <v>0</v>
      </c>
    </row>
    <row r="184" spans="1:9" ht="15.75" customHeight="1" x14ac:dyDescent="0.25">
      <c r="A184" s="239" t="s">
        <v>522</v>
      </c>
      <c r="B184" s="239">
        <v>46242</v>
      </c>
      <c r="C184" s="246">
        <v>0.66666666666666663</v>
      </c>
      <c r="D184" s="246">
        <v>0.70833333333333337</v>
      </c>
      <c r="E184" s="319">
        <v>46.209745762869716</v>
      </c>
      <c r="F184">
        <v>13.493902439018711</v>
      </c>
      <c r="G184">
        <v>0</v>
      </c>
      <c r="H184">
        <v>0</v>
      </c>
      <c r="I184">
        <v>0</v>
      </c>
    </row>
    <row r="185" spans="1:9" ht="15.75" customHeight="1" x14ac:dyDescent="0.25">
      <c r="A185" s="239" t="s">
        <v>523</v>
      </c>
      <c r="B185" s="239">
        <v>46242</v>
      </c>
      <c r="C185" s="246">
        <v>0.70833333333333337</v>
      </c>
      <c r="D185" s="246">
        <v>0.75</v>
      </c>
      <c r="E185" s="319">
        <v>15.501864058896899</v>
      </c>
      <c r="F185">
        <v>11.435785060981289</v>
      </c>
      <c r="G185">
        <v>30.98046875</v>
      </c>
      <c r="H185">
        <v>0</v>
      </c>
      <c r="I185">
        <v>0</v>
      </c>
    </row>
    <row r="186" spans="1:9" ht="15.75" customHeight="1" x14ac:dyDescent="0.25">
      <c r="A186" s="239" t="s">
        <v>524</v>
      </c>
      <c r="B186" s="239">
        <v>46242</v>
      </c>
      <c r="C186" s="246">
        <v>0.75</v>
      </c>
      <c r="D186" s="246">
        <v>0.79166666666666663</v>
      </c>
      <c r="E186" s="319">
        <v>0.12313594110310078</v>
      </c>
      <c r="F186">
        <v>14.125190548715182</v>
      </c>
      <c r="G186">
        <v>46.27734375</v>
      </c>
      <c r="H186">
        <v>0</v>
      </c>
      <c r="I186">
        <v>0</v>
      </c>
    </row>
    <row r="187" spans="1:9" ht="15.75" customHeight="1" x14ac:dyDescent="0.25">
      <c r="A187" s="239" t="s">
        <v>525</v>
      </c>
      <c r="B187" s="239">
        <v>46242</v>
      </c>
      <c r="C187" s="246">
        <v>0.79166666666666663</v>
      </c>
      <c r="D187" s="246">
        <v>0.83333333333333337</v>
      </c>
      <c r="E187" s="319">
        <v>37.950819672085345</v>
      </c>
      <c r="F187">
        <v>23.926371951238252</v>
      </c>
      <c r="G187">
        <v>4.5703125</v>
      </c>
      <c r="H187">
        <v>0</v>
      </c>
      <c r="I187">
        <v>0</v>
      </c>
    </row>
    <row r="188" spans="1:9" ht="15.75" customHeight="1" x14ac:dyDescent="0.25">
      <c r="A188" s="239" t="s">
        <v>526</v>
      </c>
      <c r="B188" s="239">
        <v>46242</v>
      </c>
      <c r="C188" s="246">
        <v>0.83333333333333337</v>
      </c>
      <c r="D188" s="246">
        <v>0.875</v>
      </c>
      <c r="E188" s="319">
        <v>43.174180327914655</v>
      </c>
      <c r="F188">
        <v>27.418750000069849</v>
      </c>
      <c r="G188">
        <v>0</v>
      </c>
      <c r="H188">
        <v>0</v>
      </c>
      <c r="I188">
        <v>0</v>
      </c>
    </row>
    <row r="189" spans="1:9" ht="15.75" customHeight="1" x14ac:dyDescent="0.25">
      <c r="A189" s="239" t="s">
        <v>527</v>
      </c>
      <c r="B189" s="239">
        <v>46242</v>
      </c>
      <c r="C189" s="246">
        <v>0.875</v>
      </c>
      <c r="D189" s="246">
        <v>0.91666666666666663</v>
      </c>
      <c r="E189" s="319">
        <v>42.6875</v>
      </c>
      <c r="F189">
        <v>23.662499999976717</v>
      </c>
      <c r="G189">
        <v>0</v>
      </c>
      <c r="H189">
        <v>0</v>
      </c>
      <c r="I189">
        <v>0</v>
      </c>
    </row>
    <row r="190" spans="1:9" ht="15.75" customHeight="1" x14ac:dyDescent="0.25">
      <c r="A190" s="239" t="s">
        <v>528</v>
      </c>
      <c r="B190" s="239">
        <v>46242</v>
      </c>
      <c r="C190" s="246">
        <v>0.91666666666666663</v>
      </c>
      <c r="D190" s="246">
        <v>0.95833333333333337</v>
      </c>
      <c r="E190" s="319">
        <v>41.179303278680891</v>
      </c>
      <c r="F190">
        <v>19.473214285681024</v>
      </c>
      <c r="G190">
        <v>0</v>
      </c>
      <c r="H190">
        <v>0</v>
      </c>
      <c r="I190">
        <v>0</v>
      </c>
    </row>
    <row r="191" spans="1:9" ht="15.75" customHeight="1" x14ac:dyDescent="0.25">
      <c r="A191" s="239" t="s">
        <v>529</v>
      </c>
      <c r="B191" s="239">
        <v>46242</v>
      </c>
      <c r="C191" s="246">
        <v>0.95833333333333337</v>
      </c>
      <c r="D191" s="246">
        <v>0</v>
      </c>
      <c r="E191" s="319">
        <v>43.683196721132845</v>
      </c>
      <c r="F191">
        <v>14.935439560445957</v>
      </c>
      <c r="G191">
        <v>0</v>
      </c>
      <c r="H191">
        <v>0</v>
      </c>
      <c r="I191">
        <v>0</v>
      </c>
    </row>
    <row r="192" spans="1:9" ht="15.75" customHeight="1" x14ac:dyDescent="0.25">
      <c r="A192" s="239" t="s">
        <v>530</v>
      </c>
      <c r="B192" s="239">
        <v>46242</v>
      </c>
      <c r="C192" s="246">
        <v>0</v>
      </c>
      <c r="D192" s="246">
        <v>4.1666666666666664E-2</v>
      </c>
      <c r="E192" s="319">
        <v>40.816666666883975</v>
      </c>
      <c r="F192">
        <v>14.624158653896302</v>
      </c>
      <c r="G192">
        <v>0</v>
      </c>
      <c r="H192">
        <v>0</v>
      </c>
      <c r="I192">
        <v>0</v>
      </c>
    </row>
    <row r="193" spans="1:9" ht="15.75" customHeight="1" x14ac:dyDescent="0.25">
      <c r="A193" s="239" t="s">
        <v>531</v>
      </c>
      <c r="B193" s="239">
        <v>46242</v>
      </c>
      <c r="C193" s="246">
        <v>4.1666666666666664E-2</v>
      </c>
      <c r="D193" s="246">
        <v>8.3333333333333329E-2</v>
      </c>
      <c r="E193" s="319">
        <v>39.558333333116025</v>
      </c>
      <c r="F193">
        <v>14.885937499930151</v>
      </c>
      <c r="G193">
        <v>0</v>
      </c>
      <c r="H193">
        <v>0</v>
      </c>
      <c r="I193">
        <v>0</v>
      </c>
    </row>
    <row r="194" spans="1:9" ht="15.75" customHeight="1" x14ac:dyDescent="0.25">
      <c r="A194" s="239" t="s">
        <v>532</v>
      </c>
      <c r="B194" s="239">
        <v>46242</v>
      </c>
      <c r="C194" s="246">
        <v>8.3333333333333329E-2</v>
      </c>
      <c r="D194" s="246">
        <v>0.125</v>
      </c>
      <c r="E194" s="319">
        <v>38.1875</v>
      </c>
      <c r="F194">
        <v>17.047713414649479</v>
      </c>
      <c r="G194">
        <v>0</v>
      </c>
      <c r="H194">
        <v>0</v>
      </c>
      <c r="I194">
        <v>0</v>
      </c>
    </row>
    <row r="195" spans="1:9" ht="15.75" customHeight="1" x14ac:dyDescent="0.25">
      <c r="A195" s="239" t="s">
        <v>533</v>
      </c>
      <c r="B195" s="239">
        <v>46242</v>
      </c>
      <c r="C195" s="246">
        <v>0.125</v>
      </c>
      <c r="D195" s="246">
        <v>0.16666666666666666</v>
      </c>
      <c r="E195" s="319">
        <v>39.927754237316549</v>
      </c>
      <c r="F195">
        <v>30.954268292756751</v>
      </c>
      <c r="G195">
        <v>0</v>
      </c>
      <c r="H195">
        <v>0</v>
      </c>
      <c r="I195">
        <v>0</v>
      </c>
    </row>
    <row r="196" spans="1:9" ht="15.75" customHeight="1" x14ac:dyDescent="0.25">
      <c r="A196" s="239" t="s">
        <v>534</v>
      </c>
      <c r="B196" s="239">
        <v>46242</v>
      </c>
      <c r="C196" s="246">
        <v>0.16666666666666666</v>
      </c>
      <c r="D196" s="246">
        <v>0.20833333333333334</v>
      </c>
      <c r="E196" s="319">
        <v>39.40974576305598</v>
      </c>
      <c r="F196">
        <v>36.815548780490644</v>
      </c>
      <c r="G196">
        <v>0</v>
      </c>
      <c r="H196">
        <v>0</v>
      </c>
      <c r="I196">
        <v>0</v>
      </c>
    </row>
    <row r="197" spans="1:9" ht="15.75" customHeight="1" x14ac:dyDescent="0.25">
      <c r="A197" s="239" t="s">
        <v>535</v>
      </c>
      <c r="B197" s="239">
        <v>46242</v>
      </c>
      <c r="C197" s="246">
        <v>0.20833333333333334</v>
      </c>
      <c r="D197" s="246">
        <v>0.25</v>
      </c>
      <c r="E197" s="319">
        <v>39.224999999627471</v>
      </c>
      <c r="F197">
        <v>14.451219512149692</v>
      </c>
      <c r="G197">
        <v>0</v>
      </c>
      <c r="H197">
        <v>0</v>
      </c>
      <c r="I197">
        <v>0</v>
      </c>
    </row>
    <row r="198" spans="1:9" ht="15.75" customHeight="1" x14ac:dyDescent="0.25">
      <c r="A198" s="239" t="s">
        <v>536</v>
      </c>
      <c r="B198" s="239">
        <v>46243</v>
      </c>
      <c r="C198" s="246">
        <v>0.25</v>
      </c>
      <c r="D198" s="246">
        <v>0.29166666666666669</v>
      </c>
      <c r="E198" s="319">
        <v>38.9375</v>
      </c>
      <c r="F198">
        <v>2.3140625000232831</v>
      </c>
      <c r="G198">
        <v>0</v>
      </c>
      <c r="H198">
        <v>0</v>
      </c>
      <c r="I198">
        <v>0</v>
      </c>
    </row>
    <row r="199" spans="1:9" ht="15.75" customHeight="1" x14ac:dyDescent="0.25">
      <c r="A199" s="239" t="s">
        <v>537</v>
      </c>
      <c r="B199" s="239">
        <v>46243</v>
      </c>
      <c r="C199" s="246">
        <v>0.29166666666666669</v>
      </c>
      <c r="D199" s="246">
        <v>0.33333333333333331</v>
      </c>
      <c r="E199" s="319">
        <v>40.926434426568449</v>
      </c>
      <c r="F199">
        <v>2.1859374999767169</v>
      </c>
      <c r="G199">
        <v>0</v>
      </c>
      <c r="H199">
        <v>0</v>
      </c>
      <c r="I199">
        <v>0</v>
      </c>
    </row>
    <row r="200" spans="1:9" ht="15.75" customHeight="1" x14ac:dyDescent="0.25">
      <c r="A200" s="239" t="s">
        <v>538</v>
      </c>
      <c r="B200" s="239">
        <v>46243</v>
      </c>
      <c r="C200" s="246">
        <v>0.33333333333333331</v>
      </c>
      <c r="D200" s="246">
        <v>0.375</v>
      </c>
      <c r="E200" s="319">
        <v>39.244398906826973</v>
      </c>
      <c r="F200">
        <v>2.3937500000465661</v>
      </c>
      <c r="G200">
        <v>0</v>
      </c>
      <c r="H200">
        <v>0</v>
      </c>
      <c r="I200">
        <v>0</v>
      </c>
    </row>
    <row r="201" spans="1:9" ht="15.75" customHeight="1" x14ac:dyDescent="0.25">
      <c r="A201" s="239" t="s">
        <v>539</v>
      </c>
      <c r="B201" s="239">
        <v>46243</v>
      </c>
      <c r="C201" s="246">
        <v>0.375</v>
      </c>
      <c r="D201" s="246">
        <v>0.41666666666666669</v>
      </c>
      <c r="E201" s="319">
        <v>35.208333333488554</v>
      </c>
      <c r="F201">
        <v>2.7937499999534339</v>
      </c>
      <c r="G201">
        <v>0</v>
      </c>
      <c r="H201">
        <v>0</v>
      </c>
      <c r="I201">
        <v>0</v>
      </c>
    </row>
    <row r="202" spans="1:9" ht="15.75" customHeight="1" x14ac:dyDescent="0.25">
      <c r="A202" s="239" t="s">
        <v>540</v>
      </c>
      <c r="B202" s="239">
        <v>46243</v>
      </c>
      <c r="C202" s="246">
        <v>0.41666666666666669</v>
      </c>
      <c r="D202" s="246">
        <v>0.45833333333333331</v>
      </c>
      <c r="E202" s="319">
        <v>36.208333333022892</v>
      </c>
      <c r="F202">
        <v>2.3125</v>
      </c>
      <c r="G202">
        <v>0</v>
      </c>
      <c r="H202">
        <v>0</v>
      </c>
      <c r="I202">
        <v>0</v>
      </c>
    </row>
    <row r="203" spans="1:9" ht="15.75" customHeight="1" x14ac:dyDescent="0.25">
      <c r="A203" s="239" t="s">
        <v>541</v>
      </c>
      <c r="B203" s="239">
        <v>46243</v>
      </c>
      <c r="C203" s="246">
        <v>0.45833333333333331</v>
      </c>
      <c r="D203" s="246">
        <v>0.5</v>
      </c>
      <c r="E203" s="319">
        <v>35.45086206914857</v>
      </c>
      <c r="F203">
        <v>2.4527439024532214</v>
      </c>
      <c r="G203">
        <v>0</v>
      </c>
      <c r="H203">
        <v>0</v>
      </c>
      <c r="I203">
        <v>0</v>
      </c>
    </row>
    <row r="204" spans="1:9" ht="15.75" customHeight="1" x14ac:dyDescent="0.25">
      <c r="A204" s="239" t="s">
        <v>542</v>
      </c>
      <c r="B204" s="239">
        <v>46243</v>
      </c>
      <c r="C204" s="246">
        <v>0.5</v>
      </c>
      <c r="D204" s="246">
        <v>0.54166666666666663</v>
      </c>
      <c r="E204" s="319">
        <v>34.715804597828537</v>
      </c>
      <c r="F204">
        <v>2.1722560975467786</v>
      </c>
      <c r="G204">
        <v>0</v>
      </c>
      <c r="H204">
        <v>0</v>
      </c>
      <c r="I204">
        <v>0</v>
      </c>
    </row>
    <row r="205" spans="1:9" ht="15.75" customHeight="1" x14ac:dyDescent="0.25">
      <c r="A205" s="239" t="s">
        <v>543</v>
      </c>
      <c r="B205" s="239">
        <v>46243</v>
      </c>
      <c r="C205" s="246">
        <v>0.54166666666666663</v>
      </c>
      <c r="D205" s="246">
        <v>0.58333333333333337</v>
      </c>
      <c r="E205" s="319">
        <v>38.958333333488554</v>
      </c>
      <c r="F205">
        <v>3.2203947368543595</v>
      </c>
      <c r="G205">
        <v>0</v>
      </c>
      <c r="H205">
        <v>0</v>
      </c>
      <c r="I205">
        <v>0</v>
      </c>
    </row>
    <row r="206" spans="1:9" ht="15.75" customHeight="1" x14ac:dyDescent="0.25">
      <c r="A206" s="239" t="s">
        <v>544</v>
      </c>
      <c r="B206" s="239">
        <v>46243</v>
      </c>
      <c r="C206" s="246">
        <v>0.58333333333333337</v>
      </c>
      <c r="D206" s="246">
        <v>0.625</v>
      </c>
      <c r="E206" s="319">
        <v>35.458333333022892</v>
      </c>
      <c r="F206">
        <v>3.1046052630990744</v>
      </c>
      <c r="G206">
        <v>0</v>
      </c>
      <c r="H206">
        <v>0</v>
      </c>
      <c r="I206">
        <v>0</v>
      </c>
    </row>
    <row r="207" spans="1:9" ht="15.75" customHeight="1" x14ac:dyDescent="0.25">
      <c r="A207" s="239" t="s">
        <v>545</v>
      </c>
      <c r="B207" s="239">
        <v>46243</v>
      </c>
      <c r="C207" s="246">
        <v>0.625</v>
      </c>
      <c r="D207" s="246">
        <v>0.66666666666666663</v>
      </c>
      <c r="E207" s="319">
        <v>33.960310734808445</v>
      </c>
      <c r="F207">
        <v>3.5421875000465661</v>
      </c>
      <c r="G207">
        <v>2.8984375</v>
      </c>
      <c r="H207">
        <v>0</v>
      </c>
      <c r="I207">
        <v>0</v>
      </c>
    </row>
    <row r="208" spans="1:9" ht="15.75" customHeight="1" x14ac:dyDescent="0.25">
      <c r="A208" s="239" t="s">
        <v>546</v>
      </c>
      <c r="B208" s="239">
        <v>46243</v>
      </c>
      <c r="C208" s="246">
        <v>0.66666666666666663</v>
      </c>
      <c r="D208" s="246">
        <v>0.70833333333333337</v>
      </c>
      <c r="E208" s="319">
        <v>45.006355931982398</v>
      </c>
      <c r="F208">
        <v>3.8203125</v>
      </c>
      <c r="G208">
        <v>0</v>
      </c>
      <c r="H208">
        <v>0</v>
      </c>
      <c r="I208">
        <v>0</v>
      </c>
    </row>
    <row r="209" spans="1:9" ht="15.75" customHeight="1" x14ac:dyDescent="0.25">
      <c r="A209" s="239" t="s">
        <v>547</v>
      </c>
      <c r="B209" s="239">
        <v>46243</v>
      </c>
      <c r="C209" s="246">
        <v>0.70833333333333337</v>
      </c>
      <c r="D209" s="246">
        <v>0.75</v>
      </c>
      <c r="E209" s="319">
        <v>45.4375</v>
      </c>
      <c r="F209">
        <v>4.2621951219625771</v>
      </c>
      <c r="G209">
        <v>0</v>
      </c>
      <c r="H209">
        <v>0</v>
      </c>
      <c r="I209">
        <v>0</v>
      </c>
    </row>
    <row r="210" spans="1:9" ht="15.75" customHeight="1" x14ac:dyDescent="0.25">
      <c r="A210" s="239" t="s">
        <v>548</v>
      </c>
      <c r="B210" s="239">
        <v>46243</v>
      </c>
      <c r="C210" s="246">
        <v>0.75</v>
      </c>
      <c r="D210" s="246">
        <v>0.79166666666666663</v>
      </c>
      <c r="E210" s="319">
        <v>44.4375</v>
      </c>
      <c r="F210">
        <v>4.9161585365654901</v>
      </c>
      <c r="G210">
        <v>0</v>
      </c>
      <c r="H210">
        <v>0</v>
      </c>
      <c r="I210">
        <v>0</v>
      </c>
    </row>
    <row r="211" spans="1:9" ht="15.75" customHeight="1" x14ac:dyDescent="0.25">
      <c r="A211" s="239" t="s">
        <v>549</v>
      </c>
      <c r="B211" s="239">
        <v>46243</v>
      </c>
      <c r="C211" s="246">
        <v>0.79166666666666663</v>
      </c>
      <c r="D211" s="246">
        <v>0.83333333333333337</v>
      </c>
      <c r="E211" s="319">
        <v>49.936440677847713</v>
      </c>
      <c r="F211">
        <v>4.9794588414952159</v>
      </c>
      <c r="G211">
        <v>0</v>
      </c>
      <c r="H211">
        <v>0</v>
      </c>
      <c r="I211">
        <v>0</v>
      </c>
    </row>
    <row r="212" spans="1:9" ht="15.75" customHeight="1" x14ac:dyDescent="0.25">
      <c r="A212" s="239" t="s">
        <v>550</v>
      </c>
      <c r="B212" s="239">
        <v>46243</v>
      </c>
      <c r="C212" s="246">
        <v>0.83333333333333337</v>
      </c>
      <c r="D212" s="246">
        <v>0.875</v>
      </c>
      <c r="E212" s="319">
        <v>49.413559322245419</v>
      </c>
      <c r="F212">
        <v>4.9156250000232831</v>
      </c>
      <c r="G212">
        <v>0</v>
      </c>
      <c r="H212">
        <v>0</v>
      </c>
      <c r="I212">
        <v>0</v>
      </c>
    </row>
    <row r="213" spans="1:9" ht="15.75" customHeight="1" x14ac:dyDescent="0.25">
      <c r="A213" s="239" t="s">
        <v>551</v>
      </c>
      <c r="B213" s="239">
        <v>46243</v>
      </c>
      <c r="C213" s="246">
        <v>0.875</v>
      </c>
      <c r="D213" s="246">
        <v>0.91666666666666663</v>
      </c>
      <c r="E213" s="319">
        <v>45.225000000093132</v>
      </c>
      <c r="F213">
        <v>4.9781249999068677</v>
      </c>
      <c r="G213">
        <v>0</v>
      </c>
      <c r="H213">
        <v>0</v>
      </c>
      <c r="I213">
        <v>0</v>
      </c>
    </row>
    <row r="214" spans="1:9" ht="15.75" customHeight="1" x14ac:dyDescent="0.25">
      <c r="A214" s="239" t="s">
        <v>552</v>
      </c>
      <c r="B214" s="239">
        <v>46243</v>
      </c>
      <c r="C214" s="246">
        <v>0.91666666666666663</v>
      </c>
      <c r="D214" s="246">
        <v>0.95833333333333337</v>
      </c>
      <c r="E214" s="319">
        <v>42.016666666604578</v>
      </c>
      <c r="F214">
        <v>4.6656250000232831</v>
      </c>
      <c r="G214">
        <v>0</v>
      </c>
      <c r="H214">
        <v>0</v>
      </c>
      <c r="I214">
        <v>0</v>
      </c>
    </row>
    <row r="215" spans="1:9" ht="15.75" customHeight="1" x14ac:dyDescent="0.25">
      <c r="A215" s="239" t="s">
        <v>553</v>
      </c>
      <c r="B215" s="239">
        <v>46243</v>
      </c>
      <c r="C215" s="246">
        <v>0.95833333333333337</v>
      </c>
      <c r="D215" s="246">
        <v>0</v>
      </c>
      <c r="E215" s="319">
        <v>39.710057470947504</v>
      </c>
      <c r="F215">
        <v>4.6031250000232831</v>
      </c>
      <c r="G215">
        <v>0</v>
      </c>
      <c r="H215">
        <v>0</v>
      </c>
      <c r="I215">
        <v>0</v>
      </c>
    </row>
    <row r="216" spans="1:9" ht="15.75" customHeight="1" x14ac:dyDescent="0.25">
      <c r="A216" s="239" t="s">
        <v>554</v>
      </c>
      <c r="B216" s="239">
        <v>46243</v>
      </c>
      <c r="C216" s="246">
        <v>0</v>
      </c>
      <c r="D216" s="246">
        <v>4.1666666666666664E-2</v>
      </c>
      <c r="E216" s="319">
        <v>40.460570944007486</v>
      </c>
      <c r="F216">
        <v>4.6796875</v>
      </c>
      <c r="G216">
        <v>0</v>
      </c>
      <c r="H216">
        <v>0</v>
      </c>
      <c r="I216">
        <v>0</v>
      </c>
    </row>
    <row r="217" spans="1:9" ht="15.75" customHeight="1" x14ac:dyDescent="0.25">
      <c r="A217" s="239" t="s">
        <v>555</v>
      </c>
      <c r="B217" s="239">
        <v>46243</v>
      </c>
      <c r="C217" s="246">
        <v>4.1666666666666664E-2</v>
      </c>
      <c r="D217" s="246">
        <v>8.3333333333333329E-2</v>
      </c>
      <c r="E217" s="319">
        <v>39.062704918440431</v>
      </c>
      <c r="F217">
        <v>4.6500000000232831</v>
      </c>
      <c r="G217">
        <v>0</v>
      </c>
      <c r="H217">
        <v>0</v>
      </c>
      <c r="I217">
        <v>0</v>
      </c>
    </row>
    <row r="218" spans="1:9" ht="15.75" customHeight="1" x14ac:dyDescent="0.25">
      <c r="A218" s="239" t="s">
        <v>556</v>
      </c>
      <c r="B218" s="239">
        <v>46243</v>
      </c>
      <c r="C218" s="246">
        <v>8.3333333333333329E-2</v>
      </c>
      <c r="D218" s="246">
        <v>0.125</v>
      </c>
      <c r="E218" s="319">
        <v>39.1875</v>
      </c>
      <c r="F218">
        <v>4.2874999999767169</v>
      </c>
      <c r="G218">
        <v>0</v>
      </c>
      <c r="H218">
        <v>0</v>
      </c>
      <c r="I218">
        <v>0</v>
      </c>
    </row>
    <row r="219" spans="1:9" ht="15.75" customHeight="1" x14ac:dyDescent="0.25">
      <c r="A219" s="239" t="s">
        <v>557</v>
      </c>
      <c r="B219" s="239">
        <v>46243</v>
      </c>
      <c r="C219" s="246">
        <v>0.125</v>
      </c>
      <c r="D219" s="246">
        <v>0.16666666666666666</v>
      </c>
      <c r="E219" s="319">
        <v>37.614618643652648</v>
      </c>
      <c r="F219">
        <v>4.2916666666278616</v>
      </c>
      <c r="G219">
        <v>0</v>
      </c>
      <c r="H219">
        <v>0</v>
      </c>
      <c r="I219">
        <v>0</v>
      </c>
    </row>
    <row r="220" spans="1:9" ht="15.75" customHeight="1" x14ac:dyDescent="0.25">
      <c r="A220" s="239" t="s">
        <v>558</v>
      </c>
      <c r="B220" s="239">
        <v>46243</v>
      </c>
      <c r="C220" s="246">
        <v>0.16666666666666666</v>
      </c>
      <c r="D220" s="246">
        <v>0.20833333333333334</v>
      </c>
      <c r="E220" s="319">
        <v>39.747881356161088</v>
      </c>
      <c r="F220">
        <v>4.2286458333255723</v>
      </c>
      <c r="G220">
        <v>0</v>
      </c>
      <c r="H220">
        <v>0</v>
      </c>
      <c r="I220">
        <v>0</v>
      </c>
    </row>
    <row r="221" spans="1:9" ht="15.75" customHeight="1" x14ac:dyDescent="0.25">
      <c r="A221" s="239" t="s">
        <v>559</v>
      </c>
      <c r="B221" s="239">
        <v>46243</v>
      </c>
      <c r="C221" s="246">
        <v>0.20833333333333334</v>
      </c>
      <c r="D221" s="246">
        <v>0.25</v>
      </c>
      <c r="E221" s="319">
        <v>38.686475409660488</v>
      </c>
      <c r="F221">
        <v>5.7906250000232831</v>
      </c>
      <c r="G221">
        <v>0</v>
      </c>
      <c r="H221">
        <v>0</v>
      </c>
      <c r="I221">
        <v>0</v>
      </c>
    </row>
    <row r="222" spans="1:9" ht="15.75" customHeight="1" x14ac:dyDescent="0.25">
      <c r="A222" s="239" t="s">
        <v>560</v>
      </c>
      <c r="B222" s="239">
        <v>46244</v>
      </c>
      <c r="C222" s="246">
        <v>0.25</v>
      </c>
      <c r="D222" s="246">
        <v>0.29166666666666669</v>
      </c>
      <c r="E222" s="319">
        <v>63.167691256850958</v>
      </c>
      <c r="F222">
        <v>13.3515625</v>
      </c>
      <c r="G222">
        <v>0</v>
      </c>
      <c r="H222">
        <v>0</v>
      </c>
      <c r="I222">
        <v>0</v>
      </c>
    </row>
    <row r="223" spans="1:9" ht="15.75" customHeight="1" x14ac:dyDescent="0.25">
      <c r="A223" s="239" t="s">
        <v>561</v>
      </c>
      <c r="B223" s="239">
        <v>46244</v>
      </c>
      <c r="C223" s="246">
        <v>0.29166666666666669</v>
      </c>
      <c r="D223" s="246">
        <v>0.33333333333333331</v>
      </c>
      <c r="E223" s="319">
        <v>81.842867231927812</v>
      </c>
      <c r="F223">
        <v>8.9922619048738852</v>
      </c>
      <c r="G223">
        <v>0</v>
      </c>
      <c r="H223">
        <v>0</v>
      </c>
      <c r="I223">
        <v>0</v>
      </c>
    </row>
    <row r="224" spans="1:9" ht="15.75" customHeight="1" x14ac:dyDescent="0.25">
      <c r="A224" s="239" t="s">
        <v>562</v>
      </c>
      <c r="B224" s="239">
        <v>46244</v>
      </c>
      <c r="C224" s="246">
        <v>0.33333333333333331</v>
      </c>
      <c r="D224" s="246">
        <v>0.375</v>
      </c>
      <c r="E224" s="319">
        <v>85.777966101653874</v>
      </c>
      <c r="F224">
        <v>11.329994192696176</v>
      </c>
      <c r="G224">
        <v>0</v>
      </c>
      <c r="H224">
        <v>0</v>
      </c>
      <c r="I224">
        <v>0</v>
      </c>
    </row>
    <row r="225" spans="1:9" ht="15.75" customHeight="1" x14ac:dyDescent="0.25">
      <c r="A225" s="239" t="s">
        <v>563</v>
      </c>
      <c r="B225" s="239">
        <v>46244</v>
      </c>
      <c r="C225" s="246">
        <v>0.375</v>
      </c>
      <c r="D225" s="246">
        <v>0.41666666666666669</v>
      </c>
      <c r="E225" s="319">
        <v>112.29999999981374</v>
      </c>
      <c r="F225">
        <v>10.423056402476504</v>
      </c>
      <c r="G225">
        <v>0</v>
      </c>
      <c r="H225">
        <v>0</v>
      </c>
      <c r="I225">
        <v>0</v>
      </c>
    </row>
    <row r="226" spans="1:9" ht="15.75" customHeight="1" x14ac:dyDescent="0.25">
      <c r="A226" s="239" t="s">
        <v>564</v>
      </c>
      <c r="B226" s="239">
        <v>46244</v>
      </c>
      <c r="C226" s="246">
        <v>0.41666666666666669</v>
      </c>
      <c r="D226" s="246">
        <v>0.45833333333333331</v>
      </c>
      <c r="E226" s="319">
        <v>131.08333333348855</v>
      </c>
      <c r="F226">
        <v>8.7296874999301508</v>
      </c>
      <c r="G226">
        <v>0</v>
      </c>
      <c r="H226">
        <v>0</v>
      </c>
      <c r="I226">
        <v>0</v>
      </c>
    </row>
    <row r="227" spans="1:9" ht="15.75" customHeight="1" x14ac:dyDescent="0.25">
      <c r="A227" s="239" t="s">
        <v>565</v>
      </c>
      <c r="B227" s="239">
        <v>46244</v>
      </c>
      <c r="C227" s="246">
        <v>0.45833333333333331</v>
      </c>
      <c r="D227" s="246">
        <v>0.5</v>
      </c>
      <c r="E227" s="319">
        <v>120.18615819187835</v>
      </c>
      <c r="F227">
        <v>10.40625</v>
      </c>
      <c r="G227">
        <v>0</v>
      </c>
      <c r="H227">
        <v>0</v>
      </c>
      <c r="I227">
        <v>0</v>
      </c>
    </row>
    <row r="228" spans="1:9" ht="15.75" customHeight="1" x14ac:dyDescent="0.25">
      <c r="A228" s="239" t="s">
        <v>566</v>
      </c>
      <c r="B228" s="239">
        <v>46244</v>
      </c>
      <c r="C228" s="246">
        <v>0.5</v>
      </c>
      <c r="D228" s="246">
        <v>0.54166666666666663</v>
      </c>
      <c r="E228" s="319">
        <v>127.4805084746331</v>
      </c>
      <c r="F228">
        <v>11.459375000093132</v>
      </c>
      <c r="G228">
        <v>0</v>
      </c>
      <c r="H228">
        <v>0</v>
      </c>
      <c r="I228">
        <v>0</v>
      </c>
    </row>
    <row r="229" spans="1:9" ht="15.75" customHeight="1" x14ac:dyDescent="0.25">
      <c r="A229" s="239" t="s">
        <v>567</v>
      </c>
      <c r="B229" s="239">
        <v>46244</v>
      </c>
      <c r="C229" s="246">
        <v>0.54166666666666663</v>
      </c>
      <c r="D229" s="246">
        <v>0.58333333333333337</v>
      </c>
      <c r="E229" s="319">
        <v>119.49166666669771</v>
      </c>
      <c r="F229">
        <v>12.321874999906868</v>
      </c>
      <c r="G229">
        <v>0</v>
      </c>
      <c r="H229">
        <v>0</v>
      </c>
      <c r="I229">
        <v>0</v>
      </c>
    </row>
    <row r="230" spans="1:9" ht="15.75" customHeight="1" x14ac:dyDescent="0.25">
      <c r="A230" s="239" t="s">
        <v>568</v>
      </c>
      <c r="B230" s="239">
        <v>46244</v>
      </c>
      <c r="C230" s="246">
        <v>0.58333333333333337</v>
      </c>
      <c r="D230" s="246">
        <v>0.625</v>
      </c>
      <c r="E230" s="319">
        <v>122.35416666651145</v>
      </c>
      <c r="F230">
        <v>12.659375000046566</v>
      </c>
      <c r="G230">
        <v>0</v>
      </c>
      <c r="H230">
        <v>0</v>
      </c>
      <c r="I230">
        <v>0</v>
      </c>
    </row>
    <row r="231" spans="1:9" ht="15.75" customHeight="1" x14ac:dyDescent="0.25">
      <c r="A231" s="239" t="s">
        <v>569</v>
      </c>
      <c r="B231" s="239">
        <v>46244</v>
      </c>
      <c r="C231" s="246">
        <v>0.625</v>
      </c>
      <c r="D231" s="246">
        <v>0.66666666666666663</v>
      </c>
      <c r="E231" s="319">
        <v>110.30416666669771</v>
      </c>
      <c r="F231">
        <v>14.618750000023283</v>
      </c>
      <c r="G231">
        <v>0</v>
      </c>
      <c r="H231">
        <v>0</v>
      </c>
      <c r="I231">
        <v>0</v>
      </c>
    </row>
    <row r="232" spans="1:9" ht="15.75" customHeight="1" x14ac:dyDescent="0.25">
      <c r="A232" s="239" t="s">
        <v>570</v>
      </c>
      <c r="B232" s="239">
        <v>46244</v>
      </c>
      <c r="C232" s="246">
        <v>0.66666666666666663</v>
      </c>
      <c r="D232" s="246">
        <v>0.70833333333333337</v>
      </c>
      <c r="E232" s="319">
        <v>107.375</v>
      </c>
      <c r="F232">
        <v>17.251562500023283</v>
      </c>
      <c r="G232">
        <v>0</v>
      </c>
      <c r="H232">
        <v>0</v>
      </c>
      <c r="I232">
        <v>0</v>
      </c>
    </row>
    <row r="233" spans="1:9" ht="15.75" customHeight="1" x14ac:dyDescent="0.25">
      <c r="A233" s="239" t="s">
        <v>571</v>
      </c>
      <c r="B233" s="239">
        <v>46244</v>
      </c>
      <c r="C233" s="246">
        <v>0.70833333333333337</v>
      </c>
      <c r="D233" s="246">
        <v>0.75</v>
      </c>
      <c r="E233" s="319">
        <v>98.125</v>
      </c>
      <c r="F233">
        <v>16.993996710516512</v>
      </c>
      <c r="G233">
        <v>0</v>
      </c>
      <c r="H233">
        <v>0</v>
      </c>
      <c r="I233">
        <v>0</v>
      </c>
    </row>
    <row r="234" spans="1:9" ht="15.75" customHeight="1" x14ac:dyDescent="0.25">
      <c r="A234" s="239" t="s">
        <v>572</v>
      </c>
      <c r="B234" s="239">
        <v>46244</v>
      </c>
      <c r="C234" s="246">
        <v>0.75</v>
      </c>
      <c r="D234" s="246">
        <v>0.79166666666666663</v>
      </c>
      <c r="E234" s="319">
        <v>91.376229508314282</v>
      </c>
      <c r="F234">
        <v>18.881498716189526</v>
      </c>
      <c r="G234">
        <v>0</v>
      </c>
      <c r="H234">
        <v>0</v>
      </c>
      <c r="I234">
        <v>0</v>
      </c>
    </row>
    <row r="235" spans="1:9" ht="15.75" customHeight="1" x14ac:dyDescent="0.25">
      <c r="A235" s="239" t="s">
        <v>573</v>
      </c>
      <c r="B235" s="239">
        <v>46244</v>
      </c>
      <c r="C235" s="246">
        <v>0.79166666666666663</v>
      </c>
      <c r="D235" s="246">
        <v>0.83333333333333337</v>
      </c>
      <c r="E235" s="319">
        <v>82.404278966598213</v>
      </c>
      <c r="F235">
        <v>19.013567073270679</v>
      </c>
      <c r="G235">
        <v>0</v>
      </c>
      <c r="H235">
        <v>0</v>
      </c>
      <c r="I235">
        <v>0</v>
      </c>
    </row>
    <row r="236" spans="1:9" ht="15.75" customHeight="1" x14ac:dyDescent="0.25">
      <c r="A236" s="239" t="s">
        <v>574</v>
      </c>
      <c r="B236" s="239">
        <v>46244</v>
      </c>
      <c r="C236" s="246">
        <v>0.83333333333333337</v>
      </c>
      <c r="D236" s="246">
        <v>0.875</v>
      </c>
      <c r="E236" s="319">
        <v>76.019491525366902</v>
      </c>
      <c r="F236">
        <v>26.834374999976717</v>
      </c>
      <c r="G236">
        <v>0</v>
      </c>
      <c r="H236">
        <v>0</v>
      </c>
      <c r="I236">
        <v>0</v>
      </c>
    </row>
    <row r="237" spans="1:9" ht="15.75" customHeight="1" x14ac:dyDescent="0.25">
      <c r="A237" s="239" t="s">
        <v>575</v>
      </c>
      <c r="B237" s="239">
        <v>46244</v>
      </c>
      <c r="C237" s="246">
        <v>0.875</v>
      </c>
      <c r="D237" s="246">
        <v>0.91666666666666663</v>
      </c>
      <c r="E237" s="319">
        <v>49.1875</v>
      </c>
      <c r="F237">
        <v>20.267911585280672</v>
      </c>
      <c r="G237">
        <v>0</v>
      </c>
      <c r="H237">
        <v>0</v>
      </c>
      <c r="I237">
        <v>0</v>
      </c>
    </row>
    <row r="238" spans="1:9" ht="15.75" customHeight="1" x14ac:dyDescent="0.25">
      <c r="A238" s="239" t="s">
        <v>576</v>
      </c>
      <c r="B238" s="239">
        <v>46244</v>
      </c>
      <c r="C238" s="246">
        <v>0.91666666666666663</v>
      </c>
      <c r="D238" s="246">
        <v>0.95833333333333337</v>
      </c>
      <c r="E238" s="319">
        <v>46.1875</v>
      </c>
      <c r="F238">
        <v>17.254924953100272</v>
      </c>
      <c r="G238">
        <v>0</v>
      </c>
      <c r="H238">
        <v>0</v>
      </c>
      <c r="I238">
        <v>0</v>
      </c>
    </row>
    <row r="239" spans="1:9" ht="15.75" customHeight="1" x14ac:dyDescent="0.25">
      <c r="A239" s="239" t="s">
        <v>577</v>
      </c>
      <c r="B239" s="239">
        <v>46244</v>
      </c>
      <c r="C239" s="246">
        <v>0.95833333333333337</v>
      </c>
      <c r="D239" s="246">
        <v>0</v>
      </c>
      <c r="E239" s="319">
        <v>43.546186440624297</v>
      </c>
      <c r="F239">
        <v>19.491225961595774</v>
      </c>
      <c r="G239">
        <v>0</v>
      </c>
      <c r="H239">
        <v>0</v>
      </c>
      <c r="I239">
        <v>0</v>
      </c>
    </row>
    <row r="240" spans="1:9" ht="15.75" customHeight="1" x14ac:dyDescent="0.25">
      <c r="A240" s="239" t="s">
        <v>578</v>
      </c>
      <c r="B240" s="239">
        <v>46244</v>
      </c>
      <c r="C240" s="246">
        <v>0</v>
      </c>
      <c r="D240" s="246">
        <v>4.1666666666666664E-2</v>
      </c>
      <c r="E240" s="319">
        <v>44.445480226073414</v>
      </c>
      <c r="F240">
        <v>16.184375000069849</v>
      </c>
      <c r="G240">
        <v>0</v>
      </c>
      <c r="H240">
        <v>0</v>
      </c>
      <c r="I240">
        <v>0</v>
      </c>
    </row>
    <row r="241" spans="1:9" ht="15.75" customHeight="1" x14ac:dyDescent="0.25">
      <c r="A241" s="239" t="s">
        <v>579</v>
      </c>
      <c r="B241" s="239">
        <v>46244</v>
      </c>
      <c r="C241" s="246">
        <v>4.1666666666666664E-2</v>
      </c>
      <c r="D241" s="246">
        <v>8.3333333333333329E-2</v>
      </c>
      <c r="E241" s="319">
        <v>43.820833333302289</v>
      </c>
      <c r="F241">
        <v>17.8046875</v>
      </c>
      <c r="G241">
        <v>0</v>
      </c>
      <c r="H241">
        <v>0</v>
      </c>
      <c r="I241">
        <v>0</v>
      </c>
    </row>
    <row r="242" spans="1:9" ht="15.75" customHeight="1" x14ac:dyDescent="0.25">
      <c r="A242" s="239" t="s">
        <v>580</v>
      </c>
      <c r="B242" s="239">
        <v>46244</v>
      </c>
      <c r="C242" s="246">
        <v>8.3333333333333329E-2</v>
      </c>
      <c r="D242" s="246">
        <v>0.125</v>
      </c>
      <c r="E242" s="319">
        <v>41.9375</v>
      </c>
      <c r="F242">
        <v>39.293749999953434</v>
      </c>
      <c r="G242">
        <v>0</v>
      </c>
      <c r="H242">
        <v>0</v>
      </c>
      <c r="I242">
        <v>0</v>
      </c>
    </row>
    <row r="243" spans="1:9" ht="15.75" customHeight="1" x14ac:dyDescent="0.25">
      <c r="A243" s="239" t="s">
        <v>581</v>
      </c>
      <c r="B243" s="239">
        <v>46244</v>
      </c>
      <c r="C243" s="246">
        <v>0.125</v>
      </c>
      <c r="D243" s="246">
        <v>0.16666666666666666</v>
      </c>
      <c r="E243" s="319">
        <v>41.633333333302289</v>
      </c>
      <c r="F243">
        <v>20.699999999953434</v>
      </c>
      <c r="G243">
        <v>0</v>
      </c>
      <c r="H243">
        <v>0</v>
      </c>
      <c r="I243">
        <v>0</v>
      </c>
    </row>
    <row r="244" spans="1:9" ht="15.75" customHeight="1" x14ac:dyDescent="0.25">
      <c r="A244" s="239" t="s">
        <v>582</v>
      </c>
      <c r="B244" s="239">
        <v>46244</v>
      </c>
      <c r="C244" s="246">
        <v>0.16666666666666666</v>
      </c>
      <c r="D244" s="246">
        <v>0.20833333333333334</v>
      </c>
      <c r="E244" s="319">
        <v>41.241666666697711</v>
      </c>
      <c r="F244">
        <v>15.950000000069849</v>
      </c>
      <c r="G244">
        <v>0</v>
      </c>
      <c r="H244">
        <v>0</v>
      </c>
      <c r="I244">
        <v>0</v>
      </c>
    </row>
    <row r="245" spans="1:9" ht="15.75" customHeight="1" x14ac:dyDescent="0.25">
      <c r="A245" s="239" t="s">
        <v>583</v>
      </c>
      <c r="B245" s="239">
        <v>46244</v>
      </c>
      <c r="C245" s="246">
        <v>0.20833333333333334</v>
      </c>
      <c r="D245" s="246">
        <v>0.25</v>
      </c>
      <c r="E245" s="319">
        <v>41.1875</v>
      </c>
      <c r="F245">
        <v>42.256249999976717</v>
      </c>
      <c r="G245">
        <v>0</v>
      </c>
      <c r="H245">
        <v>0</v>
      </c>
      <c r="I245">
        <v>0</v>
      </c>
    </row>
    <row r="246" spans="1:9" ht="15.75" customHeight="1" x14ac:dyDescent="0.25">
      <c r="A246" s="239" t="s">
        <v>584</v>
      </c>
      <c r="B246" s="241">
        <v>46245</v>
      </c>
      <c r="C246" s="246">
        <v>0.25</v>
      </c>
      <c r="D246" s="246">
        <v>0.29166666666666669</v>
      </c>
      <c r="E246" s="319">
        <v>66.162500000093132</v>
      </c>
      <c r="F246">
        <v>16.034375000046566</v>
      </c>
      <c r="G246">
        <v>0</v>
      </c>
      <c r="H246">
        <v>0</v>
      </c>
      <c r="I246">
        <v>0</v>
      </c>
    </row>
    <row r="247" spans="1:9" ht="15.75" customHeight="1" x14ac:dyDescent="0.25">
      <c r="A247" s="239" t="s">
        <v>585</v>
      </c>
      <c r="B247" s="241">
        <v>46245</v>
      </c>
      <c r="C247" s="246">
        <v>0.29166666666666669</v>
      </c>
      <c r="D247" s="246">
        <v>0.33333333333333331</v>
      </c>
      <c r="E247" s="319">
        <v>84.622033898252994</v>
      </c>
      <c r="F247">
        <v>11.246874999953434</v>
      </c>
      <c r="G247">
        <v>0</v>
      </c>
      <c r="H247">
        <v>0</v>
      </c>
      <c r="I247">
        <v>0</v>
      </c>
    </row>
    <row r="248" spans="1:9" ht="15.75" customHeight="1" x14ac:dyDescent="0.25">
      <c r="A248" s="239" t="s">
        <v>586</v>
      </c>
      <c r="B248" s="241">
        <v>46245</v>
      </c>
      <c r="C248" s="246">
        <v>0.33333333333333331</v>
      </c>
      <c r="D248" s="246">
        <v>0.375</v>
      </c>
      <c r="E248" s="319">
        <v>85.327966101467609</v>
      </c>
      <c r="F248">
        <v>10.290625000023283</v>
      </c>
      <c r="G248">
        <v>0</v>
      </c>
      <c r="H248">
        <v>0</v>
      </c>
      <c r="I248">
        <v>0</v>
      </c>
    </row>
    <row r="249" spans="1:9" ht="15.75" customHeight="1" x14ac:dyDescent="0.25">
      <c r="A249" s="239" t="s">
        <v>587</v>
      </c>
      <c r="B249" s="241">
        <v>46245</v>
      </c>
      <c r="C249" s="246">
        <v>0.375</v>
      </c>
      <c r="D249" s="246">
        <v>0.41666666666666669</v>
      </c>
      <c r="E249" s="319">
        <v>126.93606557371095</v>
      </c>
      <c r="F249">
        <v>11.124009146355093</v>
      </c>
      <c r="G249">
        <v>0</v>
      </c>
      <c r="H249">
        <v>0</v>
      </c>
      <c r="I249">
        <v>0</v>
      </c>
    </row>
    <row r="250" spans="1:9" ht="15.75" customHeight="1" x14ac:dyDescent="0.25">
      <c r="A250" s="239" t="s">
        <v>588</v>
      </c>
      <c r="B250" s="241">
        <v>46245</v>
      </c>
      <c r="C250" s="246">
        <v>0.41666666666666669</v>
      </c>
      <c r="D250" s="246">
        <v>0.45833333333333331</v>
      </c>
      <c r="E250" s="319">
        <v>135.05143442656845</v>
      </c>
      <c r="F250">
        <v>9.8963033535983413</v>
      </c>
      <c r="G250">
        <v>0</v>
      </c>
      <c r="H250">
        <v>0</v>
      </c>
      <c r="I250">
        <v>0</v>
      </c>
    </row>
    <row r="251" spans="1:9" ht="15.75" customHeight="1" x14ac:dyDescent="0.25">
      <c r="A251" s="239" t="s">
        <v>589</v>
      </c>
      <c r="B251" s="241">
        <v>46245</v>
      </c>
      <c r="C251" s="246">
        <v>0.45833333333333331</v>
      </c>
      <c r="D251" s="246">
        <v>0.5</v>
      </c>
      <c r="E251" s="319">
        <v>127.3125</v>
      </c>
      <c r="F251">
        <v>11.328943452448584</v>
      </c>
      <c r="G251">
        <v>0</v>
      </c>
      <c r="H251">
        <v>0</v>
      </c>
      <c r="I251">
        <v>0</v>
      </c>
    </row>
    <row r="252" spans="1:9" ht="15.75" customHeight="1" x14ac:dyDescent="0.25">
      <c r="A252" s="239" t="s">
        <v>590</v>
      </c>
      <c r="B252" s="241">
        <v>46245</v>
      </c>
      <c r="C252" s="246">
        <v>0.5</v>
      </c>
      <c r="D252" s="246">
        <v>0.54166666666666663</v>
      </c>
      <c r="E252" s="319">
        <v>125.59999999962747</v>
      </c>
      <c r="F252">
        <v>12.562042124453001</v>
      </c>
      <c r="G252">
        <v>0</v>
      </c>
      <c r="H252">
        <v>0</v>
      </c>
      <c r="I252">
        <v>0</v>
      </c>
    </row>
    <row r="253" spans="1:9" ht="15.75" customHeight="1" x14ac:dyDescent="0.25">
      <c r="A253" s="239" t="s">
        <v>591</v>
      </c>
      <c r="B253" s="241">
        <v>46245</v>
      </c>
      <c r="C253" s="246">
        <v>0.54166666666666663</v>
      </c>
      <c r="D253" s="246">
        <v>0.58333333333333337</v>
      </c>
      <c r="E253" s="319">
        <v>119.71666666679084</v>
      </c>
      <c r="F253">
        <v>15.798076923121698</v>
      </c>
      <c r="G253">
        <v>0</v>
      </c>
      <c r="H253">
        <v>0</v>
      </c>
      <c r="I253">
        <v>0</v>
      </c>
    </row>
    <row r="254" spans="1:9" ht="15.75" customHeight="1" x14ac:dyDescent="0.25">
      <c r="A254" s="239" t="s">
        <v>592</v>
      </c>
      <c r="B254" s="241">
        <v>46245</v>
      </c>
      <c r="C254" s="246">
        <v>0.58333333333333337</v>
      </c>
      <c r="D254" s="246">
        <v>0.625</v>
      </c>
      <c r="E254" s="319">
        <v>133.44583333330229</v>
      </c>
      <c r="F254">
        <v>12.147865853621624</v>
      </c>
      <c r="G254">
        <v>0</v>
      </c>
      <c r="H254">
        <v>0</v>
      </c>
      <c r="I254">
        <v>0</v>
      </c>
    </row>
    <row r="255" spans="1:9" ht="15.75" customHeight="1" x14ac:dyDescent="0.25">
      <c r="A255" s="239" t="s">
        <v>593</v>
      </c>
      <c r="B255" s="241">
        <v>46245</v>
      </c>
      <c r="C255" s="246">
        <v>0.625</v>
      </c>
      <c r="D255" s="246">
        <v>0.66666666666666663</v>
      </c>
      <c r="E255" s="319">
        <v>127.94583333330229</v>
      </c>
      <c r="F255">
        <v>12.336509146378376</v>
      </c>
      <c r="G255">
        <v>0</v>
      </c>
      <c r="H255">
        <v>0</v>
      </c>
      <c r="I255">
        <v>0</v>
      </c>
    </row>
    <row r="256" spans="1:9" ht="15.75" customHeight="1" x14ac:dyDescent="0.25">
      <c r="A256" s="239" t="s">
        <v>594</v>
      </c>
      <c r="B256" s="241">
        <v>46245</v>
      </c>
      <c r="C256" s="246">
        <v>0.66666666666666663</v>
      </c>
      <c r="D256" s="246">
        <v>0.70833333333333337</v>
      </c>
      <c r="E256" s="319">
        <v>125.66424731211737</v>
      </c>
      <c r="F256">
        <v>13.146874999976717</v>
      </c>
      <c r="G256">
        <v>0</v>
      </c>
      <c r="H256">
        <v>0</v>
      </c>
      <c r="I256">
        <v>0</v>
      </c>
    </row>
    <row r="257" spans="1:9" ht="15.75" customHeight="1" x14ac:dyDescent="0.25">
      <c r="A257" s="239" t="s">
        <v>595</v>
      </c>
      <c r="B257" s="241">
        <v>46245</v>
      </c>
      <c r="C257" s="246">
        <v>0.70833333333333337</v>
      </c>
      <c r="D257" s="246">
        <v>0.75</v>
      </c>
      <c r="E257" s="319">
        <v>115.32325268816203</v>
      </c>
      <c r="F257">
        <v>15.31844512198586</v>
      </c>
      <c r="G257">
        <v>0</v>
      </c>
      <c r="H257">
        <v>0</v>
      </c>
      <c r="I257">
        <v>0</v>
      </c>
    </row>
    <row r="258" spans="1:9" ht="15.75" customHeight="1" x14ac:dyDescent="0.25">
      <c r="A258" s="239" t="s">
        <v>596</v>
      </c>
      <c r="B258" s="241">
        <v>46245</v>
      </c>
      <c r="C258" s="246">
        <v>0.75</v>
      </c>
      <c r="D258" s="246">
        <v>0.79166666666666663</v>
      </c>
      <c r="E258" s="319">
        <v>102.60416666651145</v>
      </c>
      <c r="F258">
        <v>17.062804877990857</v>
      </c>
      <c r="G258">
        <v>0</v>
      </c>
      <c r="H258">
        <v>0</v>
      </c>
      <c r="I258">
        <v>0</v>
      </c>
    </row>
    <row r="259" spans="1:9" ht="15.75" customHeight="1" x14ac:dyDescent="0.25">
      <c r="A259" s="239" t="s">
        <v>597</v>
      </c>
      <c r="B259" s="241">
        <v>46245</v>
      </c>
      <c r="C259" s="246">
        <v>0.79166666666666663</v>
      </c>
      <c r="D259" s="246">
        <v>0.83333333333333337</v>
      </c>
      <c r="E259" s="319">
        <v>80.682203389704227</v>
      </c>
      <c r="F259">
        <v>18.064062500023283</v>
      </c>
      <c r="G259">
        <v>0</v>
      </c>
      <c r="H259">
        <v>0</v>
      </c>
      <c r="I259">
        <v>0</v>
      </c>
    </row>
    <row r="260" spans="1:9" ht="15.75" customHeight="1" x14ac:dyDescent="0.25">
      <c r="A260" s="239" t="s">
        <v>598</v>
      </c>
      <c r="B260" s="241">
        <v>46245</v>
      </c>
      <c r="C260" s="246">
        <v>0.83333333333333337</v>
      </c>
      <c r="D260" s="246">
        <v>0.875</v>
      </c>
      <c r="E260" s="319">
        <v>64.745215964969248</v>
      </c>
      <c r="F260">
        <v>23.032812500023283</v>
      </c>
      <c r="G260">
        <v>0</v>
      </c>
      <c r="H260">
        <v>0</v>
      </c>
      <c r="I260">
        <v>0</v>
      </c>
    </row>
    <row r="261" spans="1:9" ht="15.75" customHeight="1" x14ac:dyDescent="0.25">
      <c r="A261" s="239" t="s">
        <v>599</v>
      </c>
      <c r="B261" s="241">
        <v>46245</v>
      </c>
      <c r="C261" s="246">
        <v>0.875</v>
      </c>
      <c r="D261" s="246">
        <v>0.91666666666666663</v>
      </c>
      <c r="E261" s="319">
        <v>52.210080645512789</v>
      </c>
      <c r="F261">
        <v>19.590624999953434</v>
      </c>
      <c r="G261">
        <v>0</v>
      </c>
      <c r="H261">
        <v>0</v>
      </c>
      <c r="I261">
        <v>0</v>
      </c>
    </row>
    <row r="262" spans="1:9" ht="15.75" customHeight="1" x14ac:dyDescent="0.25">
      <c r="A262" s="239" t="s">
        <v>600</v>
      </c>
      <c r="B262" s="241">
        <v>46245</v>
      </c>
      <c r="C262" s="246">
        <v>0.91666666666666663</v>
      </c>
      <c r="D262" s="246">
        <v>0.95833333333333337</v>
      </c>
      <c r="E262" s="319">
        <v>50.687499999534339</v>
      </c>
      <c r="F262">
        <v>19.131250000093132</v>
      </c>
      <c r="G262">
        <v>0</v>
      </c>
      <c r="H262">
        <v>0</v>
      </c>
      <c r="I262">
        <v>0</v>
      </c>
    </row>
    <row r="263" spans="1:9" ht="15.75" customHeight="1" x14ac:dyDescent="0.25">
      <c r="A263" s="239" t="s">
        <v>601</v>
      </c>
      <c r="B263" s="241">
        <v>46245</v>
      </c>
      <c r="C263" s="246">
        <v>0.95833333333333337</v>
      </c>
      <c r="D263" s="246">
        <v>0</v>
      </c>
      <c r="E263" s="319">
        <v>49.108333333395422</v>
      </c>
      <c r="F263">
        <v>29.522408536518924</v>
      </c>
      <c r="G263">
        <v>0</v>
      </c>
      <c r="H263">
        <v>0</v>
      </c>
      <c r="I263">
        <v>0</v>
      </c>
    </row>
    <row r="264" spans="1:9" ht="15.75" customHeight="1" x14ac:dyDescent="0.25">
      <c r="A264" s="239" t="s">
        <v>602</v>
      </c>
      <c r="B264" s="241">
        <v>46245</v>
      </c>
      <c r="C264" s="246">
        <v>0</v>
      </c>
      <c r="D264" s="246">
        <v>4.1666666666666664E-2</v>
      </c>
      <c r="E264" s="319">
        <v>47.906830601394176</v>
      </c>
      <c r="F264">
        <v>20.59165396343451</v>
      </c>
      <c r="G264">
        <v>0</v>
      </c>
      <c r="H264">
        <v>0</v>
      </c>
      <c r="I264">
        <v>0</v>
      </c>
    </row>
    <row r="265" spans="1:9" ht="15.75" customHeight="1" x14ac:dyDescent="0.25">
      <c r="A265" s="239" t="s">
        <v>603</v>
      </c>
      <c r="B265" s="241">
        <v>46245</v>
      </c>
      <c r="C265" s="246">
        <v>4.1666666666666664E-2</v>
      </c>
      <c r="D265" s="246">
        <v>8.3333333333333329E-2</v>
      </c>
      <c r="E265" s="319">
        <v>47.534836065489799</v>
      </c>
      <c r="F265">
        <v>23.5546875</v>
      </c>
      <c r="G265">
        <v>0</v>
      </c>
      <c r="H265">
        <v>0</v>
      </c>
      <c r="I265">
        <v>0</v>
      </c>
    </row>
    <row r="266" spans="1:9" ht="15.75" customHeight="1" x14ac:dyDescent="0.25">
      <c r="A266" s="239" t="s">
        <v>604</v>
      </c>
      <c r="B266" s="241">
        <v>46245</v>
      </c>
      <c r="C266" s="246">
        <v>8.3333333333333329E-2</v>
      </c>
      <c r="D266" s="246">
        <v>0.125</v>
      </c>
      <c r="E266" s="319">
        <v>45.4375</v>
      </c>
      <c r="F266">
        <v>22.1875</v>
      </c>
      <c r="G266">
        <v>0</v>
      </c>
      <c r="H266">
        <v>0</v>
      </c>
      <c r="I266">
        <v>0</v>
      </c>
    </row>
    <row r="267" spans="1:9" ht="15.75" customHeight="1" x14ac:dyDescent="0.25">
      <c r="A267" s="239" t="s">
        <v>605</v>
      </c>
      <c r="B267" s="241">
        <v>46245</v>
      </c>
      <c r="C267" s="246">
        <v>0.125</v>
      </c>
      <c r="D267" s="246">
        <v>0.16666666666666666</v>
      </c>
      <c r="E267" s="319">
        <v>45.354166666511446</v>
      </c>
      <c r="F267">
        <v>15.040625000023283</v>
      </c>
      <c r="G267">
        <v>0</v>
      </c>
      <c r="H267">
        <v>0</v>
      </c>
      <c r="I267">
        <v>0</v>
      </c>
    </row>
    <row r="268" spans="1:9" ht="15.75" customHeight="1" x14ac:dyDescent="0.25">
      <c r="A268" s="239" t="s">
        <v>606</v>
      </c>
      <c r="B268" s="241">
        <v>46245</v>
      </c>
      <c r="C268" s="246">
        <v>0.16666666666666666</v>
      </c>
      <c r="D268" s="246">
        <v>0.20833333333333334</v>
      </c>
      <c r="E268" s="319">
        <v>43.498587570618838</v>
      </c>
      <c r="F268">
        <v>27.196875000023283</v>
      </c>
      <c r="G268">
        <v>0</v>
      </c>
      <c r="H268">
        <v>0</v>
      </c>
      <c r="I268">
        <v>0</v>
      </c>
    </row>
    <row r="269" spans="1:9" ht="15.75" customHeight="1" x14ac:dyDescent="0.25">
      <c r="A269" s="239" t="s">
        <v>607</v>
      </c>
      <c r="B269" s="241">
        <v>46245</v>
      </c>
      <c r="C269" s="246">
        <v>0.20833333333333334</v>
      </c>
      <c r="D269" s="246">
        <v>0.25</v>
      </c>
      <c r="E269" s="319">
        <v>43.947245762683451</v>
      </c>
      <c r="F269">
        <v>39.987499999930151</v>
      </c>
      <c r="G269">
        <v>0</v>
      </c>
      <c r="H269">
        <v>0</v>
      </c>
      <c r="I269">
        <v>0</v>
      </c>
    </row>
    <row r="270" spans="1:9" ht="15.75" customHeight="1" x14ac:dyDescent="0.25">
      <c r="A270" s="239" t="s">
        <v>608</v>
      </c>
      <c r="B270" s="241">
        <v>46246</v>
      </c>
      <c r="C270" s="246">
        <v>0.25</v>
      </c>
      <c r="D270" s="246">
        <v>0.29166666666666669</v>
      </c>
      <c r="E270" s="319">
        <v>70.470833333674818</v>
      </c>
      <c r="F270">
        <v>16.242987804929726</v>
      </c>
      <c r="G270">
        <v>0</v>
      </c>
      <c r="H270">
        <v>0</v>
      </c>
      <c r="I270">
        <v>0</v>
      </c>
    </row>
    <row r="271" spans="1:9" ht="15.75" customHeight="1" x14ac:dyDescent="0.25">
      <c r="A271" s="239" t="s">
        <v>609</v>
      </c>
      <c r="B271" s="241">
        <v>46246</v>
      </c>
      <c r="C271" s="246">
        <v>0.29166666666666669</v>
      </c>
      <c r="D271" s="246">
        <v>0.33333333333333331</v>
      </c>
      <c r="E271" s="319">
        <v>82.145833333022892</v>
      </c>
      <c r="F271">
        <v>8.3936925230082124</v>
      </c>
      <c r="G271">
        <v>0</v>
      </c>
      <c r="H271">
        <v>0</v>
      </c>
      <c r="I271">
        <v>0</v>
      </c>
    </row>
    <row r="272" spans="1:9" ht="15.75" customHeight="1" x14ac:dyDescent="0.25">
      <c r="A272" s="239" t="s">
        <v>610</v>
      </c>
      <c r="B272" s="241">
        <v>46246</v>
      </c>
      <c r="C272" s="246">
        <v>0.33333333333333331</v>
      </c>
      <c r="D272" s="246">
        <v>0.375</v>
      </c>
      <c r="E272" s="319">
        <v>96.791325136553496</v>
      </c>
      <c r="F272">
        <v>10.639882172108628</v>
      </c>
      <c r="G272">
        <v>0</v>
      </c>
      <c r="H272">
        <v>0</v>
      </c>
      <c r="I272">
        <v>0</v>
      </c>
    </row>
    <row r="273" spans="1:9" ht="15.75" customHeight="1" x14ac:dyDescent="0.25">
      <c r="A273" s="239" t="s">
        <v>611</v>
      </c>
      <c r="B273" s="241">
        <v>46246</v>
      </c>
      <c r="C273" s="246">
        <v>0.375</v>
      </c>
      <c r="D273" s="246">
        <v>0.41666666666666669</v>
      </c>
      <c r="E273" s="319">
        <v>118.77950819674879</v>
      </c>
      <c r="F273">
        <v>10.9140625</v>
      </c>
      <c r="G273">
        <v>0</v>
      </c>
      <c r="H273">
        <v>0</v>
      </c>
      <c r="I273">
        <v>0</v>
      </c>
    </row>
    <row r="274" spans="1:9" ht="15.75" customHeight="1" x14ac:dyDescent="0.25">
      <c r="A274" s="239" t="s">
        <v>612</v>
      </c>
      <c r="B274" s="241">
        <v>46246</v>
      </c>
      <c r="C274" s="246">
        <v>0.41666666666666669</v>
      </c>
      <c r="D274" s="246">
        <v>0.45833333333333331</v>
      </c>
      <c r="E274" s="319">
        <v>132.63333333376795</v>
      </c>
      <c r="F274">
        <v>8.1453506097896025</v>
      </c>
      <c r="G274">
        <v>0</v>
      </c>
      <c r="H274">
        <v>0</v>
      </c>
      <c r="I274">
        <v>0</v>
      </c>
    </row>
    <row r="275" spans="1:9" ht="15.75" customHeight="1" x14ac:dyDescent="0.25">
      <c r="A275" s="239" t="s">
        <v>613</v>
      </c>
      <c r="B275" s="241">
        <v>46246</v>
      </c>
      <c r="C275" s="246">
        <v>0.45833333333333331</v>
      </c>
      <c r="D275" s="246">
        <v>0.5</v>
      </c>
      <c r="E275" s="319">
        <v>89.316666666418314</v>
      </c>
      <c r="F275">
        <v>10.822037210687995</v>
      </c>
      <c r="G275">
        <v>24.81953125000291</v>
      </c>
      <c r="H275">
        <v>0</v>
      </c>
      <c r="I275">
        <v>0.51171875</v>
      </c>
    </row>
    <row r="276" spans="1:9" ht="15.75" customHeight="1" x14ac:dyDescent="0.25">
      <c r="A276" s="239" t="s">
        <v>614</v>
      </c>
      <c r="B276" s="241">
        <v>46246</v>
      </c>
      <c r="C276" s="246">
        <v>0.5</v>
      </c>
      <c r="D276" s="246">
        <v>0.54166666666666663</v>
      </c>
      <c r="E276" s="319">
        <v>0.25</v>
      </c>
      <c r="F276">
        <v>10.07011217949912</v>
      </c>
      <c r="G276">
        <v>125.74604252049176</v>
      </c>
      <c r="H276">
        <v>0</v>
      </c>
      <c r="I276">
        <v>0</v>
      </c>
    </row>
    <row r="277" spans="1:9" ht="15.75" customHeight="1" x14ac:dyDescent="0.25">
      <c r="A277" s="239" t="s">
        <v>615</v>
      </c>
      <c r="B277" s="241">
        <v>46246</v>
      </c>
      <c r="C277" s="246">
        <v>0.54166666666666663</v>
      </c>
      <c r="D277" s="246">
        <v>0.58333333333333337</v>
      </c>
      <c r="E277" s="319">
        <v>0</v>
      </c>
      <c r="F277">
        <v>8.4796875000465661</v>
      </c>
      <c r="G277">
        <v>132.64744706284546</v>
      </c>
      <c r="H277">
        <v>0</v>
      </c>
      <c r="I277">
        <v>0</v>
      </c>
    </row>
    <row r="278" spans="1:9" ht="15.75" customHeight="1" x14ac:dyDescent="0.25">
      <c r="A278" s="239" t="s">
        <v>616</v>
      </c>
      <c r="B278" s="241">
        <v>46246</v>
      </c>
      <c r="C278" s="246">
        <v>0.58333333333333337</v>
      </c>
      <c r="D278" s="246">
        <v>0.625</v>
      </c>
      <c r="E278" s="319">
        <v>63.804166666697711</v>
      </c>
      <c r="F278">
        <v>9.4546874999068677</v>
      </c>
      <c r="G278">
        <v>62.591666666659876</v>
      </c>
      <c r="H278">
        <v>0</v>
      </c>
      <c r="I278">
        <v>0</v>
      </c>
    </row>
    <row r="279" spans="1:9" ht="15.75" customHeight="1" x14ac:dyDescent="0.25">
      <c r="A279" s="239" t="s">
        <v>617</v>
      </c>
      <c r="B279" s="241">
        <v>46246</v>
      </c>
      <c r="C279" s="246">
        <v>0.625</v>
      </c>
      <c r="D279" s="246">
        <v>0.66666666666666663</v>
      </c>
      <c r="E279" s="319">
        <v>135.07916666660458</v>
      </c>
      <c r="F279">
        <v>11.2265625</v>
      </c>
      <c r="G279">
        <v>0</v>
      </c>
      <c r="H279">
        <v>0</v>
      </c>
      <c r="I279">
        <v>0</v>
      </c>
    </row>
    <row r="280" spans="1:9" ht="15.75" customHeight="1" x14ac:dyDescent="0.25">
      <c r="A280" s="239" t="s">
        <v>618</v>
      </c>
      <c r="B280" s="241">
        <v>46246</v>
      </c>
      <c r="C280" s="246">
        <v>0.66666666666666663</v>
      </c>
      <c r="D280" s="246">
        <v>0.70833333333333337</v>
      </c>
      <c r="E280" s="319">
        <v>10.108927180990577</v>
      </c>
      <c r="F280">
        <v>17.193750000093132</v>
      </c>
      <c r="G280">
        <v>116.80390625000291</v>
      </c>
      <c r="H280">
        <v>0</v>
      </c>
      <c r="I280">
        <v>0</v>
      </c>
    </row>
    <row r="281" spans="1:9" ht="15.75" customHeight="1" x14ac:dyDescent="0.25">
      <c r="A281" s="239" t="s">
        <v>619</v>
      </c>
      <c r="B281" s="241">
        <v>46246</v>
      </c>
      <c r="C281" s="246">
        <v>0.70833333333333337</v>
      </c>
      <c r="D281" s="246">
        <v>0.75</v>
      </c>
      <c r="E281" s="319">
        <v>59.841072819195688</v>
      </c>
      <c r="F281">
        <v>17.917187499930151</v>
      </c>
      <c r="G281">
        <v>56.48515624999709</v>
      </c>
      <c r="H281">
        <v>0</v>
      </c>
      <c r="I281">
        <v>0</v>
      </c>
    </row>
    <row r="282" spans="1:9" ht="15.75" customHeight="1" x14ac:dyDescent="0.25">
      <c r="A282" s="239" t="s">
        <v>620</v>
      </c>
      <c r="B282" s="241">
        <v>46246</v>
      </c>
      <c r="C282" s="246">
        <v>0.75</v>
      </c>
      <c r="D282" s="246">
        <v>0.79166666666666663</v>
      </c>
      <c r="E282" s="319">
        <v>107.94166666641831</v>
      </c>
      <c r="F282">
        <v>21.168750000069849</v>
      </c>
      <c r="G282">
        <v>0</v>
      </c>
      <c r="H282">
        <v>0</v>
      </c>
      <c r="I282">
        <v>0</v>
      </c>
    </row>
    <row r="283" spans="1:9" ht="15.75" customHeight="1" x14ac:dyDescent="0.25">
      <c r="A283" s="239" t="s">
        <v>621</v>
      </c>
      <c r="B283" s="241">
        <v>46246</v>
      </c>
      <c r="C283" s="246">
        <v>0.79166666666666663</v>
      </c>
      <c r="D283" s="246">
        <v>0.83333333333333337</v>
      </c>
      <c r="E283" s="319">
        <v>97.162500000093132</v>
      </c>
      <c r="F283">
        <v>22.918749999953434</v>
      </c>
      <c r="G283">
        <v>0</v>
      </c>
      <c r="H283">
        <v>0</v>
      </c>
      <c r="I283">
        <v>0</v>
      </c>
    </row>
    <row r="284" spans="1:9" ht="15.75" customHeight="1" x14ac:dyDescent="0.25">
      <c r="A284" s="239" t="s">
        <v>622</v>
      </c>
      <c r="B284" s="241">
        <v>46246</v>
      </c>
      <c r="C284" s="246">
        <v>0.83333333333333337</v>
      </c>
      <c r="D284" s="246">
        <v>0.875</v>
      </c>
      <c r="E284" s="319">
        <v>74.459051724057645</v>
      </c>
      <c r="F284">
        <v>22.793749999953434</v>
      </c>
      <c r="G284">
        <v>0</v>
      </c>
      <c r="H284">
        <v>0</v>
      </c>
      <c r="I284">
        <v>0</v>
      </c>
    </row>
    <row r="285" spans="1:9" ht="15.75" customHeight="1" x14ac:dyDescent="0.25">
      <c r="A285" s="239" t="s">
        <v>623</v>
      </c>
      <c r="B285" s="241">
        <v>46246</v>
      </c>
      <c r="C285" s="246">
        <v>0.875</v>
      </c>
      <c r="D285" s="246">
        <v>0.91666666666666663</v>
      </c>
      <c r="E285" s="319">
        <v>54.215948275756091</v>
      </c>
      <c r="F285">
        <v>20.850000000093132</v>
      </c>
      <c r="G285">
        <v>0</v>
      </c>
      <c r="H285">
        <v>0</v>
      </c>
      <c r="I285">
        <v>0</v>
      </c>
    </row>
    <row r="286" spans="1:9" ht="15.75" customHeight="1" x14ac:dyDescent="0.25">
      <c r="A286" s="239" t="s">
        <v>624</v>
      </c>
      <c r="B286" s="241">
        <v>46246</v>
      </c>
      <c r="C286" s="246">
        <v>0.91666666666666663</v>
      </c>
      <c r="D286" s="246">
        <v>0.95833333333333337</v>
      </c>
      <c r="E286" s="319">
        <v>46.6875</v>
      </c>
      <c r="F286">
        <v>28.793749999953434</v>
      </c>
      <c r="G286">
        <v>0</v>
      </c>
      <c r="H286">
        <v>0</v>
      </c>
      <c r="I286">
        <v>0</v>
      </c>
    </row>
    <row r="287" spans="1:9" ht="15.75" customHeight="1" x14ac:dyDescent="0.25">
      <c r="A287" s="239" t="s">
        <v>625</v>
      </c>
      <c r="B287" s="241">
        <v>46246</v>
      </c>
      <c r="C287" s="246">
        <v>0.95833333333333337</v>
      </c>
      <c r="D287" s="246">
        <v>0</v>
      </c>
      <c r="E287" s="319">
        <v>44.1875</v>
      </c>
      <c r="F287">
        <v>34.380952380946837</v>
      </c>
      <c r="G287">
        <v>0</v>
      </c>
      <c r="H287">
        <v>0</v>
      </c>
      <c r="I287">
        <v>0</v>
      </c>
    </row>
    <row r="288" spans="1:9" ht="15.75" customHeight="1" x14ac:dyDescent="0.25">
      <c r="A288" s="239" t="s">
        <v>626</v>
      </c>
      <c r="B288" s="241">
        <v>46246</v>
      </c>
      <c r="C288" s="246">
        <v>0</v>
      </c>
      <c r="D288" s="246">
        <v>4.1666666666666664E-2</v>
      </c>
      <c r="E288" s="319">
        <v>42.783686440903693</v>
      </c>
      <c r="F288">
        <v>25.421932234428823</v>
      </c>
      <c r="G288">
        <v>0</v>
      </c>
      <c r="H288">
        <v>0</v>
      </c>
      <c r="I288">
        <v>0</v>
      </c>
    </row>
    <row r="289" spans="1:9" ht="15.75" customHeight="1" x14ac:dyDescent="0.25">
      <c r="A289" s="239" t="s">
        <v>627</v>
      </c>
      <c r="B289" s="241">
        <v>46246</v>
      </c>
      <c r="C289" s="246">
        <v>4.1666666666666664E-2</v>
      </c>
      <c r="D289" s="246">
        <v>8.3333333333333329E-2</v>
      </c>
      <c r="E289" s="319">
        <v>41.622256182134151</v>
      </c>
      <c r="F289">
        <v>27.487740384647623</v>
      </c>
      <c r="G289">
        <v>0</v>
      </c>
      <c r="H289">
        <v>0</v>
      </c>
      <c r="I289">
        <v>0</v>
      </c>
    </row>
    <row r="290" spans="1:9" ht="15.75" customHeight="1" x14ac:dyDescent="0.25">
      <c r="A290" s="239" t="s">
        <v>628</v>
      </c>
      <c r="B290" s="241">
        <v>46246</v>
      </c>
      <c r="C290" s="246">
        <v>8.3333333333333329E-2</v>
      </c>
      <c r="D290" s="246">
        <v>0.125</v>
      </c>
      <c r="E290" s="319">
        <v>41.782786885276437</v>
      </c>
      <c r="F290">
        <v>34.899923780467361</v>
      </c>
      <c r="G290">
        <v>0</v>
      </c>
      <c r="H290">
        <v>0</v>
      </c>
      <c r="I290">
        <v>0</v>
      </c>
    </row>
    <row r="291" spans="1:9" ht="15.75" customHeight="1" x14ac:dyDescent="0.25">
      <c r="A291" s="239" t="s">
        <v>629</v>
      </c>
      <c r="B291" s="241">
        <v>46246</v>
      </c>
      <c r="C291" s="246">
        <v>0.125</v>
      </c>
      <c r="D291" s="246">
        <v>0.16666666666666666</v>
      </c>
      <c r="E291" s="319">
        <v>41.498770491685718</v>
      </c>
      <c r="F291">
        <v>33.840701219509356</v>
      </c>
      <c r="G291">
        <v>0</v>
      </c>
      <c r="H291">
        <v>0</v>
      </c>
      <c r="I291">
        <v>0</v>
      </c>
    </row>
    <row r="292" spans="1:9" ht="15.75" customHeight="1" x14ac:dyDescent="0.25">
      <c r="A292" s="239" t="s">
        <v>630</v>
      </c>
      <c r="B292" s="241">
        <v>46246</v>
      </c>
      <c r="C292" s="246">
        <v>0.16666666666666666</v>
      </c>
      <c r="D292" s="246">
        <v>0.20833333333333334</v>
      </c>
      <c r="E292" s="319">
        <v>39.775000000372529</v>
      </c>
      <c r="F292">
        <v>31.875</v>
      </c>
      <c r="G292">
        <v>0</v>
      </c>
      <c r="H292">
        <v>0</v>
      </c>
      <c r="I292">
        <v>0</v>
      </c>
    </row>
    <row r="293" spans="1:9" ht="15.75" customHeight="1" x14ac:dyDescent="0.25">
      <c r="A293" s="239" t="s">
        <v>631</v>
      </c>
      <c r="B293" s="241">
        <v>46246</v>
      </c>
      <c r="C293" s="246">
        <v>0.20833333333333334</v>
      </c>
      <c r="D293" s="246">
        <v>0.25</v>
      </c>
      <c r="E293" s="319">
        <v>39.391666666604578</v>
      </c>
      <c r="F293">
        <v>26.481249999953434</v>
      </c>
      <c r="G293">
        <v>0</v>
      </c>
      <c r="H293">
        <v>0</v>
      </c>
      <c r="I293">
        <v>0</v>
      </c>
    </row>
    <row r="294" spans="1:9" ht="15.75" customHeight="1" x14ac:dyDescent="0.25">
      <c r="A294" s="239" t="s">
        <v>632</v>
      </c>
      <c r="B294" s="241">
        <v>46247</v>
      </c>
      <c r="C294" s="246">
        <v>0.25</v>
      </c>
      <c r="D294" s="246">
        <v>0.29166666666666669</v>
      </c>
      <c r="E294" s="319">
        <v>68.805874316953123</v>
      </c>
      <c r="F294">
        <v>21.987500000046566</v>
      </c>
      <c r="G294">
        <v>0</v>
      </c>
      <c r="H294">
        <v>0</v>
      </c>
      <c r="I294">
        <v>0</v>
      </c>
    </row>
    <row r="295" spans="1:9" ht="15.75" customHeight="1" x14ac:dyDescent="0.25">
      <c r="A295" s="239" t="s">
        <v>633</v>
      </c>
      <c r="B295" s="241">
        <v>46247</v>
      </c>
      <c r="C295" s="246">
        <v>0.29166666666666669</v>
      </c>
      <c r="D295" s="246">
        <v>0.33333333333333331</v>
      </c>
      <c r="E295" s="319">
        <v>85.627049180213362</v>
      </c>
      <c r="F295">
        <v>14.606249999953434</v>
      </c>
      <c r="G295">
        <v>0</v>
      </c>
      <c r="H295">
        <v>0</v>
      </c>
      <c r="I295">
        <v>0</v>
      </c>
    </row>
    <row r="296" spans="1:9" ht="15.75" customHeight="1" x14ac:dyDescent="0.25">
      <c r="A296" s="239" t="s">
        <v>634</v>
      </c>
      <c r="B296" s="241">
        <v>46247</v>
      </c>
      <c r="C296" s="246">
        <v>0.33333333333333331</v>
      </c>
      <c r="D296" s="246">
        <v>0.375</v>
      </c>
      <c r="E296" s="319">
        <v>100.32957650255412</v>
      </c>
      <c r="F296">
        <v>10.454725609859452</v>
      </c>
      <c r="G296">
        <v>0</v>
      </c>
      <c r="H296">
        <v>0</v>
      </c>
      <c r="I296">
        <v>0</v>
      </c>
    </row>
    <row r="297" spans="1:9" ht="15.75" customHeight="1" x14ac:dyDescent="0.25">
      <c r="A297" s="239" t="s">
        <v>635</v>
      </c>
      <c r="B297" s="241">
        <v>46247</v>
      </c>
      <c r="C297" s="246">
        <v>0.375</v>
      </c>
      <c r="D297" s="246">
        <v>0.41666666666666669</v>
      </c>
      <c r="E297" s="319">
        <v>116.52083333348855</v>
      </c>
      <c r="F297">
        <v>11.642149390187114</v>
      </c>
      <c r="G297">
        <v>0</v>
      </c>
      <c r="H297">
        <v>0</v>
      </c>
      <c r="I297">
        <v>0</v>
      </c>
    </row>
    <row r="298" spans="1:9" ht="15.75" customHeight="1" x14ac:dyDescent="0.25">
      <c r="A298" s="239" t="s">
        <v>636</v>
      </c>
      <c r="B298" s="241">
        <v>46247</v>
      </c>
      <c r="C298" s="246">
        <v>0.41666666666666669</v>
      </c>
      <c r="D298" s="246">
        <v>0.45833333333333331</v>
      </c>
      <c r="E298" s="319">
        <v>121.75806451635435</v>
      </c>
      <c r="F298">
        <v>8.4093750000465661</v>
      </c>
      <c r="G298">
        <v>0</v>
      </c>
      <c r="H298">
        <v>0</v>
      </c>
      <c r="I298">
        <v>0</v>
      </c>
    </row>
    <row r="299" spans="1:9" ht="15.75" customHeight="1" x14ac:dyDescent="0.25">
      <c r="A299" s="239" t="s">
        <v>637</v>
      </c>
      <c r="B299" s="241">
        <v>46247</v>
      </c>
      <c r="C299" s="246">
        <v>0.45833333333333331</v>
      </c>
      <c r="D299" s="246">
        <v>0.5</v>
      </c>
      <c r="E299" s="319">
        <v>122.4502688171342</v>
      </c>
      <c r="F299">
        <v>12.159374999930151</v>
      </c>
      <c r="G299">
        <v>0</v>
      </c>
      <c r="H299">
        <v>0</v>
      </c>
      <c r="I299">
        <v>0</v>
      </c>
    </row>
    <row r="300" spans="1:9" ht="15.75" customHeight="1" x14ac:dyDescent="0.25">
      <c r="A300" s="239" t="s">
        <v>638</v>
      </c>
      <c r="B300" s="241">
        <v>46247</v>
      </c>
      <c r="C300" s="246">
        <v>0.5</v>
      </c>
      <c r="D300" s="246">
        <v>0.54166666666666663</v>
      </c>
      <c r="E300" s="319">
        <v>126.6875</v>
      </c>
      <c r="F300">
        <v>12.923246951191686</v>
      </c>
      <c r="G300">
        <v>0</v>
      </c>
      <c r="H300">
        <v>0</v>
      </c>
      <c r="I300">
        <v>0</v>
      </c>
    </row>
    <row r="301" spans="1:9" ht="15.75" customHeight="1" x14ac:dyDescent="0.25">
      <c r="A301" s="239" t="s">
        <v>639</v>
      </c>
      <c r="B301" s="241">
        <v>46247</v>
      </c>
      <c r="C301" s="246">
        <v>0.54166666666666663</v>
      </c>
      <c r="D301" s="246">
        <v>0.58333333333333337</v>
      </c>
      <c r="E301" s="319">
        <v>119.22916666651145</v>
      </c>
      <c r="F301">
        <v>9.2642530488083139</v>
      </c>
      <c r="G301">
        <v>0</v>
      </c>
      <c r="H301">
        <v>0</v>
      </c>
      <c r="I301">
        <v>1.611328125</v>
      </c>
    </row>
    <row r="302" spans="1:9" ht="15.75" customHeight="1" x14ac:dyDescent="0.25">
      <c r="A302" s="239" t="s">
        <v>640</v>
      </c>
      <c r="B302" s="241">
        <v>46247</v>
      </c>
      <c r="C302" s="246">
        <v>0.58333333333333337</v>
      </c>
      <c r="D302" s="246">
        <v>0.625</v>
      </c>
      <c r="E302" s="319">
        <v>126.64583333348855</v>
      </c>
      <c r="F302">
        <v>14.106250000069849</v>
      </c>
      <c r="G302">
        <v>0</v>
      </c>
      <c r="H302">
        <v>0</v>
      </c>
      <c r="I302">
        <v>0</v>
      </c>
    </row>
    <row r="303" spans="1:9" ht="15.75" customHeight="1" x14ac:dyDescent="0.25">
      <c r="A303" s="239" t="s">
        <v>641</v>
      </c>
      <c r="B303" s="241">
        <v>46247</v>
      </c>
      <c r="C303" s="246">
        <v>0.625</v>
      </c>
      <c r="D303" s="246">
        <v>0.66666666666666663</v>
      </c>
      <c r="E303" s="319">
        <v>123.40925141237676</v>
      </c>
      <c r="F303">
        <v>16.690624999930151</v>
      </c>
      <c r="G303">
        <v>0</v>
      </c>
      <c r="H303">
        <v>0</v>
      </c>
      <c r="I303">
        <v>0</v>
      </c>
    </row>
    <row r="304" spans="1:9" ht="15.75" customHeight="1" x14ac:dyDescent="0.25">
      <c r="A304" s="239" t="s">
        <v>642</v>
      </c>
      <c r="B304" s="241">
        <v>46247</v>
      </c>
      <c r="C304" s="246">
        <v>0.66666666666666663</v>
      </c>
      <c r="D304" s="246">
        <v>0.70833333333333337</v>
      </c>
      <c r="E304" s="319">
        <v>123.88241525413468</v>
      </c>
      <c r="F304">
        <v>8.1187500000232831</v>
      </c>
      <c r="G304">
        <v>0</v>
      </c>
      <c r="H304">
        <v>0</v>
      </c>
      <c r="I304">
        <v>5.72509765625</v>
      </c>
    </row>
    <row r="305" spans="1:9" ht="15.75" customHeight="1" x14ac:dyDescent="0.25">
      <c r="A305" s="239" t="s">
        <v>643</v>
      </c>
      <c r="B305" s="241">
        <v>46247</v>
      </c>
      <c r="C305" s="246">
        <v>0.70833333333333337</v>
      </c>
      <c r="D305" s="246">
        <v>0.75</v>
      </c>
      <c r="E305" s="319">
        <v>103.73749999981374</v>
      </c>
      <c r="F305">
        <v>0</v>
      </c>
      <c r="G305">
        <v>0</v>
      </c>
      <c r="H305">
        <v>0</v>
      </c>
      <c r="I305">
        <v>14.345097201723547</v>
      </c>
    </row>
    <row r="306" spans="1:9" ht="15.75" customHeight="1" x14ac:dyDescent="0.25">
      <c r="A306" s="239" t="s">
        <v>644</v>
      </c>
      <c r="B306" s="241">
        <v>46247</v>
      </c>
      <c r="C306" s="246">
        <v>0.75</v>
      </c>
      <c r="D306" s="246">
        <v>0.79166666666666663</v>
      </c>
      <c r="E306" s="319">
        <v>90.846186440903693</v>
      </c>
      <c r="F306">
        <v>0</v>
      </c>
      <c r="G306">
        <v>0</v>
      </c>
      <c r="H306">
        <v>0</v>
      </c>
      <c r="I306">
        <v>17.00773482952718</v>
      </c>
    </row>
    <row r="307" spans="1:9" ht="15.75" customHeight="1" x14ac:dyDescent="0.25">
      <c r="A307" s="239" t="s">
        <v>645</v>
      </c>
      <c r="B307" s="241">
        <v>46247</v>
      </c>
      <c r="C307" s="246">
        <v>0.79166666666666663</v>
      </c>
      <c r="D307" s="246">
        <v>0.83333333333333337</v>
      </c>
      <c r="E307" s="319">
        <v>77.445480226073414</v>
      </c>
      <c r="F307">
        <v>0</v>
      </c>
      <c r="G307">
        <v>0</v>
      </c>
      <c r="H307">
        <v>0</v>
      </c>
      <c r="I307">
        <v>18.330664062497817</v>
      </c>
    </row>
    <row r="308" spans="1:9" ht="15.75" customHeight="1" x14ac:dyDescent="0.25">
      <c r="A308" s="239" t="s">
        <v>646</v>
      </c>
      <c r="B308" s="241">
        <v>46247</v>
      </c>
      <c r="C308" s="246">
        <v>0.83333333333333337</v>
      </c>
      <c r="D308" s="246">
        <v>0.875</v>
      </c>
      <c r="E308" s="319">
        <v>64.666666666511446</v>
      </c>
      <c r="F308">
        <v>0</v>
      </c>
      <c r="G308">
        <v>0</v>
      </c>
      <c r="H308">
        <v>0</v>
      </c>
      <c r="I308">
        <v>21.446630859376455</v>
      </c>
    </row>
    <row r="309" spans="1:9" ht="15.75" customHeight="1" x14ac:dyDescent="0.25">
      <c r="A309" s="239" t="s">
        <v>647</v>
      </c>
      <c r="B309" s="241">
        <v>46247</v>
      </c>
      <c r="C309" s="246">
        <v>0.875</v>
      </c>
      <c r="D309" s="246">
        <v>0.91666666666666663</v>
      </c>
      <c r="E309" s="319">
        <v>51.966666666790843</v>
      </c>
      <c r="F309">
        <v>0</v>
      </c>
      <c r="G309">
        <v>0</v>
      </c>
      <c r="H309">
        <v>0</v>
      </c>
      <c r="I309">
        <v>20.410733850992983</v>
      </c>
    </row>
    <row r="310" spans="1:9" ht="15.75" customHeight="1" x14ac:dyDescent="0.25">
      <c r="A310" s="239" t="s">
        <v>648</v>
      </c>
      <c r="B310" s="241">
        <v>46247</v>
      </c>
      <c r="C310" s="246">
        <v>0.91666666666666663</v>
      </c>
      <c r="D310" s="246">
        <v>0.95833333333333337</v>
      </c>
      <c r="E310" s="319">
        <v>45.178688524290919</v>
      </c>
      <c r="F310">
        <v>0</v>
      </c>
      <c r="G310">
        <v>0</v>
      </c>
      <c r="H310">
        <v>0</v>
      </c>
      <c r="I310">
        <v>23.081502477129106</v>
      </c>
    </row>
    <row r="311" spans="1:9" ht="15.75" customHeight="1" x14ac:dyDescent="0.25">
      <c r="A311" s="239" t="s">
        <v>649</v>
      </c>
      <c r="B311" s="241">
        <v>46247</v>
      </c>
      <c r="C311" s="246">
        <v>0.95833333333333337</v>
      </c>
      <c r="D311" s="246">
        <v>0</v>
      </c>
      <c r="E311" s="319">
        <v>44.537978142499924</v>
      </c>
      <c r="F311">
        <v>18.890243902453221</v>
      </c>
      <c r="G311">
        <v>0</v>
      </c>
      <c r="H311">
        <v>0</v>
      </c>
      <c r="I311">
        <v>6.4962890625029104</v>
      </c>
    </row>
    <row r="312" spans="1:9" ht="15.75" customHeight="1" x14ac:dyDescent="0.25">
      <c r="A312" s="239" t="s">
        <v>650</v>
      </c>
      <c r="B312" s="241">
        <v>46247</v>
      </c>
      <c r="C312" s="246">
        <v>0</v>
      </c>
      <c r="D312" s="246">
        <v>4.1666666666666664E-2</v>
      </c>
      <c r="E312" s="319">
        <v>42.595833333209157</v>
      </c>
      <c r="F312">
        <v>32.819131097639911</v>
      </c>
      <c r="G312">
        <v>0</v>
      </c>
      <c r="H312">
        <v>0</v>
      </c>
      <c r="I312">
        <v>0</v>
      </c>
    </row>
    <row r="313" spans="1:9" ht="15.75" customHeight="1" x14ac:dyDescent="0.25">
      <c r="A313" s="239" t="s">
        <v>651</v>
      </c>
      <c r="B313" s="241">
        <v>46247</v>
      </c>
      <c r="C313" s="246">
        <v>4.1666666666666664E-2</v>
      </c>
      <c r="D313" s="246">
        <v>8.3333333333333329E-2</v>
      </c>
      <c r="E313" s="319">
        <v>41.4375</v>
      </c>
      <c r="F313">
        <v>34.390624999883585</v>
      </c>
      <c r="G313">
        <v>0</v>
      </c>
      <c r="H313">
        <v>0</v>
      </c>
      <c r="I313">
        <v>0</v>
      </c>
    </row>
    <row r="314" spans="1:9" ht="15.75" customHeight="1" x14ac:dyDescent="0.25">
      <c r="A314" s="239" t="s">
        <v>652</v>
      </c>
      <c r="B314" s="241">
        <v>46247</v>
      </c>
      <c r="C314" s="246">
        <v>8.3333333333333329E-2</v>
      </c>
      <c r="D314" s="246">
        <v>0.125</v>
      </c>
      <c r="E314" s="319">
        <v>43.081034482456744</v>
      </c>
      <c r="F314">
        <v>24.439473684295081</v>
      </c>
      <c r="G314">
        <v>0</v>
      </c>
      <c r="H314">
        <v>0</v>
      </c>
      <c r="I314">
        <v>0</v>
      </c>
    </row>
    <row r="315" spans="1:9" ht="15.75" customHeight="1" x14ac:dyDescent="0.25">
      <c r="A315" s="239" t="s">
        <v>653</v>
      </c>
      <c r="B315" s="241">
        <v>46247</v>
      </c>
      <c r="C315" s="246">
        <v>0.125</v>
      </c>
      <c r="D315" s="246">
        <v>0.16666666666666666</v>
      </c>
      <c r="E315" s="319">
        <v>39.718965517356992</v>
      </c>
      <c r="F315">
        <v>34.108963815728202</v>
      </c>
      <c r="G315">
        <v>0</v>
      </c>
      <c r="H315">
        <v>0</v>
      </c>
      <c r="I315">
        <v>0</v>
      </c>
    </row>
    <row r="316" spans="1:9" ht="15.75" customHeight="1" x14ac:dyDescent="0.25">
      <c r="A316" s="239" t="s">
        <v>654</v>
      </c>
      <c r="B316" s="241">
        <v>46247</v>
      </c>
      <c r="C316" s="246">
        <v>0.16666666666666666</v>
      </c>
      <c r="D316" s="246">
        <v>0.20833333333333334</v>
      </c>
      <c r="E316" s="319">
        <v>42.012500000186265</v>
      </c>
      <c r="F316">
        <v>43.329687500023283</v>
      </c>
      <c r="G316">
        <v>0</v>
      </c>
      <c r="H316">
        <v>0</v>
      </c>
      <c r="I316">
        <v>0</v>
      </c>
    </row>
    <row r="317" spans="1:9" ht="15.75" customHeight="1" x14ac:dyDescent="0.25">
      <c r="A317" s="239" t="s">
        <v>655</v>
      </c>
      <c r="B317" s="241">
        <v>46247</v>
      </c>
      <c r="C317" s="246">
        <v>0.20833333333333334</v>
      </c>
      <c r="D317" s="246">
        <v>0.25</v>
      </c>
      <c r="E317" s="319">
        <v>42.154166666790843</v>
      </c>
      <c r="F317">
        <v>34.326562499976717</v>
      </c>
      <c r="G317">
        <v>0</v>
      </c>
      <c r="H317">
        <v>0</v>
      </c>
      <c r="I317">
        <v>0</v>
      </c>
    </row>
    <row r="318" spans="1:9" ht="15.75" customHeight="1" x14ac:dyDescent="0.25">
      <c r="A318" s="239" t="s">
        <v>656</v>
      </c>
      <c r="B318" s="241">
        <v>46248</v>
      </c>
      <c r="C318" s="246">
        <v>0.25</v>
      </c>
      <c r="D318" s="246">
        <v>0.29166666666666669</v>
      </c>
      <c r="E318" s="319">
        <v>74.225706214550883</v>
      </c>
      <c r="F318">
        <v>14.162417763262056</v>
      </c>
      <c r="G318">
        <v>0</v>
      </c>
      <c r="H318">
        <v>0</v>
      </c>
      <c r="I318">
        <v>0</v>
      </c>
    </row>
    <row r="319" spans="1:9" ht="15.75" customHeight="1" x14ac:dyDescent="0.25">
      <c r="A319" s="239" t="s">
        <v>657</v>
      </c>
      <c r="B319" s="241">
        <v>46248</v>
      </c>
      <c r="C319" s="246">
        <v>0.29166666666666669</v>
      </c>
      <c r="D319" s="246">
        <v>0.33333333333333331</v>
      </c>
      <c r="E319" s="319">
        <v>92.657627118751407</v>
      </c>
      <c r="F319">
        <v>11.776484480244108</v>
      </c>
      <c r="G319">
        <v>0</v>
      </c>
      <c r="H319">
        <v>0</v>
      </c>
      <c r="I319">
        <v>0</v>
      </c>
    </row>
    <row r="320" spans="1:9" ht="15.75" customHeight="1" x14ac:dyDescent="0.25">
      <c r="A320" s="239" t="s">
        <v>658</v>
      </c>
      <c r="B320" s="241">
        <v>46248</v>
      </c>
      <c r="C320" s="246">
        <v>0.33333333333333331</v>
      </c>
      <c r="D320" s="246">
        <v>0.375</v>
      </c>
      <c r="E320" s="319">
        <v>103.56666666641831</v>
      </c>
      <c r="F320">
        <v>9.1470352564938366</v>
      </c>
      <c r="G320">
        <v>0</v>
      </c>
      <c r="H320">
        <v>0</v>
      </c>
      <c r="I320">
        <v>0</v>
      </c>
    </row>
    <row r="321" spans="1:9" ht="15.75" customHeight="1" x14ac:dyDescent="0.25">
      <c r="A321" s="239" t="s">
        <v>659</v>
      </c>
      <c r="B321" s="241">
        <v>46248</v>
      </c>
      <c r="C321" s="246">
        <v>0.375</v>
      </c>
      <c r="D321" s="246">
        <v>0.41666666666666669</v>
      </c>
      <c r="E321" s="319">
        <v>122.54999999981374</v>
      </c>
      <c r="F321">
        <v>10.206249999930151</v>
      </c>
      <c r="G321">
        <v>0</v>
      </c>
      <c r="H321">
        <v>0</v>
      </c>
      <c r="I321">
        <v>0</v>
      </c>
    </row>
    <row r="322" spans="1:9" ht="15.75" customHeight="1" x14ac:dyDescent="0.25">
      <c r="A322" s="239" t="s">
        <v>660</v>
      </c>
      <c r="B322" s="241">
        <v>46248</v>
      </c>
      <c r="C322" s="246">
        <v>0.41666666666666669</v>
      </c>
      <c r="D322" s="246">
        <v>0.45833333333333331</v>
      </c>
      <c r="E322" s="319">
        <v>125.23251366149634</v>
      </c>
      <c r="F322">
        <v>8.7093750000931323</v>
      </c>
      <c r="G322">
        <v>0</v>
      </c>
      <c r="H322">
        <v>0</v>
      </c>
      <c r="I322">
        <v>0</v>
      </c>
    </row>
    <row r="323" spans="1:9" ht="15.75" customHeight="1" x14ac:dyDescent="0.25">
      <c r="A323" s="239" t="s">
        <v>661</v>
      </c>
      <c r="B323" s="241">
        <v>46248</v>
      </c>
      <c r="C323" s="246">
        <v>0.45833333333333331</v>
      </c>
      <c r="D323" s="246">
        <v>0.5</v>
      </c>
      <c r="E323" s="319">
        <v>129.58831967227161</v>
      </c>
      <c r="F323">
        <v>9.5812500000465661</v>
      </c>
      <c r="G323">
        <v>0</v>
      </c>
      <c r="H323">
        <v>0</v>
      </c>
      <c r="I323">
        <v>1.595703125</v>
      </c>
    </row>
    <row r="324" spans="1:9" ht="15.75" customHeight="1" x14ac:dyDescent="0.25">
      <c r="A324" s="239" t="s">
        <v>662</v>
      </c>
      <c r="B324" s="241">
        <v>46248</v>
      </c>
      <c r="C324" s="246">
        <v>0.5</v>
      </c>
      <c r="D324" s="246">
        <v>0.54166666666666663</v>
      </c>
      <c r="E324" s="319">
        <v>116.26666666660458</v>
      </c>
      <c r="F324">
        <v>10.787499999860302</v>
      </c>
      <c r="G324">
        <v>0</v>
      </c>
      <c r="H324">
        <v>0</v>
      </c>
      <c r="I324">
        <v>0</v>
      </c>
    </row>
    <row r="325" spans="1:9" ht="15.75" customHeight="1" x14ac:dyDescent="0.25">
      <c r="A325" s="239" t="s">
        <v>663</v>
      </c>
      <c r="B325" s="241">
        <v>46248</v>
      </c>
      <c r="C325" s="246">
        <v>0.54166666666666663</v>
      </c>
      <c r="D325" s="246">
        <v>0.58333333333333337</v>
      </c>
      <c r="E325" s="319">
        <v>113.12042349716648</v>
      </c>
      <c r="F325">
        <v>12.184756097616628</v>
      </c>
      <c r="G325">
        <v>0</v>
      </c>
      <c r="H325">
        <v>0</v>
      </c>
      <c r="I325">
        <v>0</v>
      </c>
    </row>
    <row r="326" spans="1:9" ht="15.75" customHeight="1" x14ac:dyDescent="0.25">
      <c r="A326" s="239" t="s">
        <v>664</v>
      </c>
      <c r="B326" s="241">
        <v>46248</v>
      </c>
      <c r="C326" s="246">
        <v>0.58333333333333337</v>
      </c>
      <c r="D326" s="246">
        <v>0.625</v>
      </c>
      <c r="E326" s="319">
        <v>120.27459016395733</v>
      </c>
      <c r="F326">
        <v>19.882621951284818</v>
      </c>
      <c r="G326">
        <v>0</v>
      </c>
      <c r="H326">
        <v>0</v>
      </c>
      <c r="I326">
        <v>0</v>
      </c>
    </row>
    <row r="327" spans="1:9" ht="15.75" customHeight="1" x14ac:dyDescent="0.25">
      <c r="A327" s="239" t="s">
        <v>665</v>
      </c>
      <c r="B327" s="241">
        <v>46248</v>
      </c>
      <c r="C327" s="246">
        <v>0.625</v>
      </c>
      <c r="D327" s="246">
        <v>0.66666666666666663</v>
      </c>
      <c r="E327" s="319">
        <v>124.10081967199221</v>
      </c>
      <c r="F327">
        <v>18.695121951168403</v>
      </c>
      <c r="G327">
        <v>0</v>
      </c>
      <c r="H327">
        <v>0</v>
      </c>
      <c r="I327">
        <v>0</v>
      </c>
    </row>
    <row r="328" spans="1:9" ht="15.75" customHeight="1" x14ac:dyDescent="0.25">
      <c r="A328" s="239" t="s">
        <v>666</v>
      </c>
      <c r="B328" s="241">
        <v>46248</v>
      </c>
      <c r="C328" s="246">
        <v>0.66666666666666663</v>
      </c>
      <c r="D328" s="246">
        <v>0.70833333333333337</v>
      </c>
      <c r="E328" s="319">
        <v>114.49166666669771</v>
      </c>
      <c r="F328">
        <v>19.668749999953434</v>
      </c>
      <c r="G328">
        <v>0</v>
      </c>
      <c r="H328">
        <v>0</v>
      </c>
      <c r="I328">
        <v>0</v>
      </c>
    </row>
    <row r="329" spans="1:9" ht="15.75" customHeight="1" x14ac:dyDescent="0.25">
      <c r="A329" s="239" t="s">
        <v>667</v>
      </c>
      <c r="B329" s="241">
        <v>46248</v>
      </c>
      <c r="C329" s="246">
        <v>0.70833333333333337</v>
      </c>
      <c r="D329" s="246">
        <v>0.75</v>
      </c>
      <c r="E329" s="319">
        <v>104.70259562833235</v>
      </c>
      <c r="F329">
        <v>17.651562500046566</v>
      </c>
      <c r="G329">
        <v>0</v>
      </c>
      <c r="H329">
        <v>0</v>
      </c>
      <c r="I329">
        <v>0</v>
      </c>
    </row>
    <row r="330" spans="1:9" ht="15.75" customHeight="1" x14ac:dyDescent="0.25">
      <c r="A330" s="239" t="s">
        <v>668</v>
      </c>
      <c r="B330" s="241">
        <v>46248</v>
      </c>
      <c r="C330" s="246">
        <v>0.75</v>
      </c>
      <c r="D330" s="246">
        <v>0.79166666666666663</v>
      </c>
      <c r="E330" s="319">
        <v>88.555737704969943</v>
      </c>
      <c r="F330">
        <v>16.703125</v>
      </c>
      <c r="G330">
        <v>0</v>
      </c>
      <c r="H330">
        <v>0</v>
      </c>
      <c r="I330">
        <v>0</v>
      </c>
    </row>
    <row r="331" spans="1:9" ht="15.75" customHeight="1" x14ac:dyDescent="0.25">
      <c r="A331" s="239" t="s">
        <v>669</v>
      </c>
      <c r="B331" s="241">
        <v>46248</v>
      </c>
      <c r="C331" s="246">
        <v>0.79166666666666663</v>
      </c>
      <c r="D331" s="246">
        <v>0.83333333333333337</v>
      </c>
      <c r="E331" s="319">
        <v>75.800000000279397</v>
      </c>
      <c r="F331">
        <v>18.1953125</v>
      </c>
      <c r="G331">
        <v>0</v>
      </c>
      <c r="H331">
        <v>0</v>
      </c>
      <c r="I331">
        <v>0</v>
      </c>
    </row>
    <row r="332" spans="1:9" ht="15.75" customHeight="1" x14ac:dyDescent="0.25">
      <c r="A332" s="239" t="s">
        <v>670</v>
      </c>
      <c r="B332" s="241">
        <v>46248</v>
      </c>
      <c r="C332" s="246">
        <v>0.83333333333333337</v>
      </c>
      <c r="D332" s="246">
        <v>0.875</v>
      </c>
      <c r="E332" s="319">
        <v>60.412903225515038</v>
      </c>
      <c r="F332">
        <v>25.4140625</v>
      </c>
      <c r="G332">
        <v>0</v>
      </c>
      <c r="H332">
        <v>0</v>
      </c>
      <c r="I332">
        <v>0</v>
      </c>
    </row>
    <row r="333" spans="1:9" ht="15.75" customHeight="1" x14ac:dyDescent="0.25">
      <c r="A333" s="239" t="s">
        <v>671</v>
      </c>
      <c r="B333" s="241">
        <v>46248</v>
      </c>
      <c r="C333" s="246">
        <v>0.875</v>
      </c>
      <c r="D333" s="246">
        <v>0.91666666666666663</v>
      </c>
      <c r="E333" s="319">
        <v>48.912096774205565</v>
      </c>
      <c r="F333">
        <v>20.135937500046566</v>
      </c>
      <c r="G333">
        <v>0</v>
      </c>
      <c r="H333">
        <v>0</v>
      </c>
      <c r="I333">
        <v>0</v>
      </c>
    </row>
    <row r="334" spans="1:9" ht="15.75" customHeight="1" x14ac:dyDescent="0.25">
      <c r="A334" s="239" t="s">
        <v>672</v>
      </c>
      <c r="B334" s="241">
        <v>46248</v>
      </c>
      <c r="C334" s="246">
        <v>0.91666666666666663</v>
      </c>
      <c r="D334" s="246">
        <v>0.95833333333333337</v>
      </c>
      <c r="E334" s="319">
        <v>44.9375</v>
      </c>
      <c r="F334">
        <v>29.880288461456075</v>
      </c>
      <c r="G334">
        <v>0</v>
      </c>
      <c r="H334">
        <v>0</v>
      </c>
      <c r="I334">
        <v>0</v>
      </c>
    </row>
    <row r="335" spans="1:9" ht="15.75" customHeight="1" x14ac:dyDescent="0.25">
      <c r="A335" s="239" t="s">
        <v>673</v>
      </c>
      <c r="B335" s="241">
        <v>46248</v>
      </c>
      <c r="C335" s="246">
        <v>0.95833333333333337</v>
      </c>
      <c r="D335" s="246">
        <v>0</v>
      </c>
      <c r="E335" s="319">
        <v>43.948516949079931</v>
      </c>
      <c r="F335">
        <v>28.804086538497359</v>
      </c>
      <c r="G335">
        <v>0</v>
      </c>
      <c r="H335">
        <v>0</v>
      </c>
      <c r="I335">
        <v>0</v>
      </c>
    </row>
    <row r="336" spans="1:9" ht="15.75" customHeight="1" x14ac:dyDescent="0.25">
      <c r="A336" s="239" t="s">
        <v>674</v>
      </c>
      <c r="B336" s="241">
        <v>46248</v>
      </c>
      <c r="C336" s="246">
        <v>0</v>
      </c>
      <c r="D336" s="246">
        <v>4.1666666666666664E-2</v>
      </c>
      <c r="E336" s="319">
        <v>41.530649717897177</v>
      </c>
      <c r="F336">
        <v>25.887499999953434</v>
      </c>
      <c r="G336">
        <v>0</v>
      </c>
      <c r="H336">
        <v>0</v>
      </c>
      <c r="I336">
        <v>0</v>
      </c>
    </row>
    <row r="337" spans="1:9" ht="15.75" customHeight="1" x14ac:dyDescent="0.25">
      <c r="A337" s="239" t="s">
        <v>675</v>
      </c>
      <c r="B337" s="241">
        <v>46248</v>
      </c>
      <c r="C337" s="246">
        <v>4.1666666666666664E-2</v>
      </c>
      <c r="D337" s="246">
        <v>8.3333333333333329E-2</v>
      </c>
      <c r="E337" s="319">
        <v>41.208333333022892</v>
      </c>
      <c r="F337">
        <v>24.689062500023283</v>
      </c>
      <c r="G337">
        <v>0</v>
      </c>
      <c r="H337">
        <v>0</v>
      </c>
      <c r="I337">
        <v>0</v>
      </c>
    </row>
    <row r="338" spans="1:9" ht="15.75" customHeight="1" x14ac:dyDescent="0.25">
      <c r="A338" s="239" t="s">
        <v>676</v>
      </c>
      <c r="B338" s="241">
        <v>46248</v>
      </c>
      <c r="C338" s="246">
        <v>8.3333333333333329E-2</v>
      </c>
      <c r="D338" s="246">
        <v>0.125</v>
      </c>
      <c r="E338" s="319">
        <v>40.887500000186265</v>
      </c>
      <c r="F338">
        <v>18.64866615855135</v>
      </c>
      <c r="G338">
        <v>0</v>
      </c>
      <c r="H338">
        <v>0</v>
      </c>
      <c r="I338">
        <v>0</v>
      </c>
    </row>
    <row r="339" spans="1:9" ht="15.75" customHeight="1" x14ac:dyDescent="0.25">
      <c r="A339" s="239" t="s">
        <v>677</v>
      </c>
      <c r="B339" s="241">
        <v>46248</v>
      </c>
      <c r="C339" s="246">
        <v>0.125</v>
      </c>
      <c r="D339" s="246">
        <v>0.16666666666666666</v>
      </c>
      <c r="E339" s="319">
        <v>41.4375</v>
      </c>
      <c r="F339">
        <v>32.047607879969291</v>
      </c>
      <c r="G339">
        <v>0</v>
      </c>
      <c r="H339">
        <v>0</v>
      </c>
      <c r="I339">
        <v>0</v>
      </c>
    </row>
    <row r="340" spans="1:9" ht="15.75" customHeight="1" x14ac:dyDescent="0.25">
      <c r="A340" s="239" t="s">
        <v>678</v>
      </c>
      <c r="B340" s="241">
        <v>46248</v>
      </c>
      <c r="C340" s="246">
        <v>0.16666666666666666</v>
      </c>
      <c r="D340" s="246">
        <v>0.20833333333333334</v>
      </c>
      <c r="E340" s="319">
        <v>40.291129032149911</v>
      </c>
      <c r="F340">
        <v>31.342788461479358</v>
      </c>
      <c r="G340">
        <v>0</v>
      </c>
      <c r="H340">
        <v>0</v>
      </c>
      <c r="I340">
        <v>0</v>
      </c>
    </row>
    <row r="341" spans="1:9" ht="15.75" customHeight="1" x14ac:dyDescent="0.25">
      <c r="A341" s="239" t="s">
        <v>679</v>
      </c>
      <c r="B341" s="241">
        <v>46248</v>
      </c>
      <c r="C341" s="246">
        <v>0.20833333333333334</v>
      </c>
      <c r="D341" s="246">
        <v>0.25</v>
      </c>
      <c r="E341" s="319">
        <v>40.7005376345478</v>
      </c>
      <c r="F341">
        <v>17.019664634135552</v>
      </c>
      <c r="G341">
        <v>0</v>
      </c>
      <c r="H341">
        <v>0</v>
      </c>
      <c r="I341">
        <v>0</v>
      </c>
    </row>
    <row r="342" spans="1:9" ht="15.75" customHeight="1" x14ac:dyDescent="0.25">
      <c r="A342" s="239" t="s">
        <v>680</v>
      </c>
      <c r="B342" s="241">
        <v>46249</v>
      </c>
      <c r="C342" s="246">
        <v>0.25</v>
      </c>
      <c r="D342" s="246">
        <v>0.29166666666666669</v>
      </c>
      <c r="E342" s="319">
        <v>41.578415300231427</v>
      </c>
      <c r="F342">
        <v>4.1615853658877313</v>
      </c>
      <c r="G342">
        <v>0</v>
      </c>
      <c r="H342">
        <v>0</v>
      </c>
      <c r="I342">
        <v>0</v>
      </c>
    </row>
    <row r="343" spans="1:9" ht="15.75" customHeight="1" x14ac:dyDescent="0.25">
      <c r="A343" s="239" t="s">
        <v>681</v>
      </c>
      <c r="B343" s="241">
        <v>46249</v>
      </c>
      <c r="C343" s="246">
        <v>0.29166666666666669</v>
      </c>
      <c r="D343" s="246">
        <v>0.33333333333333331</v>
      </c>
      <c r="E343" s="319">
        <v>60.016393442638218</v>
      </c>
      <c r="F343">
        <v>3.0437499999534339</v>
      </c>
      <c r="G343">
        <v>0</v>
      </c>
      <c r="H343">
        <v>0</v>
      </c>
      <c r="I343">
        <v>0</v>
      </c>
    </row>
    <row r="344" spans="1:9" ht="15.75" customHeight="1" x14ac:dyDescent="0.25">
      <c r="A344" s="239" t="s">
        <v>682</v>
      </c>
      <c r="B344" s="241">
        <v>46249</v>
      </c>
      <c r="C344" s="246">
        <v>0.33333333333333331</v>
      </c>
      <c r="D344" s="246">
        <v>0.375</v>
      </c>
      <c r="E344" s="319">
        <v>50.34836065582931</v>
      </c>
      <c r="F344">
        <v>2.4562500000465661</v>
      </c>
      <c r="G344">
        <v>0</v>
      </c>
      <c r="H344">
        <v>0</v>
      </c>
      <c r="I344">
        <v>0</v>
      </c>
    </row>
    <row r="345" spans="1:9" ht="15.75" customHeight="1" x14ac:dyDescent="0.25">
      <c r="A345" s="239" t="s">
        <v>683</v>
      </c>
      <c r="B345" s="241">
        <v>46249</v>
      </c>
      <c r="C345" s="246">
        <v>0.375</v>
      </c>
      <c r="D345" s="246">
        <v>0.41666666666666669</v>
      </c>
      <c r="E345" s="319">
        <v>47.440163934603333</v>
      </c>
      <c r="F345">
        <v>2.6890243901871145</v>
      </c>
      <c r="G345">
        <v>0</v>
      </c>
      <c r="H345">
        <v>0</v>
      </c>
      <c r="I345">
        <v>0</v>
      </c>
    </row>
    <row r="346" spans="1:9" ht="15.75" customHeight="1" x14ac:dyDescent="0.25">
      <c r="A346" s="239" t="s">
        <v>684</v>
      </c>
      <c r="B346" s="241">
        <v>46249</v>
      </c>
      <c r="C346" s="246">
        <v>0.41666666666666669</v>
      </c>
      <c r="D346" s="246">
        <v>0.45833333333333331</v>
      </c>
      <c r="E346" s="319">
        <v>41.199180327821523</v>
      </c>
      <c r="F346">
        <v>2.9781631098594517</v>
      </c>
      <c r="G346">
        <v>0</v>
      </c>
      <c r="H346">
        <v>0</v>
      </c>
      <c r="I346">
        <v>0</v>
      </c>
    </row>
    <row r="347" spans="1:9" ht="15.75" customHeight="1" x14ac:dyDescent="0.25">
      <c r="A347" s="239" t="s">
        <v>685</v>
      </c>
      <c r="B347" s="241">
        <v>46249</v>
      </c>
      <c r="C347" s="246">
        <v>0.45833333333333331</v>
      </c>
      <c r="D347" s="246">
        <v>0.5</v>
      </c>
      <c r="E347" s="319">
        <v>42.18831967189908</v>
      </c>
      <c r="F347">
        <v>3.2703124999534339</v>
      </c>
      <c r="G347">
        <v>0</v>
      </c>
      <c r="H347">
        <v>0</v>
      </c>
      <c r="I347">
        <v>0</v>
      </c>
    </row>
    <row r="348" spans="1:9" ht="15.75" customHeight="1" x14ac:dyDescent="0.25">
      <c r="A348" s="239" t="s">
        <v>686</v>
      </c>
      <c r="B348" s="241">
        <v>46249</v>
      </c>
      <c r="C348" s="246">
        <v>0.5</v>
      </c>
      <c r="D348" s="246">
        <v>0.54166666666666663</v>
      </c>
      <c r="E348" s="319">
        <v>44.537500000093132</v>
      </c>
      <c r="F348">
        <v>3.375</v>
      </c>
      <c r="G348">
        <v>0</v>
      </c>
      <c r="H348">
        <v>0</v>
      </c>
      <c r="I348">
        <v>0</v>
      </c>
    </row>
    <row r="349" spans="1:9" ht="15.75" customHeight="1" x14ac:dyDescent="0.25">
      <c r="A349" s="239" t="s">
        <v>687</v>
      </c>
      <c r="B349" s="241">
        <v>46249</v>
      </c>
      <c r="C349" s="246">
        <v>0.54166666666666663</v>
      </c>
      <c r="D349" s="246">
        <v>0.58333333333333337</v>
      </c>
      <c r="E349" s="319">
        <v>38.541666666977108</v>
      </c>
      <c r="F349">
        <v>3.3546875000465661</v>
      </c>
      <c r="G349">
        <v>0</v>
      </c>
      <c r="H349">
        <v>0</v>
      </c>
      <c r="I349">
        <v>0</v>
      </c>
    </row>
    <row r="350" spans="1:9" ht="15.75" customHeight="1" x14ac:dyDescent="0.25">
      <c r="A350" s="239" t="s">
        <v>688</v>
      </c>
      <c r="B350" s="241">
        <v>46249</v>
      </c>
      <c r="C350" s="246">
        <v>0.58333333333333337</v>
      </c>
      <c r="D350" s="246">
        <v>0.625</v>
      </c>
      <c r="E350" s="319">
        <v>37.208333333022892</v>
      </c>
      <c r="F350">
        <v>3.8546874999301508</v>
      </c>
      <c r="G350">
        <v>0</v>
      </c>
      <c r="H350">
        <v>0</v>
      </c>
      <c r="I350">
        <v>0</v>
      </c>
    </row>
    <row r="351" spans="1:9" ht="15.75" customHeight="1" x14ac:dyDescent="0.25">
      <c r="A351" s="239" t="s">
        <v>689</v>
      </c>
      <c r="B351" s="241">
        <v>46249</v>
      </c>
      <c r="C351" s="246">
        <v>0.625</v>
      </c>
      <c r="D351" s="246">
        <v>0.66666666666666663</v>
      </c>
      <c r="E351" s="319">
        <v>38.587499999906868</v>
      </c>
      <c r="F351">
        <v>3.8546493902103975</v>
      </c>
      <c r="G351">
        <v>0</v>
      </c>
      <c r="H351">
        <v>0</v>
      </c>
      <c r="I351">
        <v>0</v>
      </c>
    </row>
    <row r="352" spans="1:9" ht="15.75" customHeight="1" x14ac:dyDescent="0.25">
      <c r="A352" s="239" t="s">
        <v>690</v>
      </c>
      <c r="B352" s="241">
        <v>46249</v>
      </c>
      <c r="C352" s="246">
        <v>0.66666666666666663</v>
      </c>
      <c r="D352" s="246">
        <v>0.70833333333333337</v>
      </c>
      <c r="E352" s="319">
        <v>40.595833333674818</v>
      </c>
      <c r="F352">
        <v>3.6661585366819054</v>
      </c>
      <c r="G352">
        <v>0</v>
      </c>
      <c r="H352">
        <v>0</v>
      </c>
      <c r="I352">
        <v>0</v>
      </c>
    </row>
    <row r="353" spans="1:9" ht="15.75" customHeight="1" x14ac:dyDescent="0.25">
      <c r="A353" s="239" t="s">
        <v>691</v>
      </c>
      <c r="B353" s="241">
        <v>46249</v>
      </c>
      <c r="C353" s="246">
        <v>0.70833333333333337</v>
      </c>
      <c r="D353" s="246">
        <v>0.75</v>
      </c>
      <c r="E353" s="319">
        <v>42.713797814212739</v>
      </c>
      <c r="F353">
        <v>3.2698170731309801</v>
      </c>
      <c r="G353">
        <v>0</v>
      </c>
      <c r="H353">
        <v>0</v>
      </c>
      <c r="I353">
        <v>0</v>
      </c>
    </row>
    <row r="354" spans="1:9" ht="15.75" customHeight="1" x14ac:dyDescent="0.25">
      <c r="A354" s="239" t="s">
        <v>692</v>
      </c>
      <c r="B354" s="241">
        <v>46249</v>
      </c>
      <c r="C354" s="246">
        <v>0.75</v>
      </c>
      <c r="D354" s="246">
        <v>0.79166666666666663</v>
      </c>
      <c r="E354" s="319">
        <v>42.777868852484971</v>
      </c>
      <c r="F354">
        <v>4.0656250000465661</v>
      </c>
      <c r="G354">
        <v>0</v>
      </c>
      <c r="H354">
        <v>0</v>
      </c>
      <c r="I354">
        <v>0</v>
      </c>
    </row>
    <row r="355" spans="1:9" ht="15.75" customHeight="1" x14ac:dyDescent="0.25">
      <c r="A355" s="239" t="s">
        <v>693</v>
      </c>
      <c r="B355" s="241">
        <v>46249</v>
      </c>
      <c r="C355" s="246">
        <v>0.79166666666666663</v>
      </c>
      <c r="D355" s="246">
        <v>0.83333333333333337</v>
      </c>
      <c r="E355" s="319">
        <v>45.993548386730254</v>
      </c>
      <c r="F355">
        <v>5.5421874999301508</v>
      </c>
      <c r="G355">
        <v>0</v>
      </c>
      <c r="H355">
        <v>0</v>
      </c>
      <c r="I355">
        <v>0</v>
      </c>
    </row>
    <row r="356" spans="1:9" ht="15.75" customHeight="1" x14ac:dyDescent="0.25">
      <c r="A356" s="239" t="s">
        <v>694</v>
      </c>
      <c r="B356" s="241">
        <v>46249</v>
      </c>
      <c r="C356" s="246">
        <v>0.83333333333333337</v>
      </c>
      <c r="D356" s="246">
        <v>0.875</v>
      </c>
      <c r="E356" s="319">
        <v>53.39395161299035</v>
      </c>
      <c r="F356">
        <v>5.7296875000465661</v>
      </c>
      <c r="G356">
        <v>0</v>
      </c>
      <c r="H356">
        <v>0</v>
      </c>
      <c r="I356">
        <v>0</v>
      </c>
    </row>
    <row r="357" spans="1:9" ht="15.75" customHeight="1" x14ac:dyDescent="0.25">
      <c r="A357" s="239" t="s">
        <v>695</v>
      </c>
      <c r="B357" s="241">
        <v>46249</v>
      </c>
      <c r="C357" s="246">
        <v>0.875</v>
      </c>
      <c r="D357" s="246">
        <v>0.91666666666666663</v>
      </c>
      <c r="E357" s="319">
        <v>49.6875</v>
      </c>
      <c r="F357">
        <v>5.1031250000232831</v>
      </c>
      <c r="G357">
        <v>0</v>
      </c>
      <c r="H357">
        <v>0</v>
      </c>
      <c r="I357">
        <v>0</v>
      </c>
    </row>
    <row r="358" spans="1:9" ht="15.75" customHeight="1" x14ac:dyDescent="0.25">
      <c r="A358" s="239" t="s">
        <v>696</v>
      </c>
      <c r="B358" s="241">
        <v>46249</v>
      </c>
      <c r="C358" s="246">
        <v>0.91666666666666663</v>
      </c>
      <c r="D358" s="246">
        <v>0.95833333333333337</v>
      </c>
      <c r="E358" s="319">
        <v>45.949576271232218</v>
      </c>
      <c r="F358">
        <v>5.1671874999301508</v>
      </c>
      <c r="G358">
        <v>0</v>
      </c>
      <c r="H358">
        <v>0</v>
      </c>
      <c r="I358">
        <v>0</v>
      </c>
    </row>
    <row r="359" spans="1:9" ht="15.75" customHeight="1" x14ac:dyDescent="0.25">
      <c r="A359" s="239" t="s">
        <v>697</v>
      </c>
      <c r="B359" s="241">
        <v>46249</v>
      </c>
      <c r="C359" s="246">
        <v>0.95833333333333337</v>
      </c>
      <c r="D359" s="246">
        <v>0</v>
      </c>
      <c r="E359" s="319">
        <v>45.437923728954047</v>
      </c>
      <c r="F359">
        <v>5.1656250000232831</v>
      </c>
      <c r="G359">
        <v>0</v>
      </c>
      <c r="H359">
        <v>0</v>
      </c>
      <c r="I359">
        <v>0</v>
      </c>
    </row>
    <row r="360" spans="1:9" ht="15.75" customHeight="1" x14ac:dyDescent="0.25">
      <c r="A360" s="239" t="s">
        <v>698</v>
      </c>
      <c r="B360" s="241">
        <v>46249</v>
      </c>
      <c r="C360" s="246">
        <v>0</v>
      </c>
      <c r="D360" s="246">
        <v>4.1666666666666664E-2</v>
      </c>
      <c r="E360" s="319">
        <v>42.487499999813735</v>
      </c>
      <c r="F360">
        <v>5.1046112804906443</v>
      </c>
      <c r="G360">
        <v>0</v>
      </c>
      <c r="H360">
        <v>0</v>
      </c>
      <c r="I360">
        <v>0</v>
      </c>
    </row>
    <row r="361" spans="1:9" ht="15.75" customHeight="1" x14ac:dyDescent="0.25">
      <c r="A361" s="239" t="s">
        <v>699</v>
      </c>
      <c r="B361" s="241">
        <v>46249</v>
      </c>
      <c r="C361" s="246">
        <v>4.1666666666666664E-2</v>
      </c>
      <c r="D361" s="246">
        <v>8.3333333333333329E-2</v>
      </c>
      <c r="E361" s="319">
        <v>41.149999999906868</v>
      </c>
      <c r="F361">
        <v>4.9146341463783756</v>
      </c>
      <c r="G361">
        <v>0</v>
      </c>
      <c r="H361">
        <v>0</v>
      </c>
      <c r="I361">
        <v>0</v>
      </c>
    </row>
    <row r="362" spans="1:9" ht="15.75" customHeight="1" x14ac:dyDescent="0.25">
      <c r="A362" s="239" t="s">
        <v>700</v>
      </c>
      <c r="B362" s="241">
        <v>46249</v>
      </c>
      <c r="C362" s="246">
        <v>8.3333333333333329E-2</v>
      </c>
      <c r="D362" s="246">
        <v>0.125</v>
      </c>
      <c r="E362" s="319">
        <v>40.275000000372529</v>
      </c>
      <c r="F362">
        <v>4.6036585365654901</v>
      </c>
      <c r="G362">
        <v>0</v>
      </c>
      <c r="H362">
        <v>0</v>
      </c>
      <c r="I362">
        <v>0</v>
      </c>
    </row>
    <row r="363" spans="1:9" ht="15.75" customHeight="1" x14ac:dyDescent="0.25">
      <c r="A363" s="239" t="s">
        <v>701</v>
      </c>
      <c r="B363" s="241">
        <v>46249</v>
      </c>
      <c r="C363" s="246">
        <v>0.125</v>
      </c>
      <c r="D363" s="246">
        <v>0.16666666666666666</v>
      </c>
      <c r="E363" s="319">
        <v>41.458333333022892</v>
      </c>
      <c r="F363">
        <v>4.5411585365654901</v>
      </c>
      <c r="G363">
        <v>0</v>
      </c>
      <c r="H363">
        <v>0</v>
      </c>
      <c r="I363">
        <v>0</v>
      </c>
    </row>
    <row r="364" spans="1:9" ht="15.75" customHeight="1" x14ac:dyDescent="0.25">
      <c r="A364" s="239" t="s">
        <v>702</v>
      </c>
      <c r="B364" s="241">
        <v>46249</v>
      </c>
      <c r="C364" s="246">
        <v>0.16666666666666666</v>
      </c>
      <c r="D364" s="246">
        <v>0.20833333333333334</v>
      </c>
      <c r="E364" s="319">
        <v>43.079166666604578</v>
      </c>
      <c r="F364">
        <v>4.6021341462619603</v>
      </c>
      <c r="G364">
        <v>0</v>
      </c>
      <c r="H364">
        <v>0</v>
      </c>
      <c r="I364">
        <v>0</v>
      </c>
    </row>
    <row r="365" spans="1:9" ht="15.75" customHeight="1" x14ac:dyDescent="0.25">
      <c r="A365" s="239" t="s">
        <v>703</v>
      </c>
      <c r="B365" s="241">
        <v>46249</v>
      </c>
      <c r="C365" s="246">
        <v>0.20833333333333334</v>
      </c>
      <c r="D365" s="246">
        <v>0.25</v>
      </c>
      <c r="E365" s="319">
        <v>42.1875</v>
      </c>
      <c r="F365">
        <v>4.2267349013127387</v>
      </c>
      <c r="G365">
        <v>0</v>
      </c>
      <c r="H365">
        <v>0</v>
      </c>
      <c r="I365">
        <v>0</v>
      </c>
    </row>
    <row r="366" spans="1:9" ht="15.75" customHeight="1" x14ac:dyDescent="0.25">
      <c r="A366" s="239" t="s">
        <v>704</v>
      </c>
      <c r="B366" s="241">
        <v>46250</v>
      </c>
      <c r="C366" s="246">
        <v>0.25</v>
      </c>
      <c r="D366" s="246">
        <v>0.29166666666666669</v>
      </c>
      <c r="E366" s="319">
        <v>41.858333333395422</v>
      </c>
      <c r="F366">
        <v>11.783935830462724</v>
      </c>
      <c r="G366">
        <v>0</v>
      </c>
      <c r="H366">
        <v>0</v>
      </c>
      <c r="I366">
        <v>0</v>
      </c>
    </row>
    <row r="367" spans="1:9" ht="15.75" customHeight="1" x14ac:dyDescent="0.25">
      <c r="A367" s="239" t="s">
        <v>705</v>
      </c>
      <c r="B367" s="241">
        <v>46250</v>
      </c>
      <c r="C367" s="246">
        <v>0.29166666666666669</v>
      </c>
      <c r="D367" s="246">
        <v>0.33333333333333331</v>
      </c>
      <c r="E367" s="319">
        <v>37.761021505575627</v>
      </c>
      <c r="F367">
        <v>6.3599515322130173</v>
      </c>
      <c r="G367">
        <v>0</v>
      </c>
      <c r="H367">
        <v>0</v>
      </c>
      <c r="I367">
        <v>0</v>
      </c>
    </row>
    <row r="368" spans="1:9" ht="15.75" customHeight="1" x14ac:dyDescent="0.25">
      <c r="A368" s="239" t="s">
        <v>706</v>
      </c>
      <c r="B368" s="241">
        <v>46250</v>
      </c>
      <c r="C368" s="246">
        <v>0.33333333333333331</v>
      </c>
      <c r="D368" s="246">
        <v>0.375</v>
      </c>
      <c r="E368" s="319">
        <v>36.40564516140148</v>
      </c>
      <c r="F368">
        <v>4.9788060897262767</v>
      </c>
      <c r="G368">
        <v>0</v>
      </c>
      <c r="H368">
        <v>0</v>
      </c>
      <c r="I368">
        <v>0</v>
      </c>
    </row>
    <row r="369" spans="1:9" ht="15.75" customHeight="1" x14ac:dyDescent="0.25">
      <c r="A369" s="239" t="s">
        <v>707</v>
      </c>
      <c r="B369" s="241">
        <v>46250</v>
      </c>
      <c r="C369" s="246">
        <v>0.375</v>
      </c>
      <c r="D369" s="246">
        <v>0.41666666666666669</v>
      </c>
      <c r="E369" s="319">
        <v>36.474999999627471</v>
      </c>
      <c r="F369">
        <v>5.2281250000232831</v>
      </c>
      <c r="G369">
        <v>0</v>
      </c>
      <c r="H369">
        <v>0</v>
      </c>
      <c r="I369">
        <v>0</v>
      </c>
    </row>
    <row r="370" spans="1:9" ht="15.75" customHeight="1" x14ac:dyDescent="0.25">
      <c r="A370" s="239" t="s">
        <v>708</v>
      </c>
      <c r="B370" s="241">
        <v>46250</v>
      </c>
      <c r="C370" s="246">
        <v>0.41666666666666669</v>
      </c>
      <c r="D370" s="246">
        <v>0.45833333333333331</v>
      </c>
      <c r="E370" s="319">
        <v>34.950000000186265</v>
      </c>
      <c r="F370">
        <v>8.0109375000465661</v>
      </c>
      <c r="G370">
        <v>0</v>
      </c>
      <c r="H370">
        <v>0</v>
      </c>
      <c r="I370">
        <v>0</v>
      </c>
    </row>
    <row r="371" spans="1:9" ht="15.75" customHeight="1" x14ac:dyDescent="0.25">
      <c r="A371" s="239" t="s">
        <v>709</v>
      </c>
      <c r="B371" s="241">
        <v>46250</v>
      </c>
      <c r="C371" s="246">
        <v>0.45833333333333331</v>
      </c>
      <c r="D371" s="246">
        <v>0.5</v>
      </c>
      <c r="E371" s="319">
        <v>34.708333333488554</v>
      </c>
      <c r="F371">
        <v>7.4968749999534339</v>
      </c>
      <c r="G371">
        <v>0</v>
      </c>
      <c r="H371">
        <v>0</v>
      </c>
      <c r="I371">
        <v>1.6328613281257276</v>
      </c>
    </row>
    <row r="372" spans="1:9" ht="15.75" customHeight="1" x14ac:dyDescent="0.25">
      <c r="A372" s="239" t="s">
        <v>710</v>
      </c>
      <c r="B372" s="241">
        <v>46250</v>
      </c>
      <c r="C372" s="246">
        <v>0.5</v>
      </c>
      <c r="D372" s="246">
        <v>0.54166666666666663</v>
      </c>
      <c r="E372" s="319">
        <v>33.929166666697711</v>
      </c>
      <c r="F372">
        <v>0</v>
      </c>
      <c r="G372">
        <v>0</v>
      </c>
      <c r="H372">
        <v>0</v>
      </c>
      <c r="I372">
        <v>5.778076171875</v>
      </c>
    </row>
    <row r="373" spans="1:9" ht="15.75" customHeight="1" x14ac:dyDescent="0.25">
      <c r="A373" s="239" t="s">
        <v>711</v>
      </c>
      <c r="B373" s="241">
        <v>46250</v>
      </c>
      <c r="C373" s="246">
        <v>0.54166666666666663</v>
      </c>
      <c r="D373" s="246">
        <v>0.58333333333333337</v>
      </c>
      <c r="E373" s="319">
        <v>38.449999999720603</v>
      </c>
      <c r="F373">
        <v>0</v>
      </c>
      <c r="G373">
        <v>0</v>
      </c>
      <c r="H373">
        <v>0</v>
      </c>
      <c r="I373">
        <v>7.5910156249992724</v>
      </c>
    </row>
    <row r="374" spans="1:9" ht="15.75" customHeight="1" x14ac:dyDescent="0.25">
      <c r="A374" s="239" t="s">
        <v>712</v>
      </c>
      <c r="B374" s="241">
        <v>46250</v>
      </c>
      <c r="C374" s="246">
        <v>0.58333333333333337</v>
      </c>
      <c r="D374" s="246">
        <v>0.625</v>
      </c>
      <c r="E374" s="319">
        <v>40.6875</v>
      </c>
      <c r="F374">
        <v>0</v>
      </c>
      <c r="G374">
        <v>0</v>
      </c>
      <c r="H374">
        <v>0</v>
      </c>
      <c r="I374">
        <v>3.8611328125007276</v>
      </c>
    </row>
    <row r="375" spans="1:9" ht="15.75" customHeight="1" x14ac:dyDescent="0.25">
      <c r="A375" s="239" t="s">
        <v>713</v>
      </c>
      <c r="B375" s="241">
        <v>46250</v>
      </c>
      <c r="C375" s="246">
        <v>0.625</v>
      </c>
      <c r="D375" s="246">
        <v>0.66666666666666663</v>
      </c>
      <c r="E375" s="319">
        <v>43.942213114816695</v>
      </c>
      <c r="F375">
        <v>0</v>
      </c>
      <c r="G375">
        <v>0</v>
      </c>
      <c r="H375">
        <v>0</v>
      </c>
      <c r="I375">
        <v>4.5855468749978172</v>
      </c>
    </row>
    <row r="376" spans="1:9" ht="15.75" customHeight="1" x14ac:dyDescent="0.25">
      <c r="A376" s="239" t="s">
        <v>714</v>
      </c>
      <c r="B376" s="241">
        <v>46250</v>
      </c>
      <c r="C376" s="246">
        <v>0.66666666666666663</v>
      </c>
      <c r="D376" s="246">
        <v>0.70833333333333337</v>
      </c>
      <c r="E376" s="319">
        <v>44.349453552160412</v>
      </c>
      <c r="F376">
        <v>0.75</v>
      </c>
      <c r="G376">
        <v>0</v>
      </c>
      <c r="H376">
        <v>0</v>
      </c>
      <c r="I376">
        <v>5.0552734375014552</v>
      </c>
    </row>
    <row r="377" spans="1:9" ht="15.75" customHeight="1" x14ac:dyDescent="0.25">
      <c r="A377" s="239" t="s">
        <v>715</v>
      </c>
      <c r="B377" s="241">
        <v>46250</v>
      </c>
      <c r="C377" s="246">
        <v>0.70833333333333337</v>
      </c>
      <c r="D377" s="246">
        <v>0.75</v>
      </c>
      <c r="E377" s="319">
        <v>44.808333333116025</v>
      </c>
      <c r="F377">
        <v>10.125</v>
      </c>
      <c r="G377">
        <v>0</v>
      </c>
      <c r="H377">
        <v>0</v>
      </c>
      <c r="I377">
        <v>0.17031249999854481</v>
      </c>
    </row>
    <row r="378" spans="1:9" ht="15.75" customHeight="1" x14ac:dyDescent="0.25">
      <c r="A378" s="239" t="s">
        <v>716</v>
      </c>
      <c r="B378" s="241">
        <v>46250</v>
      </c>
      <c r="C378" s="246">
        <v>0.75</v>
      </c>
      <c r="D378" s="246">
        <v>0.79166666666666663</v>
      </c>
      <c r="E378" s="319">
        <v>44.950000000186265</v>
      </c>
      <c r="F378">
        <v>12.331250000046566</v>
      </c>
      <c r="G378">
        <v>0</v>
      </c>
      <c r="H378">
        <v>0</v>
      </c>
      <c r="I378">
        <v>0.22617187500145519</v>
      </c>
    </row>
    <row r="379" spans="1:9" ht="15.75" customHeight="1" x14ac:dyDescent="0.25">
      <c r="A379" s="239" t="s">
        <v>717</v>
      </c>
      <c r="B379" s="241">
        <v>46250</v>
      </c>
      <c r="C379" s="246">
        <v>0.79166666666666663</v>
      </c>
      <c r="D379" s="246">
        <v>0.83333333333333337</v>
      </c>
      <c r="E379" s="319">
        <v>49.285655737388879</v>
      </c>
      <c r="F379">
        <v>16.768749999930151</v>
      </c>
      <c r="G379">
        <v>0</v>
      </c>
      <c r="H379">
        <v>0</v>
      </c>
      <c r="I379">
        <v>0</v>
      </c>
    </row>
    <row r="380" spans="1:9" ht="15.75" customHeight="1" x14ac:dyDescent="0.25">
      <c r="A380" s="239" t="s">
        <v>718</v>
      </c>
      <c r="B380" s="241">
        <v>46250</v>
      </c>
      <c r="C380" s="246">
        <v>0.83333333333333337</v>
      </c>
      <c r="D380" s="246">
        <v>0.875</v>
      </c>
      <c r="E380" s="319">
        <v>46.864344262517989</v>
      </c>
      <c r="F380">
        <v>16.462500000023283</v>
      </c>
      <c r="G380">
        <v>0</v>
      </c>
      <c r="H380">
        <v>0</v>
      </c>
      <c r="I380">
        <v>0</v>
      </c>
    </row>
    <row r="381" spans="1:9" ht="15.75" customHeight="1" x14ac:dyDescent="0.25">
      <c r="A381" s="239" t="s">
        <v>719</v>
      </c>
      <c r="B381" s="241">
        <v>46250</v>
      </c>
      <c r="C381" s="246">
        <v>0.875</v>
      </c>
      <c r="D381" s="246">
        <v>0.91666666666666663</v>
      </c>
      <c r="E381" s="319">
        <v>46.1875</v>
      </c>
      <c r="F381">
        <v>9.7621951219625771</v>
      </c>
      <c r="G381">
        <v>0</v>
      </c>
      <c r="H381">
        <v>0</v>
      </c>
      <c r="I381">
        <v>0</v>
      </c>
    </row>
    <row r="382" spans="1:9" ht="15.75" customHeight="1" x14ac:dyDescent="0.25">
      <c r="A382" s="239" t="s">
        <v>720</v>
      </c>
      <c r="B382" s="241">
        <v>46250</v>
      </c>
      <c r="C382" s="246">
        <v>0.91666666666666663</v>
      </c>
      <c r="D382" s="246">
        <v>0.95833333333333337</v>
      </c>
      <c r="E382" s="319">
        <v>45.237499999813735</v>
      </c>
      <c r="F382">
        <v>4.9253048780374229</v>
      </c>
      <c r="G382">
        <v>0</v>
      </c>
      <c r="H382">
        <v>0</v>
      </c>
      <c r="I382">
        <v>0</v>
      </c>
    </row>
    <row r="383" spans="1:9" ht="15.75" customHeight="1" x14ac:dyDescent="0.25">
      <c r="A383" s="239" t="s">
        <v>721</v>
      </c>
      <c r="B383" s="241">
        <v>46250</v>
      </c>
      <c r="C383" s="246">
        <v>0.95833333333333337</v>
      </c>
      <c r="D383" s="246">
        <v>0</v>
      </c>
      <c r="E383" s="319">
        <v>45.888135593384504</v>
      </c>
      <c r="F383">
        <v>4.9100609755842015</v>
      </c>
      <c r="G383">
        <v>0</v>
      </c>
      <c r="H383">
        <v>0</v>
      </c>
      <c r="I383">
        <v>0</v>
      </c>
    </row>
    <row r="384" spans="1:9" ht="15.75" customHeight="1" x14ac:dyDescent="0.25">
      <c r="A384" s="239" t="s">
        <v>722</v>
      </c>
      <c r="B384" s="241">
        <v>46250</v>
      </c>
      <c r="C384" s="246">
        <v>0</v>
      </c>
      <c r="D384" s="246">
        <v>4.1666666666666664E-2</v>
      </c>
      <c r="E384" s="319">
        <v>44.211864406708628</v>
      </c>
      <c r="F384">
        <v>4.9180640244157985</v>
      </c>
      <c r="G384">
        <v>0</v>
      </c>
      <c r="H384">
        <v>0</v>
      </c>
      <c r="I384">
        <v>0</v>
      </c>
    </row>
    <row r="385" spans="1:9" ht="15.75" customHeight="1" x14ac:dyDescent="0.25">
      <c r="A385" s="239" t="s">
        <v>723</v>
      </c>
      <c r="B385" s="241">
        <v>46250</v>
      </c>
      <c r="C385" s="246">
        <v>4.1666666666666664E-2</v>
      </c>
      <c r="D385" s="246">
        <v>8.3333333333333329E-2</v>
      </c>
      <c r="E385" s="319">
        <v>41.700000000186265</v>
      </c>
      <c r="F385">
        <v>5.2282774390187114</v>
      </c>
      <c r="G385">
        <v>0</v>
      </c>
      <c r="H385">
        <v>0</v>
      </c>
      <c r="I385">
        <v>0</v>
      </c>
    </row>
    <row r="386" spans="1:9" ht="15.75" customHeight="1" x14ac:dyDescent="0.25">
      <c r="A386" s="239" t="s">
        <v>724</v>
      </c>
      <c r="B386" s="241">
        <v>46250</v>
      </c>
      <c r="C386" s="246">
        <v>8.3333333333333329E-2</v>
      </c>
      <c r="D386" s="246">
        <v>0.125</v>
      </c>
      <c r="E386" s="319">
        <v>41.224999999627471</v>
      </c>
      <c r="F386">
        <v>4.7295350609347224</v>
      </c>
      <c r="G386">
        <v>0</v>
      </c>
      <c r="H386">
        <v>0</v>
      </c>
      <c r="I386">
        <v>0</v>
      </c>
    </row>
    <row r="387" spans="1:9" ht="15.75" customHeight="1" x14ac:dyDescent="0.25">
      <c r="A387" s="239" t="s">
        <v>725</v>
      </c>
      <c r="B387" s="241">
        <v>46250</v>
      </c>
      <c r="C387" s="246">
        <v>0.125</v>
      </c>
      <c r="D387" s="246">
        <v>0.16666666666666666</v>
      </c>
      <c r="E387" s="319">
        <v>42.643548387102783</v>
      </c>
      <c r="F387">
        <v>4.5421875000465661</v>
      </c>
      <c r="G387">
        <v>0</v>
      </c>
      <c r="H387">
        <v>0</v>
      </c>
      <c r="I387">
        <v>0</v>
      </c>
    </row>
    <row r="388" spans="1:9" ht="15.75" customHeight="1" x14ac:dyDescent="0.25">
      <c r="A388" s="239" t="s">
        <v>726</v>
      </c>
      <c r="B388" s="241">
        <v>46250</v>
      </c>
      <c r="C388" s="246">
        <v>0.16666666666666666</v>
      </c>
      <c r="D388" s="246">
        <v>0.20833333333333334</v>
      </c>
      <c r="E388" s="319">
        <v>41.281451613176614</v>
      </c>
      <c r="F388">
        <v>4.421875</v>
      </c>
      <c r="G388">
        <v>0</v>
      </c>
      <c r="H388">
        <v>0</v>
      </c>
      <c r="I388">
        <v>0</v>
      </c>
    </row>
    <row r="389" spans="1:9" ht="15.75" customHeight="1" x14ac:dyDescent="0.25">
      <c r="A389" s="239" t="s">
        <v>727</v>
      </c>
      <c r="B389" s="241">
        <v>46250</v>
      </c>
      <c r="C389" s="246">
        <v>0.20833333333333334</v>
      </c>
      <c r="D389" s="246">
        <v>0.25</v>
      </c>
      <c r="E389" s="319">
        <v>43.617213114630431</v>
      </c>
      <c r="F389">
        <v>6.0046874999534339</v>
      </c>
      <c r="G389">
        <v>0</v>
      </c>
      <c r="H389">
        <v>0</v>
      </c>
      <c r="I389">
        <v>0</v>
      </c>
    </row>
    <row r="390" spans="1:9" ht="15.75" customHeight="1" x14ac:dyDescent="0.25">
      <c r="A390" s="239" t="s">
        <v>728</v>
      </c>
      <c r="B390" s="241">
        <v>46251</v>
      </c>
      <c r="C390" s="246">
        <v>0.25</v>
      </c>
      <c r="D390" s="246">
        <v>0.29166666666666669</v>
      </c>
      <c r="E390" s="319">
        <v>69.470286885276437</v>
      </c>
      <c r="F390">
        <v>11.210937500116415</v>
      </c>
      <c r="G390">
        <v>0</v>
      </c>
      <c r="H390">
        <v>0</v>
      </c>
      <c r="I390">
        <v>0</v>
      </c>
    </row>
    <row r="391" spans="1:9" ht="15.75" customHeight="1" x14ac:dyDescent="0.25">
      <c r="A391" s="239" t="s">
        <v>729</v>
      </c>
      <c r="B391" s="241">
        <v>46251</v>
      </c>
      <c r="C391" s="246">
        <v>0.29166666666666669</v>
      </c>
      <c r="D391" s="246">
        <v>0.33333333333333331</v>
      </c>
      <c r="E391" s="319">
        <v>80.751024590339512</v>
      </c>
      <c r="F391">
        <v>13.708155487780459</v>
      </c>
      <c r="G391">
        <v>0</v>
      </c>
      <c r="H391">
        <v>0</v>
      </c>
      <c r="I391">
        <v>0</v>
      </c>
    </row>
    <row r="392" spans="1:9" ht="15.75" customHeight="1" x14ac:dyDescent="0.25">
      <c r="A392" s="239" t="s">
        <v>730</v>
      </c>
      <c r="B392" s="241">
        <v>46251</v>
      </c>
      <c r="C392" s="246">
        <v>0.33333333333333331</v>
      </c>
      <c r="D392" s="246">
        <v>0.375</v>
      </c>
      <c r="E392" s="319">
        <v>86.636475409846753</v>
      </c>
      <c r="F392">
        <v>10.138719512149692</v>
      </c>
      <c r="G392">
        <v>0</v>
      </c>
      <c r="H392">
        <v>0</v>
      </c>
      <c r="I392">
        <v>0</v>
      </c>
    </row>
    <row r="393" spans="1:9" ht="15.75" customHeight="1" x14ac:dyDescent="0.25">
      <c r="A393" s="239" t="s">
        <v>731</v>
      </c>
      <c r="B393" s="241">
        <v>46251</v>
      </c>
      <c r="C393" s="246">
        <v>0.375</v>
      </c>
      <c r="D393" s="246">
        <v>0.41666666666666669</v>
      </c>
      <c r="E393" s="319">
        <v>119.72916666651145</v>
      </c>
      <c r="F393">
        <v>23.00961538462434</v>
      </c>
      <c r="G393">
        <v>0</v>
      </c>
      <c r="H393">
        <v>0</v>
      </c>
      <c r="I393">
        <v>0</v>
      </c>
    </row>
    <row r="394" spans="1:9" ht="15.75" customHeight="1" x14ac:dyDescent="0.25">
      <c r="A394" s="239" t="s">
        <v>732</v>
      </c>
      <c r="B394" s="241">
        <v>46251</v>
      </c>
      <c r="C394" s="246">
        <v>0.41666666666666669</v>
      </c>
      <c r="D394" s="246">
        <v>0.45833333333333331</v>
      </c>
      <c r="E394" s="319">
        <v>117.66250000009313</v>
      </c>
      <c r="F394">
        <v>23.66225961537566</v>
      </c>
      <c r="G394">
        <v>0</v>
      </c>
      <c r="H394">
        <v>0</v>
      </c>
      <c r="I394">
        <v>0</v>
      </c>
    </row>
    <row r="395" spans="1:9" ht="15.75" customHeight="1" x14ac:dyDescent="0.25">
      <c r="A395" s="239" t="s">
        <v>733</v>
      </c>
      <c r="B395" s="241">
        <v>46251</v>
      </c>
      <c r="C395" s="246">
        <v>0.45833333333333331</v>
      </c>
      <c r="D395" s="246">
        <v>0.5</v>
      </c>
      <c r="E395" s="319">
        <v>118.86666666669771</v>
      </c>
      <c r="F395">
        <v>14.525000000023283</v>
      </c>
      <c r="G395">
        <v>0</v>
      </c>
      <c r="H395">
        <v>0</v>
      </c>
      <c r="I395">
        <v>0</v>
      </c>
    </row>
    <row r="396" spans="1:9" ht="15.75" customHeight="1" x14ac:dyDescent="0.25">
      <c r="A396" s="239" t="s">
        <v>734</v>
      </c>
      <c r="B396" s="241">
        <v>46251</v>
      </c>
      <c r="C396" s="246">
        <v>0.5</v>
      </c>
      <c r="D396" s="246">
        <v>0.54166666666666663</v>
      </c>
      <c r="E396" s="319">
        <v>121.79999999981374</v>
      </c>
      <c r="F396">
        <v>13.348437499953434</v>
      </c>
      <c r="G396">
        <v>0</v>
      </c>
      <c r="H396">
        <v>0</v>
      </c>
      <c r="I396">
        <v>0</v>
      </c>
    </row>
    <row r="397" spans="1:9" ht="15.75" customHeight="1" x14ac:dyDescent="0.25">
      <c r="A397" s="239" t="s">
        <v>735</v>
      </c>
      <c r="B397" s="241">
        <v>46251</v>
      </c>
      <c r="C397" s="246">
        <v>0.54166666666666663</v>
      </c>
      <c r="D397" s="246">
        <v>0.58333333333333337</v>
      </c>
      <c r="E397" s="319">
        <v>111.78333333367482</v>
      </c>
      <c r="F397">
        <v>11.253467987873591</v>
      </c>
      <c r="G397">
        <v>0</v>
      </c>
      <c r="H397">
        <v>0</v>
      </c>
      <c r="I397">
        <v>0</v>
      </c>
    </row>
    <row r="398" spans="1:9" ht="15.75" customHeight="1" x14ac:dyDescent="0.25">
      <c r="A398" s="239" t="s">
        <v>736</v>
      </c>
      <c r="B398" s="241">
        <v>46251</v>
      </c>
      <c r="C398" s="246">
        <v>0.58333333333333337</v>
      </c>
      <c r="D398" s="246">
        <v>0.625</v>
      </c>
      <c r="E398" s="319">
        <v>115.79301075218245</v>
      </c>
      <c r="F398">
        <v>12.585594512172975</v>
      </c>
      <c r="G398">
        <v>0</v>
      </c>
      <c r="H398">
        <v>0</v>
      </c>
      <c r="I398">
        <v>0</v>
      </c>
    </row>
    <row r="399" spans="1:9" ht="15.75" customHeight="1" x14ac:dyDescent="0.25">
      <c r="A399" s="239" t="s">
        <v>737</v>
      </c>
      <c r="B399" s="241">
        <v>46251</v>
      </c>
      <c r="C399" s="246">
        <v>0.625</v>
      </c>
      <c r="D399" s="246">
        <v>0.66666666666666663</v>
      </c>
      <c r="E399" s="319">
        <v>112.93439037771896</v>
      </c>
      <c r="F399">
        <v>14.010937499930151</v>
      </c>
      <c r="G399">
        <v>0</v>
      </c>
      <c r="H399">
        <v>0</v>
      </c>
      <c r="I399">
        <v>0</v>
      </c>
    </row>
    <row r="400" spans="1:9" ht="15.75" customHeight="1" x14ac:dyDescent="0.25">
      <c r="A400" s="239" t="s">
        <v>738</v>
      </c>
      <c r="B400" s="241">
        <v>46251</v>
      </c>
      <c r="C400" s="246">
        <v>0.66666666666666663</v>
      </c>
      <c r="D400" s="246">
        <v>0.70833333333333337</v>
      </c>
      <c r="E400" s="319">
        <v>113.07853494305164</v>
      </c>
      <c r="F400">
        <v>21.926562500069849</v>
      </c>
      <c r="G400">
        <v>0</v>
      </c>
      <c r="H400">
        <v>0</v>
      </c>
      <c r="I400">
        <v>0</v>
      </c>
    </row>
    <row r="401" spans="1:9" ht="15.75" customHeight="1" x14ac:dyDescent="0.25">
      <c r="A401" s="239" t="s">
        <v>739</v>
      </c>
      <c r="B401" s="241">
        <v>46251</v>
      </c>
      <c r="C401" s="246">
        <v>0.70833333333333337</v>
      </c>
      <c r="D401" s="246">
        <v>0.75</v>
      </c>
      <c r="E401" s="319">
        <v>100.82739725988358</v>
      </c>
      <c r="F401">
        <v>32.139062499976717</v>
      </c>
      <c r="G401">
        <v>0</v>
      </c>
      <c r="H401">
        <v>0</v>
      </c>
      <c r="I401">
        <v>0</v>
      </c>
    </row>
    <row r="402" spans="1:9" ht="15.75" customHeight="1" x14ac:dyDescent="0.25">
      <c r="A402" s="239" t="s">
        <v>740</v>
      </c>
      <c r="B402" s="241">
        <v>46251</v>
      </c>
      <c r="C402" s="246">
        <v>0.75</v>
      </c>
      <c r="D402" s="246">
        <v>0.79166666666666663</v>
      </c>
      <c r="E402" s="319">
        <v>95.853225806728005</v>
      </c>
      <c r="F402">
        <v>28.2890625</v>
      </c>
      <c r="G402">
        <v>0</v>
      </c>
      <c r="H402">
        <v>0</v>
      </c>
      <c r="I402">
        <v>0</v>
      </c>
    </row>
    <row r="403" spans="1:9" ht="15.75" customHeight="1" x14ac:dyDescent="0.25">
      <c r="A403" s="239" t="s">
        <v>741</v>
      </c>
      <c r="B403" s="241">
        <v>46251</v>
      </c>
      <c r="C403" s="246">
        <v>0.79166666666666663</v>
      </c>
      <c r="D403" s="246">
        <v>0.83333333333333337</v>
      </c>
      <c r="E403" s="319">
        <v>71.246774193365127</v>
      </c>
      <c r="F403">
        <v>28.457812499953434</v>
      </c>
      <c r="G403">
        <v>0</v>
      </c>
      <c r="H403">
        <v>0</v>
      </c>
      <c r="I403">
        <v>0</v>
      </c>
    </row>
    <row r="404" spans="1:9" ht="15.75" customHeight="1" x14ac:dyDescent="0.25">
      <c r="A404" s="239" t="s">
        <v>742</v>
      </c>
      <c r="B404" s="241">
        <v>46251</v>
      </c>
      <c r="C404" s="246">
        <v>0.83333333333333337</v>
      </c>
      <c r="D404" s="246">
        <v>0.875</v>
      </c>
      <c r="E404" s="319">
        <v>52.975000000093132</v>
      </c>
      <c r="F404">
        <v>42.107812500093132</v>
      </c>
      <c r="G404">
        <v>0</v>
      </c>
      <c r="H404">
        <v>0</v>
      </c>
      <c r="I404">
        <v>0</v>
      </c>
    </row>
    <row r="405" spans="1:9" ht="15.75" customHeight="1" x14ac:dyDescent="0.25">
      <c r="A405" s="239" t="s">
        <v>743</v>
      </c>
      <c r="B405" s="241">
        <v>46251</v>
      </c>
      <c r="C405" s="246">
        <v>0.875</v>
      </c>
      <c r="D405" s="246">
        <v>0.91666666666666663</v>
      </c>
      <c r="E405" s="319">
        <v>45.700000000186265</v>
      </c>
      <c r="F405">
        <v>23.828125</v>
      </c>
      <c r="G405">
        <v>0</v>
      </c>
      <c r="H405">
        <v>0</v>
      </c>
      <c r="I405">
        <v>0</v>
      </c>
    </row>
    <row r="406" spans="1:9" ht="15.75" customHeight="1" x14ac:dyDescent="0.25">
      <c r="A406" s="239" t="s">
        <v>744</v>
      </c>
      <c r="B406" s="241">
        <v>46251</v>
      </c>
      <c r="C406" s="246">
        <v>0.91666666666666663</v>
      </c>
      <c r="D406" s="246">
        <v>0.95833333333333337</v>
      </c>
      <c r="E406" s="319">
        <v>44.4375</v>
      </c>
      <c r="F406">
        <v>17.697713414556347</v>
      </c>
      <c r="G406">
        <v>0</v>
      </c>
      <c r="H406">
        <v>0</v>
      </c>
      <c r="I406">
        <v>0</v>
      </c>
    </row>
    <row r="407" spans="1:9" ht="15.75" customHeight="1" x14ac:dyDescent="0.25">
      <c r="A407" s="239" t="s">
        <v>745</v>
      </c>
      <c r="B407" s="241">
        <v>46251</v>
      </c>
      <c r="C407" s="246">
        <v>0.95833333333333337</v>
      </c>
      <c r="D407" s="246">
        <v>0</v>
      </c>
      <c r="E407" s="319">
        <v>44.199999999720603</v>
      </c>
      <c r="F407">
        <v>18.936661585350521</v>
      </c>
      <c r="G407">
        <v>0</v>
      </c>
      <c r="H407">
        <v>0</v>
      </c>
      <c r="I407">
        <v>0</v>
      </c>
    </row>
    <row r="408" spans="1:9" ht="15.75" customHeight="1" x14ac:dyDescent="0.25">
      <c r="A408" s="239" t="s">
        <v>746</v>
      </c>
      <c r="B408" s="241">
        <v>46251</v>
      </c>
      <c r="C408" s="246">
        <v>0</v>
      </c>
      <c r="D408" s="246">
        <v>4.1666666666666664E-2</v>
      </c>
      <c r="E408" s="319">
        <v>44.054166666697711</v>
      </c>
      <c r="F408">
        <v>16.184375000069849</v>
      </c>
      <c r="G408">
        <v>0</v>
      </c>
      <c r="H408">
        <v>0</v>
      </c>
      <c r="I408">
        <v>0</v>
      </c>
    </row>
    <row r="409" spans="1:9" ht="15.75" customHeight="1" x14ac:dyDescent="0.25">
      <c r="A409" s="239" t="s">
        <v>747</v>
      </c>
      <c r="B409" s="241">
        <v>46251</v>
      </c>
      <c r="C409" s="246">
        <v>4.1666666666666664E-2</v>
      </c>
      <c r="D409" s="246">
        <v>8.3333333333333329E-2</v>
      </c>
      <c r="E409" s="319">
        <v>41.333333333488554</v>
      </c>
      <c r="F409">
        <v>17.689062500023283</v>
      </c>
      <c r="G409">
        <v>0</v>
      </c>
      <c r="H409">
        <v>0</v>
      </c>
      <c r="I409">
        <v>0</v>
      </c>
    </row>
    <row r="410" spans="1:9" ht="15.75" customHeight="1" x14ac:dyDescent="0.25">
      <c r="A410" s="239" t="s">
        <v>748</v>
      </c>
      <c r="B410" s="241">
        <v>46251</v>
      </c>
      <c r="C410" s="246">
        <v>8.3333333333333329E-2</v>
      </c>
      <c r="D410" s="246">
        <v>0.125</v>
      </c>
      <c r="E410" s="319">
        <v>39.836440677754581</v>
      </c>
      <c r="F410">
        <v>23.588020833325572</v>
      </c>
      <c r="G410">
        <v>0</v>
      </c>
      <c r="H410">
        <v>0</v>
      </c>
      <c r="I410">
        <v>0</v>
      </c>
    </row>
    <row r="411" spans="1:9" ht="15.75" customHeight="1" x14ac:dyDescent="0.25">
      <c r="A411" s="239" t="s">
        <v>749</v>
      </c>
      <c r="B411" s="241">
        <v>46251</v>
      </c>
      <c r="C411" s="246">
        <v>0.125</v>
      </c>
      <c r="D411" s="246">
        <v>0.16666666666666666</v>
      </c>
      <c r="E411" s="319">
        <v>41.375034731812775</v>
      </c>
      <c r="F411">
        <v>37.091209349571727</v>
      </c>
      <c r="G411">
        <v>0</v>
      </c>
      <c r="H411">
        <v>0</v>
      </c>
      <c r="I411">
        <v>0</v>
      </c>
    </row>
    <row r="412" spans="1:9" ht="15.75" customHeight="1" x14ac:dyDescent="0.25">
      <c r="A412" s="239" t="s">
        <v>750</v>
      </c>
      <c r="B412" s="241">
        <v>46251</v>
      </c>
      <c r="C412" s="246">
        <v>0.16666666666666666</v>
      </c>
      <c r="D412" s="246">
        <v>0.20833333333333334</v>
      </c>
      <c r="E412" s="319">
        <v>39.613524590153247</v>
      </c>
      <c r="F412">
        <v>20.587957317009568</v>
      </c>
      <c r="G412">
        <v>0</v>
      </c>
      <c r="H412">
        <v>0</v>
      </c>
      <c r="I412">
        <v>0</v>
      </c>
    </row>
    <row r="413" spans="1:9" ht="15.75" customHeight="1" x14ac:dyDescent="0.25">
      <c r="A413" s="239" t="s">
        <v>751</v>
      </c>
      <c r="B413" s="241">
        <v>46251</v>
      </c>
      <c r="C413" s="246">
        <v>0.20833333333333334</v>
      </c>
      <c r="D413" s="246">
        <v>0.25</v>
      </c>
      <c r="E413" s="319">
        <v>40.4375</v>
      </c>
      <c r="F413">
        <v>27.921875</v>
      </c>
      <c r="G413">
        <v>0</v>
      </c>
      <c r="H413">
        <v>0</v>
      </c>
      <c r="I413">
        <v>0</v>
      </c>
    </row>
    <row r="414" spans="1:9" ht="15.75" customHeight="1" x14ac:dyDescent="0.25">
      <c r="A414" s="239" t="s">
        <v>752</v>
      </c>
      <c r="B414" s="241">
        <v>46252</v>
      </c>
      <c r="C414" s="246">
        <v>0.25</v>
      </c>
      <c r="D414" s="246">
        <v>0.29166666666666669</v>
      </c>
    </row>
    <row r="415" spans="1:9" ht="15.75" customHeight="1" x14ac:dyDescent="0.25">
      <c r="A415" s="239" t="s">
        <v>753</v>
      </c>
      <c r="B415" s="241">
        <v>46252</v>
      </c>
      <c r="C415" s="246">
        <v>0.29166666666666669</v>
      </c>
      <c r="D415" s="246">
        <v>0.33333333333333331</v>
      </c>
    </row>
    <row r="416" spans="1:9" ht="15.75" customHeight="1" x14ac:dyDescent="0.25">
      <c r="A416" s="239" t="s">
        <v>754</v>
      </c>
      <c r="B416" s="241">
        <v>46252</v>
      </c>
      <c r="C416" s="246">
        <v>0.33333333333333331</v>
      </c>
      <c r="D416" s="246">
        <v>0.375</v>
      </c>
    </row>
    <row r="417" spans="1:4" ht="15.75" customHeight="1" x14ac:dyDescent="0.25">
      <c r="A417" s="239" t="s">
        <v>755</v>
      </c>
      <c r="B417" s="241">
        <v>46252</v>
      </c>
      <c r="C417" s="246">
        <v>0.375</v>
      </c>
      <c r="D417" s="246">
        <v>0.41666666666666669</v>
      </c>
    </row>
    <row r="418" spans="1:4" ht="15.75" customHeight="1" x14ac:dyDescent="0.25">
      <c r="A418" s="239" t="s">
        <v>756</v>
      </c>
      <c r="B418" s="241">
        <v>46252</v>
      </c>
      <c r="C418" s="246">
        <v>0.41666666666666669</v>
      </c>
      <c r="D418" s="246">
        <v>0.45833333333333331</v>
      </c>
    </row>
    <row r="419" spans="1:4" ht="15.75" customHeight="1" x14ac:dyDescent="0.25">
      <c r="A419" s="239" t="s">
        <v>757</v>
      </c>
      <c r="B419" s="241">
        <v>46252</v>
      </c>
      <c r="C419" s="246">
        <v>0.45833333333333331</v>
      </c>
      <c r="D419" s="246">
        <v>0.5</v>
      </c>
    </row>
    <row r="420" spans="1:4" ht="15.75" customHeight="1" x14ac:dyDescent="0.25">
      <c r="A420" s="239" t="s">
        <v>758</v>
      </c>
      <c r="B420" s="241">
        <v>46252</v>
      </c>
      <c r="C420" s="246">
        <v>0.5</v>
      </c>
      <c r="D420" s="246">
        <v>0.54166666666666663</v>
      </c>
    </row>
    <row r="421" spans="1:4" ht="15.75" customHeight="1" x14ac:dyDescent="0.25">
      <c r="A421" s="239" t="s">
        <v>759</v>
      </c>
      <c r="B421" s="241">
        <v>46252</v>
      </c>
      <c r="C421" s="246">
        <v>0.54166666666666663</v>
      </c>
      <c r="D421" s="246">
        <v>0.58333333333333337</v>
      </c>
    </row>
    <row r="422" spans="1:4" ht="15.75" customHeight="1" x14ac:dyDescent="0.25">
      <c r="A422" s="239" t="s">
        <v>760</v>
      </c>
      <c r="B422" s="241">
        <v>46252</v>
      </c>
      <c r="C422" s="246">
        <v>0.58333333333333337</v>
      </c>
      <c r="D422" s="246">
        <v>0.625</v>
      </c>
    </row>
    <row r="423" spans="1:4" ht="15.75" customHeight="1" x14ac:dyDescent="0.25">
      <c r="A423" s="239" t="s">
        <v>761</v>
      </c>
      <c r="B423" s="241">
        <v>46252</v>
      </c>
      <c r="C423" s="246">
        <v>0.625</v>
      </c>
      <c r="D423" s="246">
        <v>0.66666666666666663</v>
      </c>
    </row>
    <row r="424" spans="1:4" ht="15.75" customHeight="1" x14ac:dyDescent="0.25">
      <c r="A424" s="239" t="s">
        <v>762</v>
      </c>
      <c r="B424" s="241">
        <v>46252</v>
      </c>
      <c r="C424" s="246">
        <v>0.66666666666666663</v>
      </c>
      <c r="D424" s="246">
        <v>0.70833333333333337</v>
      </c>
    </row>
    <row r="425" spans="1:4" ht="15.75" customHeight="1" x14ac:dyDescent="0.25">
      <c r="A425" s="239" t="s">
        <v>763</v>
      </c>
      <c r="B425" s="241">
        <v>46252</v>
      </c>
      <c r="C425" s="246">
        <v>0.70833333333333337</v>
      </c>
      <c r="D425" s="246">
        <v>0.75</v>
      </c>
    </row>
    <row r="426" spans="1:4" ht="15.75" customHeight="1" x14ac:dyDescent="0.25">
      <c r="A426" s="239" t="s">
        <v>764</v>
      </c>
      <c r="B426" s="241">
        <v>46252</v>
      </c>
      <c r="C426" s="246">
        <v>0.75</v>
      </c>
      <c r="D426" s="246">
        <v>0.79166666666666663</v>
      </c>
    </row>
    <row r="427" spans="1:4" ht="15.75" customHeight="1" x14ac:dyDescent="0.25">
      <c r="A427" s="239" t="s">
        <v>765</v>
      </c>
      <c r="B427" s="241">
        <v>46252</v>
      </c>
      <c r="C427" s="246">
        <v>0.79166666666666663</v>
      </c>
      <c r="D427" s="246">
        <v>0.83333333333333337</v>
      </c>
    </row>
    <row r="428" spans="1:4" ht="15.75" customHeight="1" x14ac:dyDescent="0.25">
      <c r="A428" s="239" t="s">
        <v>766</v>
      </c>
      <c r="B428" s="241">
        <v>46252</v>
      </c>
      <c r="C428" s="246">
        <v>0.83333333333333337</v>
      </c>
      <c r="D428" s="246">
        <v>0.875</v>
      </c>
    </row>
    <row r="429" spans="1:4" ht="15.75" customHeight="1" x14ac:dyDescent="0.25">
      <c r="A429" s="239" t="s">
        <v>767</v>
      </c>
      <c r="B429" s="241">
        <v>46252</v>
      </c>
      <c r="C429" s="246">
        <v>0.875</v>
      </c>
      <c r="D429" s="246">
        <v>0.91666666666666663</v>
      </c>
    </row>
    <row r="430" spans="1:4" ht="15.75" customHeight="1" x14ac:dyDescent="0.25">
      <c r="A430" s="239" t="s">
        <v>768</v>
      </c>
      <c r="B430" s="241">
        <v>46252</v>
      </c>
      <c r="C430" s="246">
        <v>0.91666666666666663</v>
      </c>
      <c r="D430" s="246">
        <v>0.95833333333333337</v>
      </c>
    </row>
    <row r="431" spans="1:4" ht="15.75" customHeight="1" x14ac:dyDescent="0.25">
      <c r="A431" s="239" t="s">
        <v>769</v>
      </c>
      <c r="B431" s="241">
        <v>46252</v>
      </c>
      <c r="C431" s="246">
        <v>0.95833333333333337</v>
      </c>
      <c r="D431" s="246">
        <v>0</v>
      </c>
    </row>
    <row r="432" spans="1:4" ht="15.75" customHeight="1" x14ac:dyDescent="0.25">
      <c r="A432" s="239" t="s">
        <v>770</v>
      </c>
      <c r="B432" s="241">
        <v>46252</v>
      </c>
      <c r="C432" s="246">
        <v>0</v>
      </c>
      <c r="D432" s="246">
        <v>4.1666666666666664E-2</v>
      </c>
    </row>
    <row r="433" spans="1:4" ht="15.75" customHeight="1" x14ac:dyDescent="0.25">
      <c r="A433" s="239" t="s">
        <v>771</v>
      </c>
      <c r="B433" s="241">
        <v>46252</v>
      </c>
      <c r="C433" s="246">
        <v>4.1666666666666664E-2</v>
      </c>
      <c r="D433" s="246">
        <v>8.3333333333333329E-2</v>
      </c>
    </row>
    <row r="434" spans="1:4" ht="15.75" customHeight="1" x14ac:dyDescent="0.25">
      <c r="A434" s="239" t="s">
        <v>772</v>
      </c>
      <c r="B434" s="241">
        <v>46252</v>
      </c>
      <c r="C434" s="246">
        <v>8.3333333333333329E-2</v>
      </c>
      <c r="D434" s="246">
        <v>0.125</v>
      </c>
    </row>
    <row r="435" spans="1:4" ht="15.75" customHeight="1" x14ac:dyDescent="0.25">
      <c r="A435" s="239" t="s">
        <v>773</v>
      </c>
      <c r="B435" s="241">
        <v>46252</v>
      </c>
      <c r="C435" s="246">
        <v>0.125</v>
      </c>
      <c r="D435" s="246">
        <v>0.16666666666666666</v>
      </c>
    </row>
    <row r="436" spans="1:4" ht="15.75" customHeight="1" x14ac:dyDescent="0.25">
      <c r="A436" s="239" t="s">
        <v>774</v>
      </c>
      <c r="B436" s="241">
        <v>46252</v>
      </c>
      <c r="C436" s="246">
        <v>0.16666666666666666</v>
      </c>
      <c r="D436" s="246">
        <v>0.20833333333333334</v>
      </c>
    </row>
    <row r="437" spans="1:4" ht="15.75" customHeight="1" x14ac:dyDescent="0.25">
      <c r="A437" s="239" t="s">
        <v>775</v>
      </c>
      <c r="B437" s="241">
        <v>46252</v>
      </c>
      <c r="C437" s="246">
        <v>0.20833333333333334</v>
      </c>
      <c r="D437" s="246">
        <v>0.25</v>
      </c>
    </row>
    <row r="438" spans="1:4" ht="15.75" customHeight="1" x14ac:dyDescent="0.25">
      <c r="A438" s="239" t="s">
        <v>776</v>
      </c>
      <c r="B438" s="241">
        <v>46253</v>
      </c>
      <c r="C438" s="246">
        <v>0.25</v>
      </c>
      <c r="D438" s="246">
        <v>0.29166666666666669</v>
      </c>
    </row>
    <row r="439" spans="1:4" ht="15.75" customHeight="1" x14ac:dyDescent="0.25">
      <c r="A439" s="239" t="s">
        <v>777</v>
      </c>
      <c r="B439" s="241">
        <v>46253</v>
      </c>
      <c r="C439" s="246">
        <v>0.29166666666666669</v>
      </c>
      <c r="D439" s="246">
        <v>0.33333333333333331</v>
      </c>
    </row>
    <row r="440" spans="1:4" ht="15.75" customHeight="1" x14ac:dyDescent="0.25">
      <c r="A440" s="239" t="s">
        <v>778</v>
      </c>
      <c r="B440" s="241">
        <v>46253</v>
      </c>
      <c r="C440" s="246">
        <v>0.33333333333333331</v>
      </c>
      <c r="D440" s="246">
        <v>0.375</v>
      </c>
    </row>
    <row r="441" spans="1:4" ht="15.75" customHeight="1" x14ac:dyDescent="0.25">
      <c r="A441" s="239" t="s">
        <v>779</v>
      </c>
      <c r="B441" s="241">
        <v>46253</v>
      </c>
      <c r="C441" s="246">
        <v>0.375</v>
      </c>
      <c r="D441" s="246">
        <v>0.41666666666666669</v>
      </c>
    </row>
    <row r="442" spans="1:4" ht="15.75" customHeight="1" x14ac:dyDescent="0.25">
      <c r="A442" s="239" t="s">
        <v>780</v>
      </c>
      <c r="B442" s="241">
        <v>46253</v>
      </c>
      <c r="C442" s="246">
        <v>0.41666666666666669</v>
      </c>
      <c r="D442" s="246">
        <v>0.45833333333333331</v>
      </c>
    </row>
    <row r="443" spans="1:4" ht="15.75" customHeight="1" x14ac:dyDescent="0.25">
      <c r="A443" s="239" t="s">
        <v>781</v>
      </c>
      <c r="B443" s="241">
        <v>46253</v>
      </c>
      <c r="C443" s="246">
        <v>0.45833333333333331</v>
      </c>
      <c r="D443" s="246">
        <v>0.5</v>
      </c>
    </row>
    <row r="444" spans="1:4" ht="15.75" customHeight="1" x14ac:dyDescent="0.25">
      <c r="A444" s="239" t="s">
        <v>782</v>
      </c>
      <c r="B444" s="241">
        <v>46253</v>
      </c>
      <c r="C444" s="246">
        <v>0.5</v>
      </c>
      <c r="D444" s="246">
        <v>0.54166666666666663</v>
      </c>
    </row>
    <row r="445" spans="1:4" ht="15.75" customHeight="1" x14ac:dyDescent="0.25">
      <c r="A445" s="239" t="s">
        <v>783</v>
      </c>
      <c r="B445" s="241">
        <v>46253</v>
      </c>
      <c r="C445" s="246">
        <v>0.54166666666666663</v>
      </c>
      <c r="D445" s="246">
        <v>0.58333333333333337</v>
      </c>
    </row>
    <row r="446" spans="1:4" ht="15.75" customHeight="1" x14ac:dyDescent="0.25">
      <c r="A446" s="239" t="s">
        <v>784</v>
      </c>
      <c r="B446" s="241">
        <v>46253</v>
      </c>
      <c r="C446" s="246">
        <v>0.58333333333333337</v>
      </c>
      <c r="D446" s="246">
        <v>0.625</v>
      </c>
    </row>
    <row r="447" spans="1:4" ht="15.75" customHeight="1" x14ac:dyDescent="0.25">
      <c r="A447" s="239" t="s">
        <v>785</v>
      </c>
      <c r="B447" s="241">
        <v>46253</v>
      </c>
      <c r="C447" s="246">
        <v>0.625</v>
      </c>
      <c r="D447" s="246">
        <v>0.66666666666666663</v>
      </c>
    </row>
    <row r="448" spans="1:4" ht="15.75" customHeight="1" x14ac:dyDescent="0.25">
      <c r="A448" s="239" t="s">
        <v>786</v>
      </c>
      <c r="B448" s="241">
        <v>46253</v>
      </c>
      <c r="C448" s="246">
        <v>0.66666666666666663</v>
      </c>
      <c r="D448" s="246">
        <v>0.70833333333333337</v>
      </c>
    </row>
    <row r="449" spans="1:4" ht="15.75" customHeight="1" x14ac:dyDescent="0.25">
      <c r="A449" s="239" t="s">
        <v>787</v>
      </c>
      <c r="B449" s="241">
        <v>46253</v>
      </c>
      <c r="C449" s="246">
        <v>0.70833333333333337</v>
      </c>
      <c r="D449" s="246">
        <v>0.75</v>
      </c>
    </row>
    <row r="450" spans="1:4" ht="15.75" customHeight="1" x14ac:dyDescent="0.25">
      <c r="A450" s="239" t="s">
        <v>788</v>
      </c>
      <c r="B450" s="241">
        <v>46253</v>
      </c>
      <c r="C450" s="246">
        <v>0.75</v>
      </c>
      <c r="D450" s="246">
        <v>0.79166666666666663</v>
      </c>
    </row>
    <row r="451" spans="1:4" ht="15.75" customHeight="1" x14ac:dyDescent="0.25">
      <c r="A451" s="239" t="s">
        <v>789</v>
      </c>
      <c r="B451" s="241">
        <v>46253</v>
      </c>
      <c r="C451" s="246">
        <v>0.79166666666666663</v>
      </c>
      <c r="D451" s="246">
        <v>0.83333333333333337</v>
      </c>
    </row>
    <row r="452" spans="1:4" ht="15.75" customHeight="1" x14ac:dyDescent="0.25">
      <c r="A452" s="239" t="s">
        <v>790</v>
      </c>
      <c r="B452" s="241">
        <v>46253</v>
      </c>
      <c r="C452" s="246">
        <v>0.83333333333333337</v>
      </c>
      <c r="D452" s="246">
        <v>0.875</v>
      </c>
    </row>
    <row r="453" spans="1:4" ht="15.75" customHeight="1" x14ac:dyDescent="0.25">
      <c r="A453" s="239" t="s">
        <v>791</v>
      </c>
      <c r="B453" s="241">
        <v>46253</v>
      </c>
      <c r="C453" s="246">
        <v>0.875</v>
      </c>
      <c r="D453" s="246">
        <v>0.91666666666666663</v>
      </c>
    </row>
    <row r="454" spans="1:4" ht="15.75" customHeight="1" x14ac:dyDescent="0.25">
      <c r="A454" s="239" t="s">
        <v>792</v>
      </c>
      <c r="B454" s="241">
        <v>46253</v>
      </c>
      <c r="C454" s="246">
        <v>0.91666666666666663</v>
      </c>
      <c r="D454" s="246">
        <v>0.95833333333333337</v>
      </c>
    </row>
    <row r="455" spans="1:4" ht="15.75" customHeight="1" x14ac:dyDescent="0.25">
      <c r="A455" s="239" t="s">
        <v>793</v>
      </c>
      <c r="B455" s="241">
        <v>46253</v>
      </c>
      <c r="C455" s="246">
        <v>0.95833333333333337</v>
      </c>
      <c r="D455" s="246">
        <v>0</v>
      </c>
    </row>
    <row r="456" spans="1:4" ht="15.75" customHeight="1" x14ac:dyDescent="0.25">
      <c r="A456" s="239" t="s">
        <v>794</v>
      </c>
      <c r="B456" s="241">
        <v>46253</v>
      </c>
      <c r="C456" s="246">
        <v>0</v>
      </c>
      <c r="D456" s="246">
        <v>4.1666666666666664E-2</v>
      </c>
    </row>
    <row r="457" spans="1:4" ht="15.75" customHeight="1" x14ac:dyDescent="0.25">
      <c r="A457" s="239" t="s">
        <v>795</v>
      </c>
      <c r="B457" s="241">
        <v>46253</v>
      </c>
      <c r="C457" s="246">
        <v>4.1666666666666664E-2</v>
      </c>
      <c r="D457" s="246">
        <v>8.3333333333333329E-2</v>
      </c>
    </row>
    <row r="458" spans="1:4" ht="15.75" customHeight="1" x14ac:dyDescent="0.25">
      <c r="A458" s="239" t="s">
        <v>796</v>
      </c>
      <c r="B458" s="241">
        <v>46253</v>
      </c>
      <c r="C458" s="246">
        <v>8.3333333333333329E-2</v>
      </c>
      <c r="D458" s="246">
        <v>0.125</v>
      </c>
    </row>
    <row r="459" spans="1:4" ht="15.75" customHeight="1" x14ac:dyDescent="0.25">
      <c r="A459" s="239" t="s">
        <v>797</v>
      </c>
      <c r="B459" s="241">
        <v>46253</v>
      </c>
      <c r="C459" s="246">
        <v>0.125</v>
      </c>
      <c r="D459" s="246">
        <v>0.16666666666666666</v>
      </c>
    </row>
    <row r="460" spans="1:4" ht="15.75" customHeight="1" x14ac:dyDescent="0.25">
      <c r="A460" s="239" t="s">
        <v>798</v>
      </c>
      <c r="B460" s="241">
        <v>46253</v>
      </c>
      <c r="C460" s="246">
        <v>0.16666666666666666</v>
      </c>
      <c r="D460" s="246">
        <v>0.20833333333333334</v>
      </c>
    </row>
    <row r="461" spans="1:4" ht="15.75" customHeight="1" x14ac:dyDescent="0.25">
      <c r="A461" s="239" t="s">
        <v>799</v>
      </c>
      <c r="B461" s="241">
        <v>46253</v>
      </c>
      <c r="C461" s="246">
        <v>0.20833333333333334</v>
      </c>
      <c r="D461" s="246">
        <v>0.25</v>
      </c>
    </row>
    <row r="462" spans="1:4" ht="15.75" customHeight="1" x14ac:dyDescent="0.25">
      <c r="A462" s="239" t="s">
        <v>800</v>
      </c>
      <c r="B462" s="241">
        <v>46254</v>
      </c>
      <c r="C462" s="246">
        <v>0.25</v>
      </c>
      <c r="D462" s="246">
        <v>0.29166666666666669</v>
      </c>
    </row>
    <row r="463" spans="1:4" ht="15.75" customHeight="1" x14ac:dyDescent="0.25">
      <c r="A463" s="239" t="s">
        <v>801</v>
      </c>
      <c r="B463" s="241">
        <v>46254</v>
      </c>
      <c r="C463" s="246">
        <v>0.29166666666666669</v>
      </c>
      <c r="D463" s="246">
        <v>0.33333333333333331</v>
      </c>
    </row>
    <row r="464" spans="1:4" ht="15.75" customHeight="1" x14ac:dyDescent="0.25">
      <c r="A464" s="239" t="s">
        <v>802</v>
      </c>
      <c r="B464" s="241">
        <v>46254</v>
      </c>
      <c r="C464" s="246">
        <v>0.33333333333333331</v>
      </c>
      <c r="D464" s="246">
        <v>0.375</v>
      </c>
    </row>
    <row r="465" spans="1:4" ht="15.75" customHeight="1" x14ac:dyDescent="0.25">
      <c r="A465" s="239" t="s">
        <v>803</v>
      </c>
      <c r="B465" s="241">
        <v>46254</v>
      </c>
      <c r="C465" s="246">
        <v>0.375</v>
      </c>
      <c r="D465" s="246">
        <v>0.41666666666666669</v>
      </c>
    </row>
    <row r="466" spans="1:4" ht="15.75" customHeight="1" x14ac:dyDescent="0.25">
      <c r="A466" s="239" t="s">
        <v>804</v>
      </c>
      <c r="B466" s="241">
        <v>46254</v>
      </c>
      <c r="C466" s="246">
        <v>0.41666666666666669</v>
      </c>
      <c r="D466" s="246">
        <v>0.45833333333333331</v>
      </c>
    </row>
    <row r="467" spans="1:4" ht="15.75" customHeight="1" x14ac:dyDescent="0.25">
      <c r="A467" s="239" t="s">
        <v>805</v>
      </c>
      <c r="B467" s="241">
        <v>46254</v>
      </c>
      <c r="C467" s="246">
        <v>0.45833333333333331</v>
      </c>
      <c r="D467" s="246">
        <v>0.5</v>
      </c>
    </row>
    <row r="468" spans="1:4" ht="15.75" customHeight="1" x14ac:dyDescent="0.25">
      <c r="A468" s="239" t="s">
        <v>806</v>
      </c>
      <c r="B468" s="241">
        <v>46254</v>
      </c>
      <c r="C468" s="246">
        <v>0.5</v>
      </c>
      <c r="D468" s="246">
        <v>0.54166666666666663</v>
      </c>
    </row>
    <row r="469" spans="1:4" ht="15.75" customHeight="1" x14ac:dyDescent="0.25">
      <c r="A469" s="239" t="s">
        <v>807</v>
      </c>
      <c r="B469" s="241">
        <v>46254</v>
      </c>
      <c r="C469" s="246">
        <v>0.54166666666666663</v>
      </c>
      <c r="D469" s="246">
        <v>0.58333333333333337</v>
      </c>
    </row>
    <row r="470" spans="1:4" ht="15.75" customHeight="1" x14ac:dyDescent="0.25">
      <c r="A470" s="239" t="s">
        <v>808</v>
      </c>
      <c r="B470" s="241">
        <v>46254</v>
      </c>
      <c r="C470" s="246">
        <v>0.58333333333333337</v>
      </c>
      <c r="D470" s="246">
        <v>0.625</v>
      </c>
    </row>
    <row r="471" spans="1:4" ht="15.75" customHeight="1" x14ac:dyDescent="0.25">
      <c r="A471" s="239" t="s">
        <v>809</v>
      </c>
      <c r="B471" s="241">
        <v>46254</v>
      </c>
      <c r="C471" s="246">
        <v>0.625</v>
      </c>
      <c r="D471" s="246">
        <v>0.66666666666666663</v>
      </c>
    </row>
    <row r="472" spans="1:4" ht="15.75" customHeight="1" x14ac:dyDescent="0.25">
      <c r="A472" s="239" t="s">
        <v>810</v>
      </c>
      <c r="B472" s="241">
        <v>46254</v>
      </c>
      <c r="C472" s="246">
        <v>0.66666666666666663</v>
      </c>
      <c r="D472" s="246">
        <v>0.70833333333333337</v>
      </c>
    </row>
    <row r="473" spans="1:4" ht="15.75" customHeight="1" x14ac:dyDescent="0.25">
      <c r="A473" s="239" t="s">
        <v>811</v>
      </c>
      <c r="B473" s="241">
        <v>46254</v>
      </c>
      <c r="C473" s="246">
        <v>0.70833333333333337</v>
      </c>
      <c r="D473" s="246">
        <v>0.75</v>
      </c>
    </row>
    <row r="474" spans="1:4" ht="15.75" customHeight="1" x14ac:dyDescent="0.25">
      <c r="A474" s="239" t="s">
        <v>812</v>
      </c>
      <c r="B474" s="241">
        <v>46254</v>
      </c>
      <c r="C474" s="246">
        <v>0.75</v>
      </c>
      <c r="D474" s="246">
        <v>0.79166666666666663</v>
      </c>
    </row>
    <row r="475" spans="1:4" ht="15.75" customHeight="1" x14ac:dyDescent="0.25">
      <c r="A475" s="239" t="s">
        <v>813</v>
      </c>
      <c r="B475" s="241">
        <v>46254</v>
      </c>
      <c r="C475" s="246">
        <v>0.79166666666666663</v>
      </c>
      <c r="D475" s="246">
        <v>0.83333333333333337</v>
      </c>
    </row>
    <row r="476" spans="1:4" ht="15.75" customHeight="1" x14ac:dyDescent="0.25">
      <c r="A476" s="239" t="s">
        <v>814</v>
      </c>
      <c r="B476" s="241">
        <v>46254</v>
      </c>
      <c r="C476" s="246">
        <v>0.83333333333333337</v>
      </c>
      <c r="D476" s="246">
        <v>0.875</v>
      </c>
    </row>
    <row r="477" spans="1:4" ht="15.75" customHeight="1" x14ac:dyDescent="0.25">
      <c r="A477" s="239" t="s">
        <v>815</v>
      </c>
      <c r="B477" s="241">
        <v>46254</v>
      </c>
      <c r="C477" s="246">
        <v>0.875</v>
      </c>
      <c r="D477" s="246">
        <v>0.91666666666666663</v>
      </c>
    </row>
    <row r="478" spans="1:4" ht="15.75" customHeight="1" x14ac:dyDescent="0.25">
      <c r="A478" s="239" t="s">
        <v>816</v>
      </c>
      <c r="B478" s="241">
        <v>46254</v>
      </c>
      <c r="C478" s="246">
        <v>0.91666666666666663</v>
      </c>
      <c r="D478" s="246">
        <v>0.95833333333333337</v>
      </c>
    </row>
    <row r="479" spans="1:4" ht="15.75" customHeight="1" x14ac:dyDescent="0.25">
      <c r="A479" s="239" t="s">
        <v>817</v>
      </c>
      <c r="B479" s="241">
        <v>46254</v>
      </c>
      <c r="C479" s="246">
        <v>0.95833333333333337</v>
      </c>
      <c r="D479" s="246">
        <v>0</v>
      </c>
    </row>
    <row r="480" spans="1:4" ht="15.75" customHeight="1" x14ac:dyDescent="0.25">
      <c r="A480" s="239" t="s">
        <v>818</v>
      </c>
      <c r="B480" s="241">
        <v>46254</v>
      </c>
      <c r="C480" s="246">
        <v>0</v>
      </c>
      <c r="D480" s="246">
        <v>4.1666666666666664E-2</v>
      </c>
    </row>
    <row r="481" spans="1:4" ht="15.75" customHeight="1" x14ac:dyDescent="0.25">
      <c r="A481" s="239" t="s">
        <v>819</v>
      </c>
      <c r="B481" s="241">
        <v>46254</v>
      </c>
      <c r="C481" s="246">
        <v>4.1666666666666664E-2</v>
      </c>
      <c r="D481" s="246">
        <v>8.3333333333333329E-2</v>
      </c>
    </row>
    <row r="482" spans="1:4" ht="15.75" customHeight="1" x14ac:dyDescent="0.25">
      <c r="A482" s="239" t="s">
        <v>820</v>
      </c>
      <c r="B482" s="241">
        <v>46254</v>
      </c>
      <c r="C482" s="246">
        <v>8.3333333333333329E-2</v>
      </c>
      <c r="D482" s="246">
        <v>0.125</v>
      </c>
    </row>
    <row r="483" spans="1:4" ht="15.75" customHeight="1" x14ac:dyDescent="0.25">
      <c r="A483" s="239" t="s">
        <v>821</v>
      </c>
      <c r="B483" s="241">
        <v>46254</v>
      </c>
      <c r="C483" s="246">
        <v>0.125</v>
      </c>
      <c r="D483" s="246">
        <v>0.16666666666666666</v>
      </c>
    </row>
    <row r="484" spans="1:4" ht="15.75" customHeight="1" x14ac:dyDescent="0.25">
      <c r="A484" s="239" t="s">
        <v>822</v>
      </c>
      <c r="B484" s="241">
        <v>46254</v>
      </c>
      <c r="C484" s="246">
        <v>0.16666666666666666</v>
      </c>
      <c r="D484" s="246">
        <v>0.20833333333333334</v>
      </c>
    </row>
    <row r="485" spans="1:4" ht="15.75" customHeight="1" x14ac:dyDescent="0.25">
      <c r="A485" s="239" t="s">
        <v>823</v>
      </c>
      <c r="B485" s="241">
        <v>46254</v>
      </c>
      <c r="C485" s="246">
        <v>0.20833333333333334</v>
      </c>
      <c r="D485" s="246">
        <v>0.25</v>
      </c>
    </row>
    <row r="486" spans="1:4" ht="15.75" customHeight="1" x14ac:dyDescent="0.25">
      <c r="A486" s="239" t="s">
        <v>824</v>
      </c>
      <c r="B486" s="241">
        <v>46255</v>
      </c>
      <c r="C486" s="246">
        <v>0.25</v>
      </c>
      <c r="D486" s="246">
        <v>0.29166666666666669</v>
      </c>
    </row>
    <row r="487" spans="1:4" ht="15.75" customHeight="1" x14ac:dyDescent="0.25">
      <c r="A487" s="239" t="s">
        <v>825</v>
      </c>
      <c r="B487" s="241">
        <v>46255</v>
      </c>
      <c r="C487" s="246">
        <v>0.29166666666666669</v>
      </c>
      <c r="D487" s="246">
        <v>0.33333333333333331</v>
      </c>
    </row>
    <row r="488" spans="1:4" ht="15.75" customHeight="1" x14ac:dyDescent="0.25">
      <c r="A488" s="239" t="s">
        <v>826</v>
      </c>
      <c r="B488" s="241">
        <v>46255</v>
      </c>
      <c r="C488" s="246">
        <v>0.33333333333333331</v>
      </c>
      <c r="D488" s="246">
        <v>0.375</v>
      </c>
    </row>
    <row r="489" spans="1:4" ht="15.75" customHeight="1" x14ac:dyDescent="0.25">
      <c r="A489" s="239" t="s">
        <v>827</v>
      </c>
      <c r="B489" s="241">
        <v>46255</v>
      </c>
      <c r="C489" s="246">
        <v>0.375</v>
      </c>
      <c r="D489" s="246">
        <v>0.41666666666666669</v>
      </c>
    </row>
    <row r="490" spans="1:4" ht="15.75" customHeight="1" x14ac:dyDescent="0.25">
      <c r="A490" s="239" t="s">
        <v>828</v>
      </c>
      <c r="B490" s="241">
        <v>46255</v>
      </c>
      <c r="C490" s="246">
        <v>0.41666666666666669</v>
      </c>
      <c r="D490" s="246">
        <v>0.45833333333333331</v>
      </c>
    </row>
    <row r="491" spans="1:4" ht="15.75" customHeight="1" x14ac:dyDescent="0.25">
      <c r="A491" s="239" t="s">
        <v>829</v>
      </c>
      <c r="B491" s="241">
        <v>46255</v>
      </c>
      <c r="C491" s="246">
        <v>0.45833333333333331</v>
      </c>
      <c r="D491" s="246">
        <v>0.5</v>
      </c>
    </row>
    <row r="492" spans="1:4" ht="15.75" customHeight="1" x14ac:dyDescent="0.25">
      <c r="A492" s="239" t="s">
        <v>830</v>
      </c>
      <c r="B492" s="241">
        <v>46255</v>
      </c>
      <c r="C492" s="246">
        <v>0.5</v>
      </c>
      <c r="D492" s="246">
        <v>0.54166666666666663</v>
      </c>
    </row>
    <row r="493" spans="1:4" ht="15.75" customHeight="1" x14ac:dyDescent="0.25">
      <c r="A493" s="239" t="s">
        <v>831</v>
      </c>
      <c r="B493" s="241">
        <v>46255</v>
      </c>
      <c r="C493" s="246">
        <v>0.54166666666666663</v>
      </c>
      <c r="D493" s="246">
        <v>0.58333333333333337</v>
      </c>
    </row>
    <row r="494" spans="1:4" ht="15.75" customHeight="1" x14ac:dyDescent="0.25">
      <c r="A494" s="239" t="s">
        <v>832</v>
      </c>
      <c r="B494" s="241">
        <v>46255</v>
      </c>
      <c r="C494" s="246">
        <v>0.58333333333333337</v>
      </c>
      <c r="D494" s="246">
        <v>0.625</v>
      </c>
    </row>
    <row r="495" spans="1:4" ht="15.75" customHeight="1" x14ac:dyDescent="0.25">
      <c r="A495" s="239" t="s">
        <v>833</v>
      </c>
      <c r="B495" s="241">
        <v>46255</v>
      </c>
      <c r="C495" s="246">
        <v>0.625</v>
      </c>
      <c r="D495" s="246">
        <v>0.66666666666666663</v>
      </c>
    </row>
    <row r="496" spans="1:4" ht="15.75" customHeight="1" x14ac:dyDescent="0.25">
      <c r="A496" s="239" t="s">
        <v>834</v>
      </c>
      <c r="B496" s="241">
        <v>46255</v>
      </c>
      <c r="C496" s="246">
        <v>0.66666666666666663</v>
      </c>
      <c r="D496" s="246">
        <v>0.70833333333333337</v>
      </c>
    </row>
    <row r="497" spans="1:4" ht="15.75" customHeight="1" x14ac:dyDescent="0.25">
      <c r="A497" s="239" t="s">
        <v>835</v>
      </c>
      <c r="B497" s="241">
        <v>46255</v>
      </c>
      <c r="C497" s="246">
        <v>0.70833333333333337</v>
      </c>
      <c r="D497" s="246">
        <v>0.75</v>
      </c>
    </row>
    <row r="498" spans="1:4" ht="15.75" customHeight="1" x14ac:dyDescent="0.25">
      <c r="A498" s="239" t="s">
        <v>836</v>
      </c>
      <c r="B498" s="241">
        <v>46255</v>
      </c>
      <c r="C498" s="246">
        <v>0.75</v>
      </c>
      <c r="D498" s="246">
        <v>0.79166666666666663</v>
      </c>
    </row>
    <row r="499" spans="1:4" ht="15.75" customHeight="1" x14ac:dyDescent="0.25">
      <c r="A499" s="239" t="s">
        <v>837</v>
      </c>
      <c r="B499" s="241">
        <v>46255</v>
      </c>
      <c r="C499" s="246">
        <v>0.79166666666666663</v>
      </c>
      <c r="D499" s="246">
        <v>0.83333333333333337</v>
      </c>
    </row>
    <row r="500" spans="1:4" ht="15.75" customHeight="1" x14ac:dyDescent="0.25">
      <c r="A500" s="239" t="s">
        <v>838</v>
      </c>
      <c r="B500" s="241">
        <v>46255</v>
      </c>
      <c r="C500" s="246">
        <v>0.83333333333333337</v>
      </c>
      <c r="D500" s="246">
        <v>0.875</v>
      </c>
    </row>
    <row r="501" spans="1:4" ht="15.75" customHeight="1" x14ac:dyDescent="0.25">
      <c r="A501" s="239" t="s">
        <v>839</v>
      </c>
      <c r="B501" s="241">
        <v>46255</v>
      </c>
      <c r="C501" s="246">
        <v>0.875</v>
      </c>
      <c r="D501" s="246">
        <v>0.91666666666666663</v>
      </c>
    </row>
    <row r="502" spans="1:4" ht="15.75" customHeight="1" x14ac:dyDescent="0.25">
      <c r="A502" s="239" t="s">
        <v>840</v>
      </c>
      <c r="B502" s="241">
        <v>46255</v>
      </c>
      <c r="C502" s="246">
        <v>0.91666666666666663</v>
      </c>
      <c r="D502" s="246">
        <v>0.95833333333333337</v>
      </c>
    </row>
    <row r="503" spans="1:4" ht="15.75" customHeight="1" x14ac:dyDescent="0.25">
      <c r="A503" s="239" t="s">
        <v>841</v>
      </c>
      <c r="B503" s="241">
        <v>46255</v>
      </c>
      <c r="C503" s="246">
        <v>0.95833333333333337</v>
      </c>
      <c r="D503" s="246">
        <v>0</v>
      </c>
    </row>
    <row r="504" spans="1:4" ht="15.75" customHeight="1" x14ac:dyDescent="0.25">
      <c r="A504" s="239" t="s">
        <v>842</v>
      </c>
      <c r="B504" s="241">
        <v>46255</v>
      </c>
      <c r="C504" s="246">
        <v>0</v>
      </c>
      <c r="D504" s="246">
        <v>4.1666666666666664E-2</v>
      </c>
    </row>
    <row r="505" spans="1:4" ht="15.75" customHeight="1" x14ac:dyDescent="0.25">
      <c r="A505" s="239" t="s">
        <v>843</v>
      </c>
      <c r="B505" s="241">
        <v>46255</v>
      </c>
      <c r="C505" s="246">
        <v>4.1666666666666664E-2</v>
      </c>
      <c r="D505" s="246">
        <v>8.3333333333333329E-2</v>
      </c>
    </row>
    <row r="506" spans="1:4" ht="15.75" customHeight="1" x14ac:dyDescent="0.25">
      <c r="A506" s="239" t="s">
        <v>844</v>
      </c>
      <c r="B506" s="241">
        <v>46255</v>
      </c>
      <c r="C506" s="246">
        <v>8.3333333333333329E-2</v>
      </c>
      <c r="D506" s="246">
        <v>0.125</v>
      </c>
    </row>
    <row r="507" spans="1:4" ht="15.75" customHeight="1" x14ac:dyDescent="0.25">
      <c r="A507" s="239" t="s">
        <v>845</v>
      </c>
      <c r="B507" s="241">
        <v>46255</v>
      </c>
      <c r="C507" s="246">
        <v>0.125</v>
      </c>
      <c r="D507" s="246">
        <v>0.16666666666666666</v>
      </c>
    </row>
    <row r="508" spans="1:4" ht="15.75" customHeight="1" x14ac:dyDescent="0.25">
      <c r="A508" s="239" t="s">
        <v>846</v>
      </c>
      <c r="B508" s="241">
        <v>46255</v>
      </c>
      <c r="C508" s="246">
        <v>0.16666666666666666</v>
      </c>
      <c r="D508" s="246">
        <v>0.20833333333333334</v>
      </c>
    </row>
    <row r="509" spans="1:4" ht="15.75" customHeight="1" x14ac:dyDescent="0.25">
      <c r="A509" s="239" t="s">
        <v>847</v>
      </c>
      <c r="B509" s="241">
        <v>46255</v>
      </c>
      <c r="C509" s="246">
        <v>0.20833333333333334</v>
      </c>
      <c r="D509" s="246">
        <v>0.25</v>
      </c>
    </row>
    <row r="510" spans="1:4" ht="15.75" customHeight="1" x14ac:dyDescent="0.25">
      <c r="A510" s="239" t="s">
        <v>848</v>
      </c>
      <c r="B510" s="241">
        <v>46256</v>
      </c>
      <c r="C510" s="246">
        <v>0.25</v>
      </c>
      <c r="D510" s="246">
        <v>0.29166666666666669</v>
      </c>
    </row>
    <row r="511" spans="1:4" ht="15.75" customHeight="1" x14ac:dyDescent="0.25">
      <c r="A511" s="239" t="s">
        <v>849</v>
      </c>
      <c r="B511" s="241">
        <v>46256</v>
      </c>
      <c r="C511" s="246">
        <v>0.29166666666666669</v>
      </c>
      <c r="D511" s="246">
        <v>0.33333333333333331</v>
      </c>
    </row>
    <row r="512" spans="1:4" ht="15.75" customHeight="1" x14ac:dyDescent="0.25">
      <c r="A512" s="239" t="s">
        <v>850</v>
      </c>
      <c r="B512" s="241">
        <v>46256</v>
      </c>
      <c r="C512" s="246">
        <v>0.33333333333333331</v>
      </c>
      <c r="D512" s="246">
        <v>0.375</v>
      </c>
    </row>
    <row r="513" spans="1:4" ht="15.75" customHeight="1" x14ac:dyDescent="0.25">
      <c r="A513" s="239" t="s">
        <v>851</v>
      </c>
      <c r="B513" s="241">
        <v>46256</v>
      </c>
      <c r="C513" s="246">
        <v>0.375</v>
      </c>
      <c r="D513" s="246">
        <v>0.41666666666666669</v>
      </c>
    </row>
    <row r="514" spans="1:4" ht="15.75" customHeight="1" x14ac:dyDescent="0.25">
      <c r="A514" s="239" t="s">
        <v>852</v>
      </c>
      <c r="B514" s="241">
        <v>46256</v>
      </c>
      <c r="C514" s="246">
        <v>0.41666666666666669</v>
      </c>
      <c r="D514" s="246">
        <v>0.45833333333333331</v>
      </c>
    </row>
    <row r="515" spans="1:4" ht="15.75" customHeight="1" x14ac:dyDescent="0.25">
      <c r="A515" s="239" t="s">
        <v>853</v>
      </c>
      <c r="B515" s="241">
        <v>46256</v>
      </c>
      <c r="C515" s="246">
        <v>0.45833333333333331</v>
      </c>
      <c r="D515" s="246">
        <v>0.5</v>
      </c>
    </row>
    <row r="516" spans="1:4" ht="15.75" customHeight="1" x14ac:dyDescent="0.25">
      <c r="A516" s="239" t="s">
        <v>854</v>
      </c>
      <c r="B516" s="241">
        <v>46256</v>
      </c>
      <c r="C516" s="246">
        <v>0.5</v>
      </c>
      <c r="D516" s="246">
        <v>0.54166666666666663</v>
      </c>
    </row>
    <row r="517" spans="1:4" ht="15.75" customHeight="1" x14ac:dyDescent="0.25">
      <c r="A517" s="239" t="s">
        <v>855</v>
      </c>
      <c r="B517" s="241">
        <v>46256</v>
      </c>
      <c r="C517" s="246">
        <v>0.54166666666666663</v>
      </c>
      <c r="D517" s="246">
        <v>0.58333333333333337</v>
      </c>
    </row>
    <row r="518" spans="1:4" ht="15.75" customHeight="1" x14ac:dyDescent="0.25">
      <c r="A518" s="239" t="s">
        <v>856</v>
      </c>
      <c r="B518" s="241">
        <v>46256</v>
      </c>
      <c r="C518" s="246">
        <v>0.58333333333333337</v>
      </c>
      <c r="D518" s="246">
        <v>0.625</v>
      </c>
    </row>
    <row r="519" spans="1:4" ht="15.75" customHeight="1" x14ac:dyDescent="0.25">
      <c r="A519" s="239" t="s">
        <v>857</v>
      </c>
      <c r="B519" s="241">
        <v>46256</v>
      </c>
      <c r="C519" s="246">
        <v>0.625</v>
      </c>
      <c r="D519" s="246">
        <v>0.66666666666666663</v>
      </c>
    </row>
    <row r="520" spans="1:4" ht="15.75" customHeight="1" x14ac:dyDescent="0.25">
      <c r="A520" s="239" t="s">
        <v>858</v>
      </c>
      <c r="B520" s="241">
        <v>46256</v>
      </c>
      <c r="C520" s="246">
        <v>0.66666666666666663</v>
      </c>
      <c r="D520" s="246">
        <v>0.70833333333333337</v>
      </c>
    </row>
    <row r="521" spans="1:4" ht="15.75" customHeight="1" x14ac:dyDescent="0.25">
      <c r="A521" s="239" t="s">
        <v>859</v>
      </c>
      <c r="B521" s="241">
        <v>46256</v>
      </c>
      <c r="C521" s="246">
        <v>0.70833333333333337</v>
      </c>
      <c r="D521" s="246">
        <v>0.75</v>
      </c>
    </row>
    <row r="522" spans="1:4" ht="15.75" customHeight="1" x14ac:dyDescent="0.25">
      <c r="A522" s="239" t="s">
        <v>860</v>
      </c>
      <c r="B522" s="241">
        <v>46256</v>
      </c>
      <c r="C522" s="246">
        <v>0.75</v>
      </c>
      <c r="D522" s="246">
        <v>0.79166666666666663</v>
      </c>
    </row>
    <row r="523" spans="1:4" ht="15.75" customHeight="1" x14ac:dyDescent="0.25">
      <c r="A523" s="239" t="s">
        <v>861</v>
      </c>
      <c r="B523" s="241">
        <v>46256</v>
      </c>
      <c r="C523" s="246">
        <v>0.79166666666666663</v>
      </c>
      <c r="D523" s="246">
        <v>0.83333333333333337</v>
      </c>
    </row>
    <row r="524" spans="1:4" ht="15.75" customHeight="1" x14ac:dyDescent="0.25">
      <c r="A524" s="239" t="s">
        <v>862</v>
      </c>
      <c r="B524" s="241">
        <v>46256</v>
      </c>
      <c r="C524" s="246">
        <v>0.83333333333333337</v>
      </c>
      <c r="D524" s="246">
        <v>0.875</v>
      </c>
    </row>
    <row r="525" spans="1:4" ht="15.75" customHeight="1" x14ac:dyDescent="0.25">
      <c r="A525" s="239" t="s">
        <v>863</v>
      </c>
      <c r="B525" s="241">
        <v>46256</v>
      </c>
      <c r="C525" s="246">
        <v>0.875</v>
      </c>
      <c r="D525" s="246">
        <v>0.91666666666666663</v>
      </c>
    </row>
    <row r="526" spans="1:4" ht="15.75" customHeight="1" x14ac:dyDescent="0.25">
      <c r="A526" s="239" t="s">
        <v>864</v>
      </c>
      <c r="B526" s="241">
        <v>46256</v>
      </c>
      <c r="C526" s="246">
        <v>0.91666666666666663</v>
      </c>
      <c r="D526" s="246">
        <v>0.95833333333333337</v>
      </c>
    </row>
    <row r="527" spans="1:4" ht="15.75" customHeight="1" x14ac:dyDescent="0.25">
      <c r="A527" s="239" t="s">
        <v>865</v>
      </c>
      <c r="B527" s="241">
        <v>46256</v>
      </c>
      <c r="C527" s="246">
        <v>0.95833333333333337</v>
      </c>
      <c r="D527" s="246">
        <v>0</v>
      </c>
    </row>
    <row r="528" spans="1:4" ht="15.75" customHeight="1" x14ac:dyDescent="0.25">
      <c r="A528" s="239" t="s">
        <v>866</v>
      </c>
      <c r="B528" s="241">
        <v>46256</v>
      </c>
      <c r="C528" s="246">
        <v>0</v>
      </c>
      <c r="D528" s="246">
        <v>4.1666666666666664E-2</v>
      </c>
    </row>
    <row r="529" spans="1:4" ht="15.75" customHeight="1" x14ac:dyDescent="0.25">
      <c r="A529" s="239" t="s">
        <v>867</v>
      </c>
      <c r="B529" s="241">
        <v>46256</v>
      </c>
      <c r="C529" s="246">
        <v>4.1666666666666664E-2</v>
      </c>
      <c r="D529" s="246">
        <v>8.3333333333333329E-2</v>
      </c>
    </row>
    <row r="530" spans="1:4" ht="15.75" customHeight="1" x14ac:dyDescent="0.25">
      <c r="A530" s="239" t="s">
        <v>868</v>
      </c>
      <c r="B530" s="241">
        <v>46256</v>
      </c>
      <c r="C530" s="246">
        <v>8.3333333333333329E-2</v>
      </c>
      <c r="D530" s="246">
        <v>0.125</v>
      </c>
    </row>
    <row r="531" spans="1:4" ht="15.75" customHeight="1" x14ac:dyDescent="0.25">
      <c r="A531" s="239" t="s">
        <v>869</v>
      </c>
      <c r="B531" s="241">
        <v>46256</v>
      </c>
      <c r="C531" s="246">
        <v>0.125</v>
      </c>
      <c r="D531" s="246">
        <v>0.16666666666666666</v>
      </c>
    </row>
    <row r="532" spans="1:4" ht="15.75" customHeight="1" x14ac:dyDescent="0.25">
      <c r="A532" s="239" t="s">
        <v>870</v>
      </c>
      <c r="B532" s="241">
        <v>46256</v>
      </c>
      <c r="C532" s="246">
        <v>0.16666666666666666</v>
      </c>
      <c r="D532" s="246">
        <v>0.20833333333333334</v>
      </c>
    </row>
    <row r="533" spans="1:4" ht="15.75" customHeight="1" x14ac:dyDescent="0.25">
      <c r="A533" s="239" t="s">
        <v>871</v>
      </c>
      <c r="B533" s="241">
        <v>46256</v>
      </c>
      <c r="C533" s="246">
        <v>0.20833333333333334</v>
      </c>
      <c r="D533" s="246">
        <v>0.25</v>
      </c>
    </row>
    <row r="534" spans="1:4" ht="15.75" customHeight="1" x14ac:dyDescent="0.25">
      <c r="A534" s="239" t="s">
        <v>872</v>
      </c>
      <c r="B534" s="241">
        <v>46257</v>
      </c>
      <c r="C534" s="246">
        <v>0.25</v>
      </c>
      <c r="D534" s="246">
        <v>0.29166666666666669</v>
      </c>
    </row>
    <row r="535" spans="1:4" ht="15.75" customHeight="1" x14ac:dyDescent="0.25">
      <c r="A535" s="239" t="s">
        <v>873</v>
      </c>
      <c r="B535" s="241">
        <v>46257</v>
      </c>
      <c r="C535" s="246">
        <v>0.29166666666666669</v>
      </c>
      <c r="D535" s="246">
        <v>0.33333333333333331</v>
      </c>
    </row>
    <row r="536" spans="1:4" ht="15.75" customHeight="1" x14ac:dyDescent="0.25">
      <c r="A536" s="239" t="s">
        <v>874</v>
      </c>
      <c r="B536" s="241">
        <v>46257</v>
      </c>
      <c r="C536" s="246">
        <v>0.33333333333333331</v>
      </c>
      <c r="D536" s="246">
        <v>0.375</v>
      </c>
    </row>
    <row r="537" spans="1:4" ht="15.75" customHeight="1" x14ac:dyDescent="0.25">
      <c r="A537" s="239" t="s">
        <v>875</v>
      </c>
      <c r="B537" s="241">
        <v>46257</v>
      </c>
      <c r="C537" s="246">
        <v>0.375</v>
      </c>
      <c r="D537" s="246">
        <v>0.41666666666666669</v>
      </c>
    </row>
    <row r="538" spans="1:4" ht="15.75" customHeight="1" x14ac:dyDescent="0.25">
      <c r="A538" s="239" t="s">
        <v>876</v>
      </c>
      <c r="B538" s="241">
        <v>46257</v>
      </c>
      <c r="C538" s="246">
        <v>0.41666666666666669</v>
      </c>
      <c r="D538" s="246">
        <v>0.45833333333333331</v>
      </c>
    </row>
    <row r="539" spans="1:4" ht="15.75" customHeight="1" x14ac:dyDescent="0.25">
      <c r="A539" s="239" t="s">
        <v>877</v>
      </c>
      <c r="B539" s="241">
        <v>46257</v>
      </c>
      <c r="C539" s="246">
        <v>0.45833333333333331</v>
      </c>
      <c r="D539" s="246">
        <v>0.5</v>
      </c>
    </row>
    <row r="540" spans="1:4" ht="15.75" customHeight="1" x14ac:dyDescent="0.25">
      <c r="A540" s="239" t="s">
        <v>878</v>
      </c>
      <c r="B540" s="241">
        <v>46257</v>
      </c>
      <c r="C540" s="246">
        <v>0.5</v>
      </c>
      <c r="D540" s="246">
        <v>0.54166666666666663</v>
      </c>
    </row>
    <row r="541" spans="1:4" ht="15.75" customHeight="1" x14ac:dyDescent="0.25">
      <c r="A541" s="239" t="s">
        <v>879</v>
      </c>
      <c r="B541" s="241">
        <v>46257</v>
      </c>
      <c r="C541" s="246">
        <v>0.54166666666666663</v>
      </c>
      <c r="D541" s="246">
        <v>0.58333333333333337</v>
      </c>
    </row>
    <row r="542" spans="1:4" ht="15.75" customHeight="1" x14ac:dyDescent="0.25">
      <c r="A542" s="239" t="s">
        <v>880</v>
      </c>
      <c r="B542" s="241">
        <v>46257</v>
      </c>
      <c r="C542" s="246">
        <v>0.58333333333333337</v>
      </c>
      <c r="D542" s="246">
        <v>0.625</v>
      </c>
    </row>
    <row r="543" spans="1:4" ht="15.75" customHeight="1" x14ac:dyDescent="0.25">
      <c r="A543" s="239" t="s">
        <v>881</v>
      </c>
      <c r="B543" s="241">
        <v>46257</v>
      </c>
      <c r="C543" s="246">
        <v>0.625</v>
      </c>
      <c r="D543" s="246">
        <v>0.66666666666666663</v>
      </c>
    </row>
    <row r="544" spans="1:4" ht="15.75" customHeight="1" x14ac:dyDescent="0.25">
      <c r="A544" s="239" t="s">
        <v>882</v>
      </c>
      <c r="B544" s="241">
        <v>46257</v>
      </c>
      <c r="C544" s="246">
        <v>0.66666666666666663</v>
      </c>
      <c r="D544" s="246">
        <v>0.70833333333333337</v>
      </c>
    </row>
    <row r="545" spans="1:4" ht="15.75" customHeight="1" x14ac:dyDescent="0.25">
      <c r="A545" s="239" t="s">
        <v>883</v>
      </c>
      <c r="B545" s="241">
        <v>46257</v>
      </c>
      <c r="C545" s="246">
        <v>0.70833333333333337</v>
      </c>
      <c r="D545" s="246">
        <v>0.75</v>
      </c>
    </row>
    <row r="546" spans="1:4" ht="15.75" customHeight="1" x14ac:dyDescent="0.25">
      <c r="A546" s="239" t="s">
        <v>884</v>
      </c>
      <c r="B546" s="241">
        <v>46257</v>
      </c>
      <c r="C546" s="246">
        <v>0.75</v>
      </c>
      <c r="D546" s="246">
        <v>0.79166666666666663</v>
      </c>
    </row>
    <row r="547" spans="1:4" ht="15.75" customHeight="1" x14ac:dyDescent="0.25">
      <c r="A547" s="239" t="s">
        <v>885</v>
      </c>
      <c r="B547" s="241">
        <v>46257</v>
      </c>
      <c r="C547" s="246">
        <v>0.79166666666666663</v>
      </c>
      <c r="D547" s="246">
        <v>0.83333333333333337</v>
      </c>
    </row>
    <row r="548" spans="1:4" ht="15.75" customHeight="1" x14ac:dyDescent="0.25">
      <c r="A548" s="239" t="s">
        <v>886</v>
      </c>
      <c r="B548" s="241">
        <v>46257</v>
      </c>
      <c r="C548" s="246">
        <v>0.83333333333333337</v>
      </c>
      <c r="D548" s="246">
        <v>0.875</v>
      </c>
    </row>
    <row r="549" spans="1:4" ht="15.75" customHeight="1" x14ac:dyDescent="0.25">
      <c r="A549" s="239" t="s">
        <v>887</v>
      </c>
      <c r="B549" s="241">
        <v>46257</v>
      </c>
      <c r="C549" s="246">
        <v>0.875</v>
      </c>
      <c r="D549" s="246">
        <v>0.91666666666666663</v>
      </c>
    </row>
    <row r="550" spans="1:4" ht="15.75" customHeight="1" x14ac:dyDescent="0.25">
      <c r="A550" s="239" t="s">
        <v>888</v>
      </c>
      <c r="B550" s="241">
        <v>46257</v>
      </c>
      <c r="C550" s="246">
        <v>0.91666666666666663</v>
      </c>
      <c r="D550" s="246">
        <v>0.95833333333333337</v>
      </c>
    </row>
    <row r="551" spans="1:4" ht="15.75" customHeight="1" x14ac:dyDescent="0.25">
      <c r="A551" s="239" t="s">
        <v>889</v>
      </c>
      <c r="B551" s="241">
        <v>46257</v>
      </c>
      <c r="C551" s="246">
        <v>0.95833333333333337</v>
      </c>
      <c r="D551" s="246">
        <v>0</v>
      </c>
    </row>
    <row r="552" spans="1:4" ht="15.75" customHeight="1" x14ac:dyDescent="0.25">
      <c r="A552" s="239" t="s">
        <v>890</v>
      </c>
      <c r="B552" s="241">
        <v>46257</v>
      </c>
      <c r="C552" s="246">
        <v>0</v>
      </c>
      <c r="D552" s="246">
        <v>4.1666666666666664E-2</v>
      </c>
    </row>
    <row r="553" spans="1:4" ht="15.75" customHeight="1" x14ac:dyDescent="0.25">
      <c r="A553" s="239" t="s">
        <v>891</v>
      </c>
      <c r="B553" s="241">
        <v>46257</v>
      </c>
      <c r="C553" s="246">
        <v>4.1666666666666664E-2</v>
      </c>
      <c r="D553" s="246">
        <v>8.3333333333333329E-2</v>
      </c>
    </row>
    <row r="554" spans="1:4" ht="15.75" customHeight="1" x14ac:dyDescent="0.25">
      <c r="A554" s="239" t="s">
        <v>892</v>
      </c>
      <c r="B554" s="241">
        <v>46257</v>
      </c>
      <c r="C554" s="246">
        <v>8.3333333333333329E-2</v>
      </c>
      <c r="D554" s="246">
        <v>0.125</v>
      </c>
    </row>
    <row r="555" spans="1:4" ht="15.75" customHeight="1" x14ac:dyDescent="0.25">
      <c r="A555" s="239" t="s">
        <v>893</v>
      </c>
      <c r="B555" s="241">
        <v>46257</v>
      </c>
      <c r="C555" s="246">
        <v>0.125</v>
      </c>
      <c r="D555" s="246">
        <v>0.16666666666666666</v>
      </c>
    </row>
    <row r="556" spans="1:4" ht="15.75" customHeight="1" x14ac:dyDescent="0.25">
      <c r="A556" s="239" t="s">
        <v>894</v>
      </c>
      <c r="B556" s="241">
        <v>46257</v>
      </c>
      <c r="C556" s="246">
        <v>0.16666666666666666</v>
      </c>
      <c r="D556" s="246">
        <v>0.20833333333333334</v>
      </c>
    </row>
    <row r="557" spans="1:4" ht="15.75" customHeight="1" x14ac:dyDescent="0.25">
      <c r="A557" s="239" t="s">
        <v>895</v>
      </c>
      <c r="B557" s="241">
        <v>46257</v>
      </c>
      <c r="C557" s="246">
        <v>0.20833333333333334</v>
      </c>
      <c r="D557" s="246">
        <v>0.25</v>
      </c>
    </row>
    <row r="558" spans="1:4" ht="15.75" customHeight="1" x14ac:dyDescent="0.25">
      <c r="A558" s="239" t="s">
        <v>896</v>
      </c>
      <c r="B558" s="241">
        <v>46258</v>
      </c>
      <c r="C558" s="246">
        <v>0.25</v>
      </c>
      <c r="D558" s="246">
        <v>0.29166666666666669</v>
      </c>
    </row>
    <row r="559" spans="1:4" ht="15.75" customHeight="1" x14ac:dyDescent="0.25">
      <c r="A559" s="239" t="s">
        <v>897</v>
      </c>
      <c r="B559" s="241">
        <v>46258</v>
      </c>
      <c r="C559" s="246">
        <v>0.29166666666666669</v>
      </c>
      <c r="D559" s="246">
        <v>0.33333333333333331</v>
      </c>
    </row>
    <row r="560" spans="1:4" ht="15.75" customHeight="1" x14ac:dyDescent="0.25">
      <c r="A560" s="239" t="s">
        <v>898</v>
      </c>
      <c r="B560" s="241">
        <v>46258</v>
      </c>
      <c r="C560" s="246">
        <v>0.33333333333333331</v>
      </c>
      <c r="D560" s="246">
        <v>0.375</v>
      </c>
    </row>
    <row r="561" spans="1:4" ht="15.75" customHeight="1" x14ac:dyDescent="0.25">
      <c r="A561" s="239" t="s">
        <v>899</v>
      </c>
      <c r="B561" s="241">
        <v>46258</v>
      </c>
      <c r="C561" s="246">
        <v>0.375</v>
      </c>
      <c r="D561" s="246">
        <v>0.41666666666666669</v>
      </c>
    </row>
    <row r="562" spans="1:4" ht="15.75" customHeight="1" x14ac:dyDescent="0.25">
      <c r="A562" s="239" t="s">
        <v>900</v>
      </c>
      <c r="B562" s="241">
        <v>46258</v>
      </c>
      <c r="C562" s="246">
        <v>0.41666666666666669</v>
      </c>
      <c r="D562" s="246">
        <v>0.45833333333333331</v>
      </c>
    </row>
    <row r="563" spans="1:4" ht="15.75" customHeight="1" x14ac:dyDescent="0.25">
      <c r="A563" s="239" t="s">
        <v>901</v>
      </c>
      <c r="B563" s="241">
        <v>46258</v>
      </c>
      <c r="C563" s="246">
        <v>0.45833333333333331</v>
      </c>
      <c r="D563" s="246">
        <v>0.5</v>
      </c>
    </row>
    <row r="564" spans="1:4" ht="15.75" customHeight="1" x14ac:dyDescent="0.25">
      <c r="A564" s="239" t="s">
        <v>902</v>
      </c>
      <c r="B564" s="241">
        <v>46258</v>
      </c>
      <c r="C564" s="246">
        <v>0.5</v>
      </c>
      <c r="D564" s="246">
        <v>0.54166666666666663</v>
      </c>
    </row>
    <row r="565" spans="1:4" ht="15.75" customHeight="1" x14ac:dyDescent="0.25">
      <c r="A565" s="239" t="s">
        <v>903</v>
      </c>
      <c r="B565" s="241">
        <v>46258</v>
      </c>
      <c r="C565" s="246">
        <v>0.54166666666666663</v>
      </c>
      <c r="D565" s="246">
        <v>0.58333333333333337</v>
      </c>
    </row>
    <row r="566" spans="1:4" ht="15.75" customHeight="1" x14ac:dyDescent="0.25">
      <c r="A566" s="239" t="s">
        <v>904</v>
      </c>
      <c r="B566" s="241">
        <v>46258</v>
      </c>
      <c r="C566" s="246">
        <v>0.58333333333333337</v>
      </c>
      <c r="D566" s="246">
        <v>0.625</v>
      </c>
    </row>
    <row r="567" spans="1:4" ht="15.75" customHeight="1" x14ac:dyDescent="0.25">
      <c r="A567" s="239" t="s">
        <v>905</v>
      </c>
      <c r="B567" s="241">
        <v>46258</v>
      </c>
      <c r="C567" s="246">
        <v>0.625</v>
      </c>
      <c r="D567" s="246">
        <v>0.66666666666666663</v>
      </c>
    </row>
    <row r="568" spans="1:4" ht="15.75" customHeight="1" x14ac:dyDescent="0.25">
      <c r="A568" s="239" t="s">
        <v>906</v>
      </c>
      <c r="B568" s="241">
        <v>46258</v>
      </c>
      <c r="C568" s="246">
        <v>0.66666666666666663</v>
      </c>
      <c r="D568" s="246">
        <v>0.70833333333333337</v>
      </c>
    </row>
    <row r="569" spans="1:4" ht="15.75" customHeight="1" x14ac:dyDescent="0.25">
      <c r="A569" s="239" t="s">
        <v>907</v>
      </c>
      <c r="B569" s="241">
        <v>46258</v>
      </c>
      <c r="C569" s="246">
        <v>0.70833333333333337</v>
      </c>
      <c r="D569" s="246">
        <v>0.75</v>
      </c>
    </row>
    <row r="570" spans="1:4" ht="15.75" customHeight="1" x14ac:dyDescent="0.25">
      <c r="A570" s="239" t="s">
        <v>908</v>
      </c>
      <c r="B570" s="241">
        <v>46258</v>
      </c>
      <c r="C570" s="246">
        <v>0.75</v>
      </c>
      <c r="D570" s="246">
        <v>0.79166666666666663</v>
      </c>
    </row>
    <row r="571" spans="1:4" ht="15.75" customHeight="1" x14ac:dyDescent="0.25">
      <c r="A571" s="239" t="s">
        <v>909</v>
      </c>
      <c r="B571" s="241">
        <v>46258</v>
      </c>
      <c r="C571" s="246">
        <v>0.79166666666666663</v>
      </c>
      <c r="D571" s="246">
        <v>0.83333333333333337</v>
      </c>
    </row>
    <row r="572" spans="1:4" ht="15.75" customHeight="1" x14ac:dyDescent="0.25">
      <c r="A572" s="239" t="s">
        <v>910</v>
      </c>
      <c r="B572" s="241">
        <v>46258</v>
      </c>
      <c r="C572" s="246">
        <v>0.83333333333333337</v>
      </c>
      <c r="D572" s="246">
        <v>0.875</v>
      </c>
    </row>
    <row r="573" spans="1:4" ht="15.75" customHeight="1" x14ac:dyDescent="0.25">
      <c r="A573" s="239" t="s">
        <v>911</v>
      </c>
      <c r="B573" s="241">
        <v>46258</v>
      </c>
      <c r="C573" s="246">
        <v>0.875</v>
      </c>
      <c r="D573" s="246">
        <v>0.91666666666666663</v>
      </c>
    </row>
    <row r="574" spans="1:4" ht="15.75" customHeight="1" x14ac:dyDescent="0.25">
      <c r="A574" s="239" t="s">
        <v>912</v>
      </c>
      <c r="B574" s="241">
        <v>46258</v>
      </c>
      <c r="C574" s="246">
        <v>0.91666666666666663</v>
      </c>
      <c r="D574" s="246">
        <v>0.95833333333333337</v>
      </c>
    </row>
    <row r="575" spans="1:4" ht="15.75" customHeight="1" x14ac:dyDescent="0.25">
      <c r="A575" s="239" t="s">
        <v>913</v>
      </c>
      <c r="B575" s="241">
        <v>46258</v>
      </c>
      <c r="C575" s="246">
        <v>0.95833333333333337</v>
      </c>
      <c r="D575" s="246">
        <v>0</v>
      </c>
    </row>
    <row r="576" spans="1:4" ht="15.75" customHeight="1" x14ac:dyDescent="0.25">
      <c r="A576" s="239" t="s">
        <v>914</v>
      </c>
      <c r="B576" s="241">
        <v>46258</v>
      </c>
      <c r="C576" s="246">
        <v>0</v>
      </c>
      <c r="D576" s="246">
        <v>4.1666666666666664E-2</v>
      </c>
    </row>
    <row r="577" spans="1:4" ht="15.75" customHeight="1" x14ac:dyDescent="0.25">
      <c r="A577" s="239" t="s">
        <v>915</v>
      </c>
      <c r="B577" s="241">
        <v>46258</v>
      </c>
      <c r="C577" s="246">
        <v>4.1666666666666664E-2</v>
      </c>
      <c r="D577" s="246">
        <v>8.3333333333333329E-2</v>
      </c>
    </row>
    <row r="578" spans="1:4" ht="15.75" customHeight="1" x14ac:dyDescent="0.25">
      <c r="A578" s="239" t="s">
        <v>916</v>
      </c>
      <c r="B578" s="241">
        <v>46258</v>
      </c>
      <c r="C578" s="246">
        <v>8.3333333333333329E-2</v>
      </c>
      <c r="D578" s="246">
        <v>0.125</v>
      </c>
    </row>
    <row r="579" spans="1:4" ht="15.75" customHeight="1" x14ac:dyDescent="0.25">
      <c r="A579" s="239" t="s">
        <v>917</v>
      </c>
      <c r="B579" s="241">
        <v>46258</v>
      </c>
      <c r="C579" s="246">
        <v>0.125</v>
      </c>
      <c r="D579" s="246">
        <v>0.16666666666666666</v>
      </c>
    </row>
    <row r="580" spans="1:4" ht="15.75" customHeight="1" x14ac:dyDescent="0.25">
      <c r="A580" s="239" t="s">
        <v>918</v>
      </c>
      <c r="B580" s="241">
        <v>46258</v>
      </c>
      <c r="C580" s="246">
        <v>0.16666666666666666</v>
      </c>
      <c r="D580" s="246">
        <v>0.20833333333333334</v>
      </c>
    </row>
    <row r="581" spans="1:4" ht="15.75" customHeight="1" x14ac:dyDescent="0.25">
      <c r="A581" s="239" t="s">
        <v>919</v>
      </c>
      <c r="B581" s="241">
        <v>46258</v>
      </c>
      <c r="C581" s="246">
        <v>0.20833333333333334</v>
      </c>
      <c r="D581" s="246">
        <v>0.25</v>
      </c>
    </row>
    <row r="582" spans="1:4" ht="15.75" customHeight="1" x14ac:dyDescent="0.25">
      <c r="A582" s="239" t="s">
        <v>920</v>
      </c>
      <c r="B582" s="241">
        <v>46259</v>
      </c>
      <c r="C582" s="246">
        <v>0.25</v>
      </c>
      <c r="D582" s="246">
        <v>0.29166666666666669</v>
      </c>
    </row>
    <row r="583" spans="1:4" ht="15.75" customHeight="1" x14ac:dyDescent="0.25">
      <c r="A583" s="239" t="s">
        <v>921</v>
      </c>
      <c r="B583" s="241">
        <v>46259</v>
      </c>
      <c r="C583" s="246">
        <v>0.29166666666666669</v>
      </c>
      <c r="D583" s="246">
        <v>0.33333333333333331</v>
      </c>
    </row>
    <row r="584" spans="1:4" ht="15.75" customHeight="1" x14ac:dyDescent="0.25">
      <c r="A584" s="239" t="s">
        <v>922</v>
      </c>
      <c r="B584" s="241">
        <v>46259</v>
      </c>
      <c r="C584" s="246">
        <v>0.33333333333333331</v>
      </c>
      <c r="D584" s="246">
        <v>0.375</v>
      </c>
    </row>
    <row r="585" spans="1:4" ht="15.75" customHeight="1" x14ac:dyDescent="0.25">
      <c r="A585" s="239" t="s">
        <v>923</v>
      </c>
      <c r="B585" s="241">
        <v>46259</v>
      </c>
      <c r="C585" s="246">
        <v>0.375</v>
      </c>
      <c r="D585" s="246">
        <v>0.41666666666666669</v>
      </c>
    </row>
    <row r="586" spans="1:4" ht="15.75" customHeight="1" x14ac:dyDescent="0.25">
      <c r="A586" s="239" t="s">
        <v>924</v>
      </c>
      <c r="B586" s="241">
        <v>46259</v>
      </c>
      <c r="C586" s="246">
        <v>0.41666666666666669</v>
      </c>
      <c r="D586" s="246">
        <v>0.45833333333333331</v>
      </c>
    </row>
    <row r="587" spans="1:4" ht="15.75" customHeight="1" x14ac:dyDescent="0.25">
      <c r="A587" s="239" t="s">
        <v>925</v>
      </c>
      <c r="B587" s="241">
        <v>46259</v>
      </c>
      <c r="C587" s="246">
        <v>0.45833333333333331</v>
      </c>
      <c r="D587" s="246">
        <v>0.5</v>
      </c>
    </row>
    <row r="588" spans="1:4" ht="15.75" customHeight="1" x14ac:dyDescent="0.25">
      <c r="A588" s="239" t="s">
        <v>926</v>
      </c>
      <c r="B588" s="241">
        <v>46259</v>
      </c>
      <c r="C588" s="246">
        <v>0.5</v>
      </c>
      <c r="D588" s="246">
        <v>0.54166666666666663</v>
      </c>
    </row>
    <row r="589" spans="1:4" ht="15.75" customHeight="1" x14ac:dyDescent="0.25">
      <c r="A589" s="239" t="s">
        <v>927</v>
      </c>
      <c r="B589" s="241">
        <v>46259</v>
      </c>
      <c r="C589" s="246">
        <v>0.54166666666666663</v>
      </c>
      <c r="D589" s="246">
        <v>0.58333333333333337</v>
      </c>
    </row>
    <row r="590" spans="1:4" ht="15.75" customHeight="1" x14ac:dyDescent="0.25">
      <c r="A590" s="239" t="s">
        <v>928</v>
      </c>
      <c r="B590" s="241">
        <v>46259</v>
      </c>
      <c r="C590" s="246">
        <v>0.58333333333333337</v>
      </c>
      <c r="D590" s="246">
        <v>0.625</v>
      </c>
    </row>
    <row r="591" spans="1:4" ht="15.75" customHeight="1" x14ac:dyDescent="0.25">
      <c r="A591" s="239" t="s">
        <v>929</v>
      </c>
      <c r="B591" s="241">
        <v>46259</v>
      </c>
      <c r="C591" s="246">
        <v>0.625</v>
      </c>
      <c r="D591" s="246">
        <v>0.66666666666666663</v>
      </c>
    </row>
    <row r="592" spans="1:4" ht="15.75" customHeight="1" x14ac:dyDescent="0.25">
      <c r="A592" s="239" t="s">
        <v>930</v>
      </c>
      <c r="B592" s="241">
        <v>46259</v>
      </c>
      <c r="C592" s="246">
        <v>0.66666666666666663</v>
      </c>
      <c r="D592" s="246">
        <v>0.70833333333333337</v>
      </c>
    </row>
    <row r="593" spans="1:4" ht="15.75" customHeight="1" x14ac:dyDescent="0.25">
      <c r="A593" s="239" t="s">
        <v>931</v>
      </c>
      <c r="B593" s="241">
        <v>46259</v>
      </c>
      <c r="C593" s="246">
        <v>0.70833333333333337</v>
      </c>
      <c r="D593" s="246">
        <v>0.75</v>
      </c>
    </row>
    <row r="594" spans="1:4" ht="15.75" customHeight="1" x14ac:dyDescent="0.25">
      <c r="A594" s="239" t="s">
        <v>932</v>
      </c>
      <c r="B594" s="241">
        <v>46259</v>
      </c>
      <c r="C594" s="246">
        <v>0.75</v>
      </c>
      <c r="D594" s="246">
        <v>0.79166666666666663</v>
      </c>
    </row>
    <row r="595" spans="1:4" ht="15.75" customHeight="1" x14ac:dyDescent="0.25">
      <c r="A595" s="239" t="s">
        <v>933</v>
      </c>
      <c r="B595" s="241">
        <v>46259</v>
      </c>
      <c r="C595" s="246">
        <v>0.79166666666666663</v>
      </c>
      <c r="D595" s="246">
        <v>0.83333333333333337</v>
      </c>
    </row>
    <row r="596" spans="1:4" ht="15.75" customHeight="1" x14ac:dyDescent="0.25">
      <c r="A596" s="239" t="s">
        <v>934</v>
      </c>
      <c r="B596" s="241">
        <v>46259</v>
      </c>
      <c r="C596" s="246">
        <v>0.83333333333333337</v>
      </c>
      <c r="D596" s="246">
        <v>0.875</v>
      </c>
    </row>
    <row r="597" spans="1:4" ht="15.75" customHeight="1" x14ac:dyDescent="0.25">
      <c r="A597" s="239" t="s">
        <v>935</v>
      </c>
      <c r="B597" s="241">
        <v>46259</v>
      </c>
      <c r="C597" s="246">
        <v>0.875</v>
      </c>
      <c r="D597" s="246">
        <v>0.91666666666666663</v>
      </c>
    </row>
    <row r="598" spans="1:4" ht="15.75" customHeight="1" x14ac:dyDescent="0.25">
      <c r="A598" s="239" t="s">
        <v>936</v>
      </c>
      <c r="B598" s="241">
        <v>46259</v>
      </c>
      <c r="C598" s="246">
        <v>0.91666666666666663</v>
      </c>
      <c r="D598" s="246">
        <v>0.95833333333333337</v>
      </c>
    </row>
    <row r="599" spans="1:4" ht="15.75" customHeight="1" x14ac:dyDescent="0.25">
      <c r="A599" s="239" t="s">
        <v>937</v>
      </c>
      <c r="B599" s="241">
        <v>46259</v>
      </c>
      <c r="C599" s="246">
        <v>0.95833333333333337</v>
      </c>
      <c r="D599" s="246">
        <v>0</v>
      </c>
    </row>
    <row r="600" spans="1:4" ht="15.75" customHeight="1" x14ac:dyDescent="0.25">
      <c r="A600" s="239" t="s">
        <v>938</v>
      </c>
      <c r="B600" s="241">
        <v>46259</v>
      </c>
      <c r="C600" s="246">
        <v>0</v>
      </c>
      <c r="D600" s="246">
        <v>4.1666666666666664E-2</v>
      </c>
    </row>
    <row r="601" spans="1:4" ht="15.75" customHeight="1" x14ac:dyDescent="0.25">
      <c r="A601" s="239" t="s">
        <v>939</v>
      </c>
      <c r="B601" s="241">
        <v>46259</v>
      </c>
      <c r="C601" s="246">
        <v>4.1666666666666664E-2</v>
      </c>
      <c r="D601" s="246">
        <v>8.3333333333333329E-2</v>
      </c>
    </row>
    <row r="602" spans="1:4" ht="15.75" customHeight="1" x14ac:dyDescent="0.25">
      <c r="A602" s="239" t="s">
        <v>940</v>
      </c>
      <c r="B602" s="241">
        <v>46259</v>
      </c>
      <c r="C602" s="246">
        <v>8.3333333333333329E-2</v>
      </c>
      <c r="D602" s="246">
        <v>0.125</v>
      </c>
    </row>
    <row r="603" spans="1:4" ht="15.75" customHeight="1" x14ac:dyDescent="0.25">
      <c r="A603" s="239" t="s">
        <v>941</v>
      </c>
      <c r="B603" s="241">
        <v>46259</v>
      </c>
      <c r="C603" s="246">
        <v>0.125</v>
      </c>
      <c r="D603" s="246">
        <v>0.16666666666666666</v>
      </c>
    </row>
    <row r="604" spans="1:4" ht="15.75" customHeight="1" x14ac:dyDescent="0.25">
      <c r="A604" s="239" t="s">
        <v>942</v>
      </c>
      <c r="B604" s="241">
        <v>46259</v>
      </c>
      <c r="C604" s="246">
        <v>0.16666666666666666</v>
      </c>
      <c r="D604" s="246">
        <v>0.20833333333333334</v>
      </c>
    </row>
    <row r="605" spans="1:4" ht="15.75" customHeight="1" x14ac:dyDescent="0.25">
      <c r="A605" s="239" t="s">
        <v>943</v>
      </c>
      <c r="B605" s="241">
        <v>46259</v>
      </c>
      <c r="C605" s="246">
        <v>0.20833333333333334</v>
      </c>
      <c r="D605" s="246">
        <v>0.25</v>
      </c>
    </row>
    <row r="606" spans="1:4" ht="15.75" customHeight="1" x14ac:dyDescent="0.25">
      <c r="A606" s="239" t="s">
        <v>944</v>
      </c>
      <c r="B606" s="241">
        <v>46260</v>
      </c>
      <c r="C606" s="246">
        <v>0.25</v>
      </c>
      <c r="D606" s="246">
        <v>0.29166666666666669</v>
      </c>
    </row>
    <row r="607" spans="1:4" ht="15.75" customHeight="1" x14ac:dyDescent="0.25">
      <c r="A607" s="239" t="s">
        <v>945</v>
      </c>
      <c r="B607" s="241">
        <v>46260</v>
      </c>
      <c r="C607" s="246">
        <v>0.29166666666666669</v>
      </c>
      <c r="D607" s="246">
        <v>0.33333333333333331</v>
      </c>
    </row>
    <row r="608" spans="1:4" ht="15.75" customHeight="1" x14ac:dyDescent="0.25">
      <c r="A608" s="239" t="s">
        <v>946</v>
      </c>
      <c r="B608" s="241">
        <v>46260</v>
      </c>
      <c r="C608" s="246">
        <v>0.33333333333333331</v>
      </c>
      <c r="D608" s="246">
        <v>0.375</v>
      </c>
    </row>
    <row r="609" spans="1:4" ht="15.75" customHeight="1" x14ac:dyDescent="0.25">
      <c r="A609" s="239" t="s">
        <v>947</v>
      </c>
      <c r="B609" s="241">
        <v>46260</v>
      </c>
      <c r="C609" s="246">
        <v>0.375</v>
      </c>
      <c r="D609" s="246">
        <v>0.41666666666666669</v>
      </c>
    </row>
    <row r="610" spans="1:4" ht="15.75" customHeight="1" x14ac:dyDescent="0.25">
      <c r="A610" s="239" t="s">
        <v>948</v>
      </c>
      <c r="B610" s="241">
        <v>46260</v>
      </c>
      <c r="C610" s="246">
        <v>0.41666666666666669</v>
      </c>
      <c r="D610" s="246">
        <v>0.45833333333333331</v>
      </c>
    </row>
    <row r="611" spans="1:4" ht="15.75" customHeight="1" x14ac:dyDescent="0.25">
      <c r="A611" s="239" t="s">
        <v>949</v>
      </c>
      <c r="B611" s="241">
        <v>46260</v>
      </c>
      <c r="C611" s="246">
        <v>0.45833333333333331</v>
      </c>
      <c r="D611" s="246">
        <v>0.5</v>
      </c>
    </row>
    <row r="612" spans="1:4" ht="15.75" customHeight="1" x14ac:dyDescent="0.25">
      <c r="A612" s="239" t="s">
        <v>950</v>
      </c>
      <c r="B612" s="241">
        <v>46260</v>
      </c>
      <c r="C612" s="246">
        <v>0.5</v>
      </c>
      <c r="D612" s="246">
        <v>0.54166666666666663</v>
      </c>
    </row>
    <row r="613" spans="1:4" ht="15.75" customHeight="1" x14ac:dyDescent="0.25">
      <c r="A613" s="239" t="s">
        <v>951</v>
      </c>
      <c r="B613" s="241">
        <v>46260</v>
      </c>
      <c r="C613" s="246">
        <v>0.54166666666666663</v>
      </c>
      <c r="D613" s="246">
        <v>0.58333333333333337</v>
      </c>
    </row>
    <row r="614" spans="1:4" ht="15.75" customHeight="1" x14ac:dyDescent="0.25">
      <c r="A614" s="239" t="s">
        <v>952</v>
      </c>
      <c r="B614" s="241">
        <v>46260</v>
      </c>
      <c r="C614" s="246">
        <v>0.58333333333333337</v>
      </c>
      <c r="D614" s="246">
        <v>0.625</v>
      </c>
    </row>
    <row r="615" spans="1:4" ht="15.75" customHeight="1" x14ac:dyDescent="0.25">
      <c r="A615" s="239" t="s">
        <v>953</v>
      </c>
      <c r="B615" s="241">
        <v>46260</v>
      </c>
      <c r="C615" s="246">
        <v>0.625</v>
      </c>
      <c r="D615" s="246">
        <v>0.66666666666666663</v>
      </c>
    </row>
    <row r="616" spans="1:4" ht="15.75" customHeight="1" x14ac:dyDescent="0.25">
      <c r="A616" s="239" t="s">
        <v>954</v>
      </c>
      <c r="B616" s="241">
        <v>46260</v>
      </c>
      <c r="C616" s="246">
        <v>0.66666666666666663</v>
      </c>
      <c r="D616" s="246">
        <v>0.70833333333333337</v>
      </c>
    </row>
    <row r="617" spans="1:4" ht="15.75" customHeight="1" x14ac:dyDescent="0.25">
      <c r="A617" s="239" t="s">
        <v>955</v>
      </c>
      <c r="B617" s="241">
        <v>46260</v>
      </c>
      <c r="C617" s="246">
        <v>0.70833333333333337</v>
      </c>
      <c r="D617" s="246">
        <v>0.75</v>
      </c>
    </row>
    <row r="618" spans="1:4" ht="15.75" customHeight="1" x14ac:dyDescent="0.25">
      <c r="A618" s="239" t="s">
        <v>956</v>
      </c>
      <c r="B618" s="241">
        <v>46260</v>
      </c>
      <c r="C618" s="246">
        <v>0.75</v>
      </c>
      <c r="D618" s="246">
        <v>0.79166666666666663</v>
      </c>
    </row>
    <row r="619" spans="1:4" ht="15.75" customHeight="1" x14ac:dyDescent="0.25">
      <c r="A619" s="239" t="s">
        <v>957</v>
      </c>
      <c r="B619" s="241">
        <v>46260</v>
      </c>
      <c r="C619" s="246">
        <v>0.79166666666666663</v>
      </c>
      <c r="D619" s="246">
        <v>0.83333333333333337</v>
      </c>
    </row>
    <row r="620" spans="1:4" ht="15.75" customHeight="1" x14ac:dyDescent="0.25">
      <c r="A620" s="239" t="s">
        <v>958</v>
      </c>
      <c r="B620" s="241">
        <v>46260</v>
      </c>
      <c r="C620" s="246">
        <v>0.83333333333333337</v>
      </c>
      <c r="D620" s="246">
        <v>0.875</v>
      </c>
    </row>
    <row r="621" spans="1:4" ht="15.75" customHeight="1" x14ac:dyDescent="0.25">
      <c r="A621" s="239" t="s">
        <v>959</v>
      </c>
      <c r="B621" s="241">
        <v>46260</v>
      </c>
      <c r="C621" s="246">
        <v>0.875</v>
      </c>
      <c r="D621" s="246">
        <v>0.91666666666666663</v>
      </c>
    </row>
    <row r="622" spans="1:4" ht="15.75" customHeight="1" x14ac:dyDescent="0.25">
      <c r="A622" s="239" t="s">
        <v>960</v>
      </c>
      <c r="B622" s="241">
        <v>46260</v>
      </c>
      <c r="C622" s="246">
        <v>0.91666666666666663</v>
      </c>
      <c r="D622" s="246">
        <v>0.95833333333333337</v>
      </c>
    </row>
    <row r="623" spans="1:4" ht="15.75" customHeight="1" x14ac:dyDescent="0.25">
      <c r="A623" s="239" t="s">
        <v>961</v>
      </c>
      <c r="B623" s="241">
        <v>46260</v>
      </c>
      <c r="C623" s="246">
        <v>0.95833333333333337</v>
      </c>
      <c r="D623" s="246">
        <v>0</v>
      </c>
    </row>
    <row r="624" spans="1:4" ht="15.75" customHeight="1" x14ac:dyDescent="0.25">
      <c r="A624" s="239" t="s">
        <v>962</v>
      </c>
      <c r="B624" s="241">
        <v>46260</v>
      </c>
      <c r="C624" s="246">
        <v>0</v>
      </c>
      <c r="D624" s="246">
        <v>4.1666666666666664E-2</v>
      </c>
    </row>
    <row r="625" spans="1:4" ht="15.75" customHeight="1" x14ac:dyDescent="0.25">
      <c r="A625" s="239" t="s">
        <v>963</v>
      </c>
      <c r="B625" s="241">
        <v>46260</v>
      </c>
      <c r="C625" s="246">
        <v>4.1666666666666664E-2</v>
      </c>
      <c r="D625" s="246">
        <v>8.3333333333333329E-2</v>
      </c>
    </row>
    <row r="626" spans="1:4" ht="15.75" customHeight="1" x14ac:dyDescent="0.25">
      <c r="A626" s="239" t="s">
        <v>964</v>
      </c>
      <c r="B626" s="241">
        <v>46260</v>
      </c>
      <c r="C626" s="246">
        <v>8.3333333333333329E-2</v>
      </c>
      <c r="D626" s="246">
        <v>0.125</v>
      </c>
    </row>
    <row r="627" spans="1:4" ht="15.75" customHeight="1" x14ac:dyDescent="0.25">
      <c r="A627" s="239" t="s">
        <v>965</v>
      </c>
      <c r="B627" s="241">
        <v>46260</v>
      </c>
      <c r="C627" s="246">
        <v>0.125</v>
      </c>
      <c r="D627" s="246">
        <v>0.16666666666666666</v>
      </c>
    </row>
    <row r="628" spans="1:4" ht="15.75" customHeight="1" x14ac:dyDescent="0.25">
      <c r="A628" s="239" t="s">
        <v>966</v>
      </c>
      <c r="B628" s="241">
        <v>46260</v>
      </c>
      <c r="C628" s="246">
        <v>0.16666666666666666</v>
      </c>
      <c r="D628" s="246">
        <v>0.20833333333333334</v>
      </c>
    </row>
    <row r="629" spans="1:4" ht="15.75" customHeight="1" x14ac:dyDescent="0.25">
      <c r="A629" s="239" t="s">
        <v>967</v>
      </c>
      <c r="B629" s="241">
        <v>46260</v>
      </c>
      <c r="C629" s="246">
        <v>0.20833333333333334</v>
      </c>
      <c r="D629" s="246">
        <v>0.25</v>
      </c>
    </row>
    <row r="630" spans="1:4" ht="15.75" customHeight="1" x14ac:dyDescent="0.25">
      <c r="A630" s="239" t="s">
        <v>968</v>
      </c>
      <c r="B630" s="241">
        <v>46261</v>
      </c>
      <c r="C630" s="246">
        <v>0.25</v>
      </c>
      <c r="D630" s="246">
        <v>0.29166666666666669</v>
      </c>
    </row>
    <row r="631" spans="1:4" ht="15.75" customHeight="1" x14ac:dyDescent="0.25">
      <c r="A631" s="239" t="s">
        <v>969</v>
      </c>
      <c r="B631" s="241">
        <v>46261</v>
      </c>
      <c r="C631" s="246">
        <v>0.29166666666666669</v>
      </c>
      <c r="D631" s="246">
        <v>0.33333333333333331</v>
      </c>
    </row>
    <row r="632" spans="1:4" ht="15.75" customHeight="1" x14ac:dyDescent="0.25">
      <c r="A632" s="239" t="s">
        <v>970</v>
      </c>
      <c r="B632" s="241">
        <v>46261</v>
      </c>
      <c r="C632" s="246">
        <v>0.33333333333333331</v>
      </c>
      <c r="D632" s="246">
        <v>0.375</v>
      </c>
    </row>
    <row r="633" spans="1:4" ht="15.75" customHeight="1" x14ac:dyDescent="0.25">
      <c r="A633" s="239" t="s">
        <v>971</v>
      </c>
      <c r="B633" s="241">
        <v>46261</v>
      </c>
      <c r="C633" s="246">
        <v>0.375</v>
      </c>
      <c r="D633" s="246">
        <v>0.41666666666666669</v>
      </c>
    </row>
    <row r="634" spans="1:4" ht="15.75" customHeight="1" x14ac:dyDescent="0.25">
      <c r="A634" s="239" t="s">
        <v>972</v>
      </c>
      <c r="B634" s="241">
        <v>46261</v>
      </c>
      <c r="C634" s="246">
        <v>0.41666666666666669</v>
      </c>
      <c r="D634" s="246">
        <v>0.45833333333333331</v>
      </c>
    </row>
    <row r="635" spans="1:4" ht="15.75" customHeight="1" x14ac:dyDescent="0.25">
      <c r="A635" s="239" t="s">
        <v>973</v>
      </c>
      <c r="B635" s="241">
        <v>46261</v>
      </c>
      <c r="C635" s="246">
        <v>0.45833333333333331</v>
      </c>
      <c r="D635" s="246">
        <v>0.5</v>
      </c>
    </row>
    <row r="636" spans="1:4" ht="15.75" customHeight="1" x14ac:dyDescent="0.25">
      <c r="A636" s="239" t="s">
        <v>974</v>
      </c>
      <c r="B636" s="241">
        <v>46261</v>
      </c>
      <c r="C636" s="246">
        <v>0.5</v>
      </c>
      <c r="D636" s="246">
        <v>0.54166666666666663</v>
      </c>
    </row>
    <row r="637" spans="1:4" ht="15.75" customHeight="1" x14ac:dyDescent="0.25">
      <c r="A637" s="239" t="s">
        <v>975</v>
      </c>
      <c r="B637" s="241">
        <v>46261</v>
      </c>
      <c r="C637" s="246">
        <v>0.54166666666666663</v>
      </c>
      <c r="D637" s="246">
        <v>0.58333333333333337</v>
      </c>
    </row>
    <row r="638" spans="1:4" ht="15.75" customHeight="1" x14ac:dyDescent="0.25">
      <c r="A638" s="239" t="s">
        <v>976</v>
      </c>
      <c r="B638" s="241">
        <v>46261</v>
      </c>
      <c r="C638" s="246">
        <v>0.58333333333333337</v>
      </c>
      <c r="D638" s="246">
        <v>0.625</v>
      </c>
    </row>
    <row r="639" spans="1:4" ht="15.75" customHeight="1" x14ac:dyDescent="0.25">
      <c r="A639" s="239" t="s">
        <v>977</v>
      </c>
      <c r="B639" s="241">
        <v>46261</v>
      </c>
      <c r="C639" s="246">
        <v>0.625</v>
      </c>
      <c r="D639" s="246">
        <v>0.66666666666666663</v>
      </c>
    </row>
    <row r="640" spans="1:4" ht="15.75" customHeight="1" x14ac:dyDescent="0.25">
      <c r="A640" s="239" t="s">
        <v>978</v>
      </c>
      <c r="B640" s="241">
        <v>46261</v>
      </c>
      <c r="C640" s="246">
        <v>0.66666666666666663</v>
      </c>
      <c r="D640" s="246">
        <v>0.70833333333333337</v>
      </c>
    </row>
    <row r="641" spans="1:4" ht="15.75" customHeight="1" x14ac:dyDescent="0.25">
      <c r="A641" s="239" t="s">
        <v>979</v>
      </c>
      <c r="B641" s="241">
        <v>46261</v>
      </c>
      <c r="C641" s="246">
        <v>0.70833333333333337</v>
      </c>
      <c r="D641" s="246">
        <v>0.75</v>
      </c>
    </row>
    <row r="642" spans="1:4" ht="15.75" customHeight="1" x14ac:dyDescent="0.25">
      <c r="A642" s="239" t="s">
        <v>980</v>
      </c>
      <c r="B642" s="241">
        <v>46261</v>
      </c>
      <c r="C642" s="246">
        <v>0.75</v>
      </c>
      <c r="D642" s="246">
        <v>0.79166666666666663</v>
      </c>
    </row>
    <row r="643" spans="1:4" ht="15.75" customHeight="1" x14ac:dyDescent="0.25">
      <c r="A643" s="239" t="s">
        <v>981</v>
      </c>
      <c r="B643" s="241">
        <v>46261</v>
      </c>
      <c r="C643" s="246">
        <v>0.79166666666666663</v>
      </c>
      <c r="D643" s="246">
        <v>0.83333333333333337</v>
      </c>
    </row>
    <row r="644" spans="1:4" ht="15.75" customHeight="1" x14ac:dyDescent="0.25">
      <c r="A644" s="239" t="s">
        <v>982</v>
      </c>
      <c r="B644" s="241">
        <v>46261</v>
      </c>
      <c r="C644" s="246">
        <v>0.83333333333333337</v>
      </c>
      <c r="D644" s="246">
        <v>0.875</v>
      </c>
    </row>
    <row r="645" spans="1:4" ht="15.75" customHeight="1" x14ac:dyDescent="0.25">
      <c r="A645" s="239" t="s">
        <v>983</v>
      </c>
      <c r="B645" s="241">
        <v>46261</v>
      </c>
      <c r="C645" s="246">
        <v>0.875</v>
      </c>
      <c r="D645" s="246">
        <v>0.91666666666666663</v>
      </c>
    </row>
    <row r="646" spans="1:4" ht="15.75" customHeight="1" x14ac:dyDescent="0.25">
      <c r="A646" s="239" t="s">
        <v>984</v>
      </c>
      <c r="B646" s="241">
        <v>46261</v>
      </c>
      <c r="C646" s="246">
        <v>0.91666666666666663</v>
      </c>
      <c r="D646" s="246">
        <v>0.95833333333333337</v>
      </c>
    </row>
    <row r="647" spans="1:4" ht="15.75" customHeight="1" x14ac:dyDescent="0.25">
      <c r="A647" s="239" t="s">
        <v>985</v>
      </c>
      <c r="B647" s="241">
        <v>46261</v>
      </c>
      <c r="C647" s="246">
        <v>0.95833333333333337</v>
      </c>
      <c r="D647" s="246">
        <v>0</v>
      </c>
    </row>
    <row r="648" spans="1:4" ht="15.75" customHeight="1" x14ac:dyDescent="0.25">
      <c r="A648" s="239" t="s">
        <v>986</v>
      </c>
      <c r="B648" s="241">
        <v>46261</v>
      </c>
      <c r="C648" s="246">
        <v>0</v>
      </c>
      <c r="D648" s="246">
        <v>4.1666666666666664E-2</v>
      </c>
    </row>
    <row r="649" spans="1:4" ht="15.75" customHeight="1" x14ac:dyDescent="0.25">
      <c r="A649" s="239" t="s">
        <v>987</v>
      </c>
      <c r="B649" s="241">
        <v>46261</v>
      </c>
      <c r="C649" s="246">
        <v>4.1666666666666664E-2</v>
      </c>
      <c r="D649" s="246">
        <v>8.3333333333333329E-2</v>
      </c>
    </row>
    <row r="650" spans="1:4" ht="15.75" customHeight="1" x14ac:dyDescent="0.25">
      <c r="A650" s="239" t="s">
        <v>988</v>
      </c>
      <c r="B650" s="241">
        <v>46261</v>
      </c>
      <c r="C650" s="246">
        <v>8.3333333333333329E-2</v>
      </c>
      <c r="D650" s="246">
        <v>0.125</v>
      </c>
    </row>
    <row r="651" spans="1:4" ht="15.75" customHeight="1" x14ac:dyDescent="0.25">
      <c r="A651" s="239" t="s">
        <v>989</v>
      </c>
      <c r="B651" s="241">
        <v>46261</v>
      </c>
      <c r="C651" s="246">
        <v>0.125</v>
      </c>
      <c r="D651" s="246">
        <v>0.16666666666666666</v>
      </c>
    </row>
    <row r="652" spans="1:4" ht="15.75" customHeight="1" x14ac:dyDescent="0.25">
      <c r="A652" s="239" t="s">
        <v>990</v>
      </c>
      <c r="B652" s="241">
        <v>46261</v>
      </c>
      <c r="C652" s="246">
        <v>0.16666666666666666</v>
      </c>
      <c r="D652" s="246">
        <v>0.20833333333333334</v>
      </c>
    </row>
    <row r="653" spans="1:4" ht="15.75" customHeight="1" x14ac:dyDescent="0.25">
      <c r="A653" s="239" t="s">
        <v>991</v>
      </c>
      <c r="B653" s="241">
        <v>46261</v>
      </c>
      <c r="C653" s="246">
        <v>0.20833333333333334</v>
      </c>
      <c r="D653" s="246">
        <v>0.25</v>
      </c>
    </row>
    <row r="654" spans="1:4" ht="15.75" customHeight="1" x14ac:dyDescent="0.25">
      <c r="A654" s="239" t="s">
        <v>992</v>
      </c>
      <c r="B654" s="241">
        <v>46262</v>
      </c>
      <c r="C654" s="246">
        <v>0.25</v>
      </c>
      <c r="D654" s="246">
        <v>0.29166666666666669</v>
      </c>
    </row>
    <row r="655" spans="1:4" ht="15.75" customHeight="1" x14ac:dyDescent="0.25">
      <c r="A655" s="239" t="s">
        <v>993</v>
      </c>
      <c r="B655" s="241">
        <v>46262</v>
      </c>
      <c r="C655" s="246">
        <v>0.29166666666666669</v>
      </c>
      <c r="D655" s="246">
        <v>0.33333333333333331</v>
      </c>
    </row>
    <row r="656" spans="1:4" ht="15.75" customHeight="1" x14ac:dyDescent="0.25">
      <c r="A656" s="239" t="s">
        <v>994</v>
      </c>
      <c r="B656" s="241">
        <v>46262</v>
      </c>
      <c r="C656" s="246">
        <v>0.33333333333333331</v>
      </c>
      <c r="D656" s="246">
        <v>0.375</v>
      </c>
    </row>
    <row r="657" spans="1:4" ht="15.75" customHeight="1" x14ac:dyDescent="0.25">
      <c r="A657" s="239" t="s">
        <v>995</v>
      </c>
      <c r="B657" s="241">
        <v>46262</v>
      </c>
      <c r="C657" s="246">
        <v>0.375</v>
      </c>
      <c r="D657" s="246">
        <v>0.41666666666666669</v>
      </c>
    </row>
    <row r="658" spans="1:4" ht="15.75" customHeight="1" x14ac:dyDescent="0.25">
      <c r="A658" s="239" t="s">
        <v>996</v>
      </c>
      <c r="B658" s="241">
        <v>46262</v>
      </c>
      <c r="C658" s="246">
        <v>0.41666666666666669</v>
      </c>
      <c r="D658" s="246">
        <v>0.45833333333333331</v>
      </c>
    </row>
    <row r="659" spans="1:4" ht="15.75" customHeight="1" x14ac:dyDescent="0.25">
      <c r="A659" s="239" t="s">
        <v>997</v>
      </c>
      <c r="B659" s="241">
        <v>46262</v>
      </c>
      <c r="C659" s="246">
        <v>0.45833333333333331</v>
      </c>
      <c r="D659" s="246">
        <v>0.5</v>
      </c>
    </row>
    <row r="660" spans="1:4" ht="15.75" customHeight="1" x14ac:dyDescent="0.25">
      <c r="A660" s="239" t="s">
        <v>998</v>
      </c>
      <c r="B660" s="241">
        <v>46262</v>
      </c>
      <c r="C660" s="246">
        <v>0.5</v>
      </c>
      <c r="D660" s="246">
        <v>0.54166666666666663</v>
      </c>
    </row>
    <row r="661" spans="1:4" ht="15.75" customHeight="1" x14ac:dyDescent="0.25">
      <c r="A661" s="239" t="s">
        <v>999</v>
      </c>
      <c r="B661" s="241">
        <v>46262</v>
      </c>
      <c r="C661" s="246">
        <v>0.54166666666666663</v>
      </c>
      <c r="D661" s="246">
        <v>0.58333333333333337</v>
      </c>
    </row>
    <row r="662" spans="1:4" ht="15.75" customHeight="1" x14ac:dyDescent="0.25">
      <c r="A662" s="239" t="s">
        <v>1000</v>
      </c>
      <c r="B662" s="241">
        <v>46262</v>
      </c>
      <c r="C662" s="246">
        <v>0.58333333333333337</v>
      </c>
      <c r="D662" s="246">
        <v>0.625</v>
      </c>
    </row>
    <row r="663" spans="1:4" ht="15.75" customHeight="1" x14ac:dyDescent="0.25">
      <c r="A663" s="239" t="s">
        <v>1001</v>
      </c>
      <c r="B663" s="241">
        <v>46262</v>
      </c>
      <c r="C663" s="246">
        <v>0.625</v>
      </c>
      <c r="D663" s="246">
        <v>0.66666666666666663</v>
      </c>
    </row>
    <row r="664" spans="1:4" ht="15.75" customHeight="1" x14ac:dyDescent="0.25">
      <c r="A664" s="239" t="s">
        <v>1002</v>
      </c>
      <c r="B664" s="241">
        <v>46262</v>
      </c>
      <c r="C664" s="246">
        <v>0.66666666666666663</v>
      </c>
      <c r="D664" s="246">
        <v>0.70833333333333337</v>
      </c>
    </row>
    <row r="665" spans="1:4" ht="15.75" customHeight="1" x14ac:dyDescent="0.25">
      <c r="A665" s="239" t="s">
        <v>1003</v>
      </c>
      <c r="B665" s="241">
        <v>46262</v>
      </c>
      <c r="C665" s="246">
        <v>0.70833333333333337</v>
      </c>
      <c r="D665" s="246">
        <v>0.75</v>
      </c>
    </row>
    <row r="666" spans="1:4" ht="15.75" customHeight="1" x14ac:dyDescent="0.25">
      <c r="A666" s="239" t="s">
        <v>1004</v>
      </c>
      <c r="B666" s="241">
        <v>46262</v>
      </c>
      <c r="C666" s="246">
        <v>0.75</v>
      </c>
      <c r="D666" s="246">
        <v>0.79166666666666663</v>
      </c>
    </row>
    <row r="667" spans="1:4" ht="15.75" customHeight="1" x14ac:dyDescent="0.25">
      <c r="A667" s="239" t="s">
        <v>1005</v>
      </c>
      <c r="B667" s="241">
        <v>46262</v>
      </c>
      <c r="C667" s="246">
        <v>0.79166666666666663</v>
      </c>
      <c r="D667" s="246">
        <v>0.83333333333333337</v>
      </c>
    </row>
    <row r="668" spans="1:4" ht="15.75" customHeight="1" x14ac:dyDescent="0.25">
      <c r="A668" s="239" t="s">
        <v>1006</v>
      </c>
      <c r="B668" s="241">
        <v>46262</v>
      </c>
      <c r="C668" s="246">
        <v>0.83333333333333337</v>
      </c>
      <c r="D668" s="246">
        <v>0.875</v>
      </c>
    </row>
    <row r="669" spans="1:4" ht="15.75" customHeight="1" x14ac:dyDescent="0.25">
      <c r="A669" s="239" t="s">
        <v>1007</v>
      </c>
      <c r="B669" s="241">
        <v>46262</v>
      </c>
      <c r="C669" s="246">
        <v>0.875</v>
      </c>
      <c r="D669" s="246">
        <v>0.91666666666666663</v>
      </c>
    </row>
    <row r="670" spans="1:4" ht="15.75" customHeight="1" x14ac:dyDescent="0.25">
      <c r="A670" s="239" t="s">
        <v>1008</v>
      </c>
      <c r="B670" s="241">
        <v>46262</v>
      </c>
      <c r="C670" s="246">
        <v>0.91666666666666663</v>
      </c>
      <c r="D670" s="246">
        <v>0.95833333333333337</v>
      </c>
    </row>
    <row r="671" spans="1:4" ht="15.75" customHeight="1" x14ac:dyDescent="0.25">
      <c r="A671" s="239" t="s">
        <v>1009</v>
      </c>
      <c r="B671" s="241">
        <v>46262</v>
      </c>
      <c r="C671" s="246">
        <v>0.95833333333333337</v>
      </c>
      <c r="D671" s="246">
        <v>0</v>
      </c>
    </row>
    <row r="672" spans="1:4" ht="15.75" customHeight="1" x14ac:dyDescent="0.25">
      <c r="A672" s="239" t="s">
        <v>1010</v>
      </c>
      <c r="B672" s="241">
        <v>46262</v>
      </c>
      <c r="C672" s="246">
        <v>0</v>
      </c>
      <c r="D672" s="246">
        <v>4.1666666666666664E-2</v>
      </c>
    </row>
    <row r="673" spans="1:4" ht="15.75" customHeight="1" x14ac:dyDescent="0.25">
      <c r="A673" s="239" t="s">
        <v>1011</v>
      </c>
      <c r="B673" s="241">
        <v>46262</v>
      </c>
      <c r="C673" s="246">
        <v>4.1666666666666664E-2</v>
      </c>
      <c r="D673" s="246">
        <v>8.3333333333333329E-2</v>
      </c>
    </row>
    <row r="674" spans="1:4" ht="15.75" customHeight="1" x14ac:dyDescent="0.25">
      <c r="A674" s="239" t="s">
        <v>1012</v>
      </c>
      <c r="B674" s="241">
        <v>46262</v>
      </c>
      <c r="C674" s="246">
        <v>8.3333333333333329E-2</v>
      </c>
      <c r="D674" s="246">
        <v>0.125</v>
      </c>
    </row>
    <row r="675" spans="1:4" ht="15.75" customHeight="1" x14ac:dyDescent="0.25">
      <c r="A675" s="239" t="s">
        <v>1013</v>
      </c>
      <c r="B675" s="241">
        <v>46262</v>
      </c>
      <c r="C675" s="246">
        <v>0.125</v>
      </c>
      <c r="D675" s="246">
        <v>0.16666666666666666</v>
      </c>
    </row>
    <row r="676" spans="1:4" ht="15.75" customHeight="1" x14ac:dyDescent="0.25">
      <c r="A676" s="239" t="s">
        <v>1014</v>
      </c>
      <c r="B676" s="241">
        <v>46262</v>
      </c>
      <c r="C676" s="246">
        <v>0.16666666666666666</v>
      </c>
      <c r="D676" s="246">
        <v>0.20833333333333334</v>
      </c>
    </row>
    <row r="677" spans="1:4" ht="15.75" customHeight="1" x14ac:dyDescent="0.25">
      <c r="A677" s="239" t="s">
        <v>1015</v>
      </c>
      <c r="B677" s="241">
        <v>46262</v>
      </c>
      <c r="C677" s="246">
        <v>0.20833333333333334</v>
      </c>
      <c r="D677" s="246">
        <v>0.25</v>
      </c>
    </row>
    <row r="678" spans="1:4" ht="15.75" customHeight="1" x14ac:dyDescent="0.25">
      <c r="A678" s="239" t="s">
        <v>1016</v>
      </c>
      <c r="B678" s="241">
        <v>46263</v>
      </c>
      <c r="C678" s="246">
        <v>0.25</v>
      </c>
      <c r="D678" s="246">
        <v>0.29166666666666669</v>
      </c>
    </row>
    <row r="679" spans="1:4" ht="15.75" customHeight="1" x14ac:dyDescent="0.25">
      <c r="A679" s="239" t="s">
        <v>1017</v>
      </c>
      <c r="B679" s="241">
        <v>46263</v>
      </c>
      <c r="C679" s="246">
        <v>0.29166666666666669</v>
      </c>
      <c r="D679" s="246">
        <v>0.33333333333333331</v>
      </c>
    </row>
    <row r="680" spans="1:4" ht="15.75" customHeight="1" x14ac:dyDescent="0.25">
      <c r="A680" s="239" t="s">
        <v>1018</v>
      </c>
      <c r="B680" s="241">
        <v>46263</v>
      </c>
      <c r="C680" s="246">
        <v>0.33333333333333331</v>
      </c>
      <c r="D680" s="246">
        <v>0.375</v>
      </c>
    </row>
    <row r="681" spans="1:4" ht="15.75" customHeight="1" x14ac:dyDescent="0.25">
      <c r="A681" s="239" t="s">
        <v>1019</v>
      </c>
      <c r="B681" s="241">
        <v>46263</v>
      </c>
      <c r="C681" s="246">
        <v>0.375</v>
      </c>
      <c r="D681" s="246">
        <v>0.41666666666666669</v>
      </c>
    </row>
    <row r="682" spans="1:4" ht="15.75" customHeight="1" x14ac:dyDescent="0.25">
      <c r="A682" s="239" t="s">
        <v>1020</v>
      </c>
      <c r="B682" s="241">
        <v>46263</v>
      </c>
      <c r="C682" s="246">
        <v>0.41666666666666669</v>
      </c>
      <c r="D682" s="246">
        <v>0.45833333333333331</v>
      </c>
    </row>
    <row r="683" spans="1:4" ht="15.75" customHeight="1" x14ac:dyDescent="0.25">
      <c r="A683" s="239" t="s">
        <v>1021</v>
      </c>
      <c r="B683" s="241">
        <v>46263</v>
      </c>
      <c r="C683" s="246">
        <v>0.45833333333333331</v>
      </c>
      <c r="D683" s="246">
        <v>0.5</v>
      </c>
    </row>
    <row r="684" spans="1:4" ht="15.75" customHeight="1" x14ac:dyDescent="0.25">
      <c r="A684" s="239" t="s">
        <v>1022</v>
      </c>
      <c r="B684" s="241">
        <v>46263</v>
      </c>
      <c r="C684" s="246">
        <v>0.5</v>
      </c>
      <c r="D684" s="246">
        <v>0.54166666666666663</v>
      </c>
    </row>
    <row r="685" spans="1:4" ht="15.75" customHeight="1" x14ac:dyDescent="0.25">
      <c r="A685" s="239" t="s">
        <v>1023</v>
      </c>
      <c r="B685" s="241">
        <v>46263</v>
      </c>
      <c r="C685" s="246">
        <v>0.54166666666666663</v>
      </c>
      <c r="D685" s="246">
        <v>0.58333333333333337</v>
      </c>
    </row>
    <row r="686" spans="1:4" ht="15.75" customHeight="1" x14ac:dyDescent="0.25">
      <c r="A686" s="239" t="s">
        <v>1024</v>
      </c>
      <c r="B686" s="241">
        <v>46263</v>
      </c>
      <c r="C686" s="246">
        <v>0.58333333333333337</v>
      </c>
      <c r="D686" s="246">
        <v>0.625</v>
      </c>
    </row>
    <row r="687" spans="1:4" ht="15.75" customHeight="1" x14ac:dyDescent="0.25">
      <c r="A687" s="239" t="s">
        <v>1025</v>
      </c>
      <c r="B687" s="241">
        <v>46263</v>
      </c>
      <c r="C687" s="246">
        <v>0.625</v>
      </c>
      <c r="D687" s="246">
        <v>0.66666666666666663</v>
      </c>
    </row>
    <row r="688" spans="1:4" ht="15.75" customHeight="1" x14ac:dyDescent="0.25">
      <c r="A688" s="239" t="s">
        <v>1026</v>
      </c>
      <c r="B688" s="241">
        <v>46263</v>
      </c>
      <c r="C688" s="246">
        <v>0.66666666666666663</v>
      </c>
      <c r="D688" s="246">
        <v>0.70833333333333337</v>
      </c>
    </row>
    <row r="689" spans="1:4" ht="15.75" customHeight="1" x14ac:dyDescent="0.25">
      <c r="A689" s="239" t="s">
        <v>1027</v>
      </c>
      <c r="B689" s="241">
        <v>46263</v>
      </c>
      <c r="C689" s="246">
        <v>0.70833333333333337</v>
      </c>
      <c r="D689" s="246">
        <v>0.75</v>
      </c>
    </row>
    <row r="690" spans="1:4" ht="15.75" customHeight="1" x14ac:dyDescent="0.25">
      <c r="A690" s="239" t="s">
        <v>1028</v>
      </c>
      <c r="B690" s="241">
        <v>46263</v>
      </c>
      <c r="C690" s="246">
        <v>0.75</v>
      </c>
      <c r="D690" s="246">
        <v>0.79166666666666663</v>
      </c>
    </row>
    <row r="691" spans="1:4" ht="15.75" customHeight="1" x14ac:dyDescent="0.25">
      <c r="A691" s="239" t="s">
        <v>1029</v>
      </c>
      <c r="B691" s="241">
        <v>46263</v>
      </c>
      <c r="C691" s="246">
        <v>0.79166666666666663</v>
      </c>
      <c r="D691" s="246">
        <v>0.83333333333333337</v>
      </c>
    </row>
    <row r="692" spans="1:4" ht="15.75" customHeight="1" x14ac:dyDescent="0.25">
      <c r="A692" s="239" t="s">
        <v>1030</v>
      </c>
      <c r="B692" s="241">
        <v>46263</v>
      </c>
      <c r="C692" s="246">
        <v>0.83333333333333337</v>
      </c>
      <c r="D692" s="246">
        <v>0.875</v>
      </c>
    </row>
    <row r="693" spans="1:4" ht="15.75" customHeight="1" x14ac:dyDescent="0.25">
      <c r="A693" s="239" t="s">
        <v>1031</v>
      </c>
      <c r="B693" s="241">
        <v>46263</v>
      </c>
      <c r="C693" s="246">
        <v>0.875</v>
      </c>
      <c r="D693" s="246">
        <v>0.91666666666666663</v>
      </c>
    </row>
    <row r="694" spans="1:4" ht="15.75" customHeight="1" x14ac:dyDescent="0.25">
      <c r="A694" s="239" t="s">
        <v>1032</v>
      </c>
      <c r="B694" s="241">
        <v>46263</v>
      </c>
      <c r="C694" s="246">
        <v>0.91666666666666663</v>
      </c>
      <c r="D694" s="246">
        <v>0.95833333333333337</v>
      </c>
    </row>
    <row r="695" spans="1:4" ht="15.75" customHeight="1" x14ac:dyDescent="0.25">
      <c r="A695" s="239" t="s">
        <v>1033</v>
      </c>
      <c r="B695" s="241">
        <v>46263</v>
      </c>
      <c r="C695" s="246">
        <v>0.95833333333333337</v>
      </c>
      <c r="D695" s="246">
        <v>0</v>
      </c>
    </row>
    <row r="696" spans="1:4" ht="15.75" customHeight="1" x14ac:dyDescent="0.25">
      <c r="A696" s="239" t="s">
        <v>1034</v>
      </c>
      <c r="B696" s="241">
        <v>46263</v>
      </c>
      <c r="C696" s="246">
        <v>0</v>
      </c>
      <c r="D696" s="246">
        <v>4.1666666666666664E-2</v>
      </c>
    </row>
    <row r="697" spans="1:4" ht="15.75" customHeight="1" x14ac:dyDescent="0.25">
      <c r="A697" s="239" t="s">
        <v>1035</v>
      </c>
      <c r="B697" s="241">
        <v>46263</v>
      </c>
      <c r="C697" s="246">
        <v>4.1666666666666664E-2</v>
      </c>
      <c r="D697" s="246">
        <v>8.3333333333333329E-2</v>
      </c>
    </row>
    <row r="698" spans="1:4" ht="15.75" customHeight="1" x14ac:dyDescent="0.25">
      <c r="A698" s="239" t="s">
        <v>1036</v>
      </c>
      <c r="B698" s="241">
        <v>46263</v>
      </c>
      <c r="C698" s="246">
        <v>8.3333333333333329E-2</v>
      </c>
      <c r="D698" s="246">
        <v>0.125</v>
      </c>
    </row>
    <row r="699" spans="1:4" ht="15.75" customHeight="1" x14ac:dyDescent="0.25">
      <c r="A699" s="239" t="s">
        <v>1037</v>
      </c>
      <c r="B699" s="241">
        <v>46263</v>
      </c>
      <c r="C699" s="246">
        <v>0.125</v>
      </c>
      <c r="D699" s="246">
        <v>0.16666666666666666</v>
      </c>
    </row>
    <row r="700" spans="1:4" ht="15.75" customHeight="1" x14ac:dyDescent="0.25">
      <c r="A700" s="239" t="s">
        <v>1038</v>
      </c>
      <c r="B700" s="241">
        <v>46263</v>
      </c>
      <c r="C700" s="246">
        <v>0.16666666666666666</v>
      </c>
      <c r="D700" s="246">
        <v>0.20833333333333334</v>
      </c>
    </row>
    <row r="701" spans="1:4" ht="15.75" customHeight="1" x14ac:dyDescent="0.25">
      <c r="A701" s="239" t="s">
        <v>1039</v>
      </c>
      <c r="B701" s="241">
        <v>46263</v>
      </c>
      <c r="C701" s="246">
        <v>0.20833333333333334</v>
      </c>
      <c r="D701" s="246">
        <v>0.25</v>
      </c>
    </row>
    <row r="702" spans="1:4" ht="15.75" customHeight="1" x14ac:dyDescent="0.25">
      <c r="A702" s="239" t="s">
        <v>1040</v>
      </c>
      <c r="B702" s="241">
        <v>46264</v>
      </c>
      <c r="C702" s="246">
        <v>0.25</v>
      </c>
      <c r="D702" s="246">
        <v>0.29166666666666669</v>
      </c>
    </row>
    <row r="703" spans="1:4" ht="15.75" customHeight="1" x14ac:dyDescent="0.25">
      <c r="A703" s="239" t="s">
        <v>1041</v>
      </c>
      <c r="B703" s="241">
        <v>46264</v>
      </c>
      <c r="C703" s="246">
        <v>0.29166666666666669</v>
      </c>
      <c r="D703" s="246">
        <v>0.33333333333333331</v>
      </c>
    </row>
    <row r="704" spans="1:4" ht="15.75" customHeight="1" x14ac:dyDescent="0.25">
      <c r="A704" s="239" t="s">
        <v>1042</v>
      </c>
      <c r="B704" s="241">
        <v>46264</v>
      </c>
      <c r="C704" s="246">
        <v>0.33333333333333331</v>
      </c>
      <c r="D704" s="246">
        <v>0.375</v>
      </c>
    </row>
    <row r="705" spans="1:4" ht="15.75" customHeight="1" x14ac:dyDescent="0.25">
      <c r="A705" s="239" t="s">
        <v>1043</v>
      </c>
      <c r="B705" s="241">
        <v>46264</v>
      </c>
      <c r="C705" s="246">
        <v>0.375</v>
      </c>
      <c r="D705" s="246">
        <v>0.41666666666666669</v>
      </c>
    </row>
    <row r="706" spans="1:4" ht="15.75" customHeight="1" x14ac:dyDescent="0.25">
      <c r="A706" s="239" t="s">
        <v>1044</v>
      </c>
      <c r="B706" s="241">
        <v>46264</v>
      </c>
      <c r="C706" s="246">
        <v>0.41666666666666669</v>
      </c>
      <c r="D706" s="246">
        <v>0.45833333333333331</v>
      </c>
    </row>
    <row r="707" spans="1:4" ht="15.75" customHeight="1" x14ac:dyDescent="0.25">
      <c r="A707" s="239" t="s">
        <v>1045</v>
      </c>
      <c r="B707" s="241">
        <v>46264</v>
      </c>
      <c r="C707" s="246">
        <v>0.45833333333333331</v>
      </c>
      <c r="D707" s="246">
        <v>0.5</v>
      </c>
    </row>
    <row r="708" spans="1:4" ht="15.75" customHeight="1" x14ac:dyDescent="0.25">
      <c r="A708" s="239" t="s">
        <v>1046</v>
      </c>
      <c r="B708" s="241">
        <v>46264</v>
      </c>
      <c r="C708" s="246">
        <v>0.5</v>
      </c>
      <c r="D708" s="246">
        <v>0.54166666666666663</v>
      </c>
    </row>
    <row r="709" spans="1:4" ht="15.75" customHeight="1" x14ac:dyDescent="0.25">
      <c r="A709" s="239" t="s">
        <v>1047</v>
      </c>
      <c r="B709" s="241">
        <v>46264</v>
      </c>
      <c r="C709" s="246">
        <v>0.54166666666666663</v>
      </c>
      <c r="D709" s="246">
        <v>0.58333333333333337</v>
      </c>
    </row>
    <row r="710" spans="1:4" ht="15.75" customHeight="1" x14ac:dyDescent="0.25">
      <c r="A710" s="239" t="s">
        <v>1048</v>
      </c>
      <c r="B710" s="241">
        <v>46264</v>
      </c>
      <c r="C710" s="246">
        <v>0.58333333333333337</v>
      </c>
      <c r="D710" s="246">
        <v>0.625</v>
      </c>
    </row>
    <row r="711" spans="1:4" ht="15.75" customHeight="1" x14ac:dyDescent="0.25">
      <c r="A711" s="239" t="s">
        <v>1049</v>
      </c>
      <c r="B711" s="241">
        <v>46264</v>
      </c>
      <c r="C711" s="246">
        <v>0.625</v>
      </c>
      <c r="D711" s="246">
        <v>0.66666666666666663</v>
      </c>
    </row>
    <row r="712" spans="1:4" ht="15.75" customHeight="1" x14ac:dyDescent="0.25">
      <c r="A712" s="239" t="s">
        <v>1050</v>
      </c>
      <c r="B712" s="241">
        <v>46264</v>
      </c>
      <c r="C712" s="246">
        <v>0.66666666666666663</v>
      </c>
      <c r="D712" s="246">
        <v>0.70833333333333337</v>
      </c>
    </row>
    <row r="713" spans="1:4" ht="15.75" customHeight="1" x14ac:dyDescent="0.25">
      <c r="A713" s="239" t="s">
        <v>1051</v>
      </c>
      <c r="B713" s="241">
        <v>46264</v>
      </c>
      <c r="C713" s="246">
        <v>0.70833333333333337</v>
      </c>
      <c r="D713" s="246">
        <v>0.75</v>
      </c>
    </row>
    <row r="714" spans="1:4" ht="15.75" customHeight="1" x14ac:dyDescent="0.25">
      <c r="A714" s="239" t="s">
        <v>1052</v>
      </c>
      <c r="B714" s="241">
        <v>46264</v>
      </c>
      <c r="C714" s="246">
        <v>0.75</v>
      </c>
      <c r="D714" s="246">
        <v>0.79166666666666663</v>
      </c>
    </row>
    <row r="715" spans="1:4" ht="15.75" customHeight="1" x14ac:dyDescent="0.25">
      <c r="A715" s="239" t="s">
        <v>1053</v>
      </c>
      <c r="B715" s="241">
        <v>46264</v>
      </c>
      <c r="C715" s="246">
        <v>0.79166666666666663</v>
      </c>
      <c r="D715" s="246">
        <v>0.83333333333333337</v>
      </c>
    </row>
    <row r="716" spans="1:4" ht="15.75" customHeight="1" x14ac:dyDescent="0.25">
      <c r="A716" s="239" t="s">
        <v>1054</v>
      </c>
      <c r="B716" s="241">
        <v>46264</v>
      </c>
      <c r="C716" s="246">
        <v>0.83333333333333337</v>
      </c>
      <c r="D716" s="246">
        <v>0.875</v>
      </c>
    </row>
    <row r="717" spans="1:4" ht="15.75" customHeight="1" x14ac:dyDescent="0.25">
      <c r="A717" s="239" t="s">
        <v>1055</v>
      </c>
      <c r="B717" s="241">
        <v>46264</v>
      </c>
      <c r="C717" s="246">
        <v>0.875</v>
      </c>
      <c r="D717" s="246">
        <v>0.91666666666666663</v>
      </c>
    </row>
    <row r="718" spans="1:4" ht="15.75" customHeight="1" x14ac:dyDescent="0.25">
      <c r="A718" s="239" t="s">
        <v>1056</v>
      </c>
      <c r="B718" s="241">
        <v>46264</v>
      </c>
      <c r="C718" s="246">
        <v>0.91666666666666663</v>
      </c>
      <c r="D718" s="246">
        <v>0.95833333333333337</v>
      </c>
    </row>
    <row r="719" spans="1:4" ht="15.75" customHeight="1" x14ac:dyDescent="0.25">
      <c r="A719" s="239" t="s">
        <v>1057</v>
      </c>
      <c r="B719" s="241">
        <v>46264</v>
      </c>
      <c r="C719" s="246">
        <v>0.95833333333333337</v>
      </c>
      <c r="D719" s="246">
        <v>0</v>
      </c>
    </row>
    <row r="720" spans="1:4" ht="15.75" customHeight="1" x14ac:dyDescent="0.25">
      <c r="A720" s="239" t="s">
        <v>1058</v>
      </c>
      <c r="B720" s="241">
        <v>46264</v>
      </c>
      <c r="C720" s="246">
        <v>0</v>
      </c>
      <c r="D720" s="246">
        <v>4.1666666666666664E-2</v>
      </c>
    </row>
    <row r="721" spans="1:4" ht="15.75" customHeight="1" x14ac:dyDescent="0.25">
      <c r="A721" s="239" t="s">
        <v>1059</v>
      </c>
      <c r="B721" s="241">
        <v>46264</v>
      </c>
      <c r="C721" s="246">
        <v>4.1666666666666664E-2</v>
      </c>
      <c r="D721" s="246">
        <v>8.3333333333333329E-2</v>
      </c>
    </row>
    <row r="722" spans="1:4" ht="15.75" customHeight="1" x14ac:dyDescent="0.25">
      <c r="A722" s="239" t="s">
        <v>1060</v>
      </c>
      <c r="B722" s="241">
        <v>46264</v>
      </c>
      <c r="C722" s="246">
        <v>8.3333333333333329E-2</v>
      </c>
      <c r="D722" s="246">
        <v>0.125</v>
      </c>
    </row>
    <row r="723" spans="1:4" ht="15.75" customHeight="1" x14ac:dyDescent="0.25">
      <c r="A723" s="239" t="s">
        <v>1061</v>
      </c>
      <c r="B723" s="241">
        <v>46264</v>
      </c>
      <c r="C723" s="246">
        <v>0.125</v>
      </c>
      <c r="D723" s="246">
        <v>0.16666666666666666</v>
      </c>
    </row>
    <row r="724" spans="1:4" ht="15.75" customHeight="1" x14ac:dyDescent="0.25">
      <c r="A724" s="239" t="s">
        <v>1062</v>
      </c>
      <c r="B724" s="241">
        <v>46264</v>
      </c>
      <c r="C724" s="246">
        <v>0.16666666666666666</v>
      </c>
      <c r="D724" s="246">
        <v>0.20833333333333334</v>
      </c>
    </row>
    <row r="725" spans="1:4" ht="15.75" customHeight="1" x14ac:dyDescent="0.25">
      <c r="A725" s="239" t="s">
        <v>1063</v>
      </c>
      <c r="B725" s="241">
        <v>46264</v>
      </c>
      <c r="C725" s="246">
        <v>0.20833333333333334</v>
      </c>
      <c r="D725" s="246">
        <v>0.25</v>
      </c>
    </row>
    <row r="726" spans="1:4" ht="15.75" customHeight="1" x14ac:dyDescent="0.25">
      <c r="A726" s="239" t="s">
        <v>1064</v>
      </c>
      <c r="B726" s="241">
        <v>46265</v>
      </c>
      <c r="C726" s="246">
        <v>0.25</v>
      </c>
      <c r="D726" s="246">
        <v>0.29166666666666669</v>
      </c>
    </row>
    <row r="727" spans="1:4" ht="15.75" customHeight="1" x14ac:dyDescent="0.25">
      <c r="A727" s="239" t="s">
        <v>1065</v>
      </c>
      <c r="B727" s="241">
        <v>46265</v>
      </c>
      <c r="C727" s="246">
        <v>0.29166666666666669</v>
      </c>
      <c r="D727" s="246">
        <v>0.33333333333333331</v>
      </c>
    </row>
    <row r="728" spans="1:4" ht="15.75" customHeight="1" x14ac:dyDescent="0.25">
      <c r="A728" s="239" t="s">
        <v>1066</v>
      </c>
      <c r="B728" s="241">
        <v>46265</v>
      </c>
      <c r="C728" s="246">
        <v>0.33333333333333331</v>
      </c>
      <c r="D728" s="246">
        <v>0.375</v>
      </c>
    </row>
    <row r="729" spans="1:4" ht="15.75" customHeight="1" x14ac:dyDescent="0.25">
      <c r="A729" s="239" t="s">
        <v>1067</v>
      </c>
      <c r="B729" s="241">
        <v>46265</v>
      </c>
      <c r="C729" s="246">
        <v>0.375</v>
      </c>
      <c r="D729" s="246">
        <v>0.41666666666666669</v>
      </c>
    </row>
    <row r="730" spans="1:4" ht="15.75" customHeight="1" x14ac:dyDescent="0.25">
      <c r="A730" s="239" t="s">
        <v>1068</v>
      </c>
      <c r="B730" s="241">
        <v>46265</v>
      </c>
      <c r="C730" s="246">
        <v>0.41666666666666669</v>
      </c>
      <c r="D730" s="246">
        <v>0.45833333333333331</v>
      </c>
    </row>
    <row r="731" spans="1:4" ht="15.75" customHeight="1" x14ac:dyDescent="0.25">
      <c r="A731" s="239" t="s">
        <v>1069</v>
      </c>
      <c r="B731" s="241">
        <v>46265</v>
      </c>
      <c r="C731" s="246">
        <v>0.45833333333333331</v>
      </c>
      <c r="D731" s="246">
        <v>0.5</v>
      </c>
    </row>
    <row r="732" spans="1:4" ht="15.75" customHeight="1" x14ac:dyDescent="0.25">
      <c r="A732" s="239" t="s">
        <v>1070</v>
      </c>
      <c r="B732" s="241">
        <v>46265</v>
      </c>
      <c r="C732" s="246">
        <v>0.5</v>
      </c>
      <c r="D732" s="246">
        <v>0.54166666666666663</v>
      </c>
    </row>
    <row r="733" spans="1:4" ht="15.75" customHeight="1" x14ac:dyDescent="0.25">
      <c r="A733" s="239" t="s">
        <v>1071</v>
      </c>
      <c r="B733" s="241">
        <v>46265</v>
      </c>
      <c r="C733" s="246">
        <v>0.54166666666666663</v>
      </c>
      <c r="D733" s="246">
        <v>0.58333333333333337</v>
      </c>
    </row>
    <row r="734" spans="1:4" ht="15.75" customHeight="1" x14ac:dyDescent="0.25">
      <c r="A734" s="239" t="s">
        <v>1072</v>
      </c>
      <c r="B734" s="241">
        <v>46265</v>
      </c>
      <c r="C734" s="246">
        <v>0.58333333333333337</v>
      </c>
      <c r="D734" s="246">
        <v>0.625</v>
      </c>
    </row>
    <row r="735" spans="1:4" ht="15.75" customHeight="1" x14ac:dyDescent="0.25">
      <c r="A735" s="239" t="s">
        <v>1073</v>
      </c>
      <c r="B735" s="241">
        <v>46265</v>
      </c>
      <c r="C735" s="246">
        <v>0.625</v>
      </c>
      <c r="D735" s="246">
        <v>0.66666666666666663</v>
      </c>
    </row>
    <row r="736" spans="1:4" ht="15.75" customHeight="1" x14ac:dyDescent="0.25">
      <c r="A736" s="239" t="s">
        <v>1074</v>
      </c>
      <c r="B736" s="241">
        <v>46265</v>
      </c>
      <c r="C736" s="246">
        <v>0.66666666666666663</v>
      </c>
      <c r="D736" s="246">
        <v>0.70833333333333337</v>
      </c>
    </row>
    <row r="737" spans="1:4" ht="15.75" customHeight="1" x14ac:dyDescent="0.25">
      <c r="A737" s="239" t="s">
        <v>1075</v>
      </c>
      <c r="B737" s="241">
        <v>46265</v>
      </c>
      <c r="C737" s="246">
        <v>0.70833333333333337</v>
      </c>
      <c r="D737" s="246">
        <v>0.75</v>
      </c>
    </row>
    <row r="738" spans="1:4" ht="15.75" customHeight="1" x14ac:dyDescent="0.25">
      <c r="A738" s="239" t="s">
        <v>1076</v>
      </c>
      <c r="B738" s="241">
        <v>46265</v>
      </c>
      <c r="C738" s="246">
        <v>0.75</v>
      </c>
      <c r="D738" s="246">
        <v>0.79166666666666663</v>
      </c>
    </row>
    <row r="739" spans="1:4" ht="15.75" customHeight="1" x14ac:dyDescent="0.25">
      <c r="A739" s="239" t="s">
        <v>1077</v>
      </c>
      <c r="B739" s="241">
        <v>46265</v>
      </c>
      <c r="C739" s="246">
        <v>0.79166666666666663</v>
      </c>
      <c r="D739" s="246">
        <v>0.83333333333333337</v>
      </c>
    </row>
    <row r="740" spans="1:4" ht="15.75" customHeight="1" x14ac:dyDescent="0.25">
      <c r="A740" s="239" t="s">
        <v>1078</v>
      </c>
      <c r="B740" s="241">
        <v>46265</v>
      </c>
      <c r="C740" s="246">
        <v>0.83333333333333337</v>
      </c>
      <c r="D740" s="246">
        <v>0.875</v>
      </c>
    </row>
    <row r="741" spans="1:4" ht="15.75" customHeight="1" x14ac:dyDescent="0.25">
      <c r="A741" s="239" t="s">
        <v>1079</v>
      </c>
      <c r="B741" s="241">
        <v>46265</v>
      </c>
      <c r="C741" s="246">
        <v>0.875</v>
      </c>
      <c r="D741" s="246">
        <v>0.91666666666666663</v>
      </c>
    </row>
    <row r="742" spans="1:4" ht="15.75" customHeight="1" x14ac:dyDescent="0.25">
      <c r="A742" s="239" t="s">
        <v>1080</v>
      </c>
      <c r="B742" s="241">
        <v>46265</v>
      </c>
      <c r="C742" s="246">
        <v>0.91666666666666663</v>
      </c>
      <c r="D742" s="246">
        <v>0.95833333333333337</v>
      </c>
    </row>
    <row r="743" spans="1:4" ht="15.75" customHeight="1" x14ac:dyDescent="0.25">
      <c r="A743" s="239" t="s">
        <v>1081</v>
      </c>
      <c r="B743" s="241">
        <v>46265</v>
      </c>
      <c r="C743" s="246">
        <v>0.95833333333333337</v>
      </c>
      <c r="D743" s="246">
        <v>0</v>
      </c>
    </row>
    <row r="744" spans="1:4" ht="15.75" customHeight="1" x14ac:dyDescent="0.25">
      <c r="A744" s="239" t="s">
        <v>1082</v>
      </c>
      <c r="B744" s="241">
        <v>46265</v>
      </c>
      <c r="C744" s="246">
        <v>0</v>
      </c>
      <c r="D744" s="246">
        <v>4.1666666666666664E-2</v>
      </c>
    </row>
    <row r="745" spans="1:4" ht="15.75" customHeight="1" x14ac:dyDescent="0.25">
      <c r="A745" s="239" t="s">
        <v>1083</v>
      </c>
      <c r="B745" s="241">
        <v>46265</v>
      </c>
      <c r="C745" s="246">
        <v>4.1666666666666664E-2</v>
      </c>
      <c r="D745" s="246">
        <v>8.3333333333333329E-2</v>
      </c>
    </row>
    <row r="746" spans="1:4" ht="15.75" customHeight="1" x14ac:dyDescent="0.25">
      <c r="A746" s="239" t="s">
        <v>1084</v>
      </c>
      <c r="B746" s="241">
        <v>46265</v>
      </c>
      <c r="C746" s="246">
        <v>8.3333333333333329E-2</v>
      </c>
      <c r="D746" s="246">
        <v>0.125</v>
      </c>
    </row>
    <row r="747" spans="1:4" ht="15.75" customHeight="1" x14ac:dyDescent="0.25">
      <c r="A747" s="239" t="s">
        <v>1085</v>
      </c>
      <c r="B747" s="241">
        <v>46265</v>
      </c>
      <c r="C747" s="246">
        <v>0.125</v>
      </c>
      <c r="D747" s="246">
        <v>0.16666666666666666</v>
      </c>
    </row>
    <row r="748" spans="1:4" ht="15.75" customHeight="1" x14ac:dyDescent="0.25">
      <c r="A748" s="239" t="s">
        <v>1086</v>
      </c>
      <c r="B748" s="241">
        <v>46265</v>
      </c>
      <c r="C748" s="246">
        <v>0.16666666666666666</v>
      </c>
      <c r="D748" s="246">
        <v>0.20833333333333334</v>
      </c>
    </row>
    <row r="749" spans="1:4" ht="15.75" customHeight="1" x14ac:dyDescent="0.25">
      <c r="A749" s="239" t="s">
        <v>1087</v>
      </c>
      <c r="B749" s="241">
        <v>46265</v>
      </c>
      <c r="C749" s="246">
        <v>0.20833333333333334</v>
      </c>
      <c r="D749" s="246">
        <v>0.25</v>
      </c>
    </row>
    <row r="750" spans="1:4" ht="15.75" customHeight="1" x14ac:dyDescent="0.25">
      <c r="A750" s="239" t="s">
        <v>1088</v>
      </c>
      <c r="B750" s="241">
        <v>46266</v>
      </c>
      <c r="C750" s="246">
        <v>0.25</v>
      </c>
      <c r="D750" s="246">
        <v>0.29166666666666669</v>
      </c>
    </row>
    <row r="751" spans="1:4" ht="15.75" customHeight="1" x14ac:dyDescent="0.25">
      <c r="A751" s="239" t="s">
        <v>1089</v>
      </c>
      <c r="B751" s="241">
        <v>46266</v>
      </c>
      <c r="C751" s="246">
        <v>0.29166666666666669</v>
      </c>
      <c r="D751" s="246">
        <v>0.33333333333333331</v>
      </c>
    </row>
    <row r="752" spans="1:4" ht="15.75" customHeight="1" x14ac:dyDescent="0.25">
      <c r="A752" s="239" t="s">
        <v>1090</v>
      </c>
      <c r="B752" s="241">
        <v>46266</v>
      </c>
      <c r="C752" s="246">
        <v>0.33333333333333331</v>
      </c>
      <c r="D752" s="246">
        <v>0.375</v>
      </c>
    </row>
    <row r="753" spans="1:4" ht="15.75" customHeight="1" x14ac:dyDescent="0.25">
      <c r="A753" s="239" t="s">
        <v>1091</v>
      </c>
      <c r="B753" s="241">
        <v>46266</v>
      </c>
      <c r="C753" s="246">
        <v>0.375</v>
      </c>
      <c r="D753" s="246">
        <v>0.41666666666666669</v>
      </c>
    </row>
    <row r="754" spans="1:4" ht="15.75" customHeight="1" x14ac:dyDescent="0.25">
      <c r="A754" s="239" t="s">
        <v>1092</v>
      </c>
      <c r="B754" s="241">
        <v>46266</v>
      </c>
      <c r="C754" s="246">
        <v>0.41666666666666669</v>
      </c>
      <c r="D754" s="246">
        <v>0.45833333333333331</v>
      </c>
    </row>
    <row r="755" spans="1:4" ht="15.75" customHeight="1" x14ac:dyDescent="0.25">
      <c r="A755" s="239" t="s">
        <v>1093</v>
      </c>
      <c r="B755" s="241">
        <v>46266</v>
      </c>
      <c r="C755" s="246">
        <v>0.45833333333333331</v>
      </c>
      <c r="D755" s="246">
        <v>0.5</v>
      </c>
    </row>
    <row r="756" spans="1:4" ht="15.75" customHeight="1" x14ac:dyDescent="0.25">
      <c r="A756" s="239" t="s">
        <v>1094</v>
      </c>
      <c r="B756" s="241">
        <v>46266</v>
      </c>
      <c r="C756" s="246">
        <v>0.5</v>
      </c>
      <c r="D756" s="246">
        <v>0.54166666666666663</v>
      </c>
    </row>
    <row r="757" spans="1:4" ht="15.75" customHeight="1" x14ac:dyDescent="0.25">
      <c r="A757" s="239" t="s">
        <v>1095</v>
      </c>
      <c r="B757" s="241">
        <v>46266</v>
      </c>
      <c r="C757" s="246">
        <v>0.54166666666666663</v>
      </c>
      <c r="D757" s="246">
        <v>0.58333333333333337</v>
      </c>
    </row>
    <row r="758" spans="1:4" ht="15.75" customHeight="1" x14ac:dyDescent="0.25">
      <c r="A758" s="239" t="s">
        <v>1096</v>
      </c>
      <c r="B758" s="241">
        <v>46266</v>
      </c>
      <c r="C758" s="246">
        <v>0.58333333333333337</v>
      </c>
      <c r="D758" s="246">
        <v>0.625</v>
      </c>
    </row>
    <row r="759" spans="1:4" ht="15.75" customHeight="1" x14ac:dyDescent="0.25">
      <c r="A759" s="239" t="s">
        <v>1097</v>
      </c>
      <c r="B759" s="241">
        <v>46266</v>
      </c>
      <c r="C759" s="246">
        <v>0.625</v>
      </c>
      <c r="D759" s="246">
        <v>0.66666666666666663</v>
      </c>
    </row>
    <row r="760" spans="1:4" ht="15.75" customHeight="1" x14ac:dyDescent="0.25">
      <c r="A760" s="239" t="s">
        <v>1098</v>
      </c>
      <c r="B760" s="241">
        <v>46266</v>
      </c>
      <c r="C760" s="246">
        <v>0.66666666666666663</v>
      </c>
      <c r="D760" s="246">
        <v>0.70833333333333337</v>
      </c>
    </row>
    <row r="761" spans="1:4" ht="15.75" customHeight="1" x14ac:dyDescent="0.25">
      <c r="A761" s="239" t="s">
        <v>1099</v>
      </c>
      <c r="B761" s="241">
        <v>46266</v>
      </c>
      <c r="C761" s="246">
        <v>0.70833333333333337</v>
      </c>
      <c r="D761" s="246">
        <v>0.75</v>
      </c>
    </row>
    <row r="762" spans="1:4" ht="15.75" customHeight="1" x14ac:dyDescent="0.25">
      <c r="A762" s="239" t="s">
        <v>1100</v>
      </c>
      <c r="B762" s="241">
        <v>46266</v>
      </c>
      <c r="C762" s="246">
        <v>0.75</v>
      </c>
      <c r="D762" s="246">
        <v>0.79166666666666663</v>
      </c>
    </row>
    <row r="763" spans="1:4" ht="15.75" customHeight="1" x14ac:dyDescent="0.25">
      <c r="A763" s="239" t="s">
        <v>1101</v>
      </c>
      <c r="B763" s="241">
        <v>46266</v>
      </c>
      <c r="C763" s="246">
        <v>0.79166666666666663</v>
      </c>
      <c r="D763" s="246">
        <v>0.83333333333333337</v>
      </c>
    </row>
    <row r="764" spans="1:4" ht="15.75" customHeight="1" x14ac:dyDescent="0.25">
      <c r="A764" s="239" t="s">
        <v>1102</v>
      </c>
      <c r="B764" s="241">
        <v>46266</v>
      </c>
      <c r="C764" s="246">
        <v>0.83333333333333337</v>
      </c>
      <c r="D764" s="246">
        <v>0.875</v>
      </c>
    </row>
    <row r="765" spans="1:4" ht="15.75" customHeight="1" x14ac:dyDescent="0.25">
      <c r="A765" s="239" t="s">
        <v>1103</v>
      </c>
      <c r="B765" s="241">
        <v>46266</v>
      </c>
      <c r="C765" s="246">
        <v>0.875</v>
      </c>
      <c r="D765" s="246">
        <v>0.91666666666666663</v>
      </c>
    </row>
    <row r="766" spans="1:4" ht="15.75" customHeight="1" x14ac:dyDescent="0.25">
      <c r="A766" s="239" t="s">
        <v>1104</v>
      </c>
      <c r="B766" s="241">
        <v>46266</v>
      </c>
      <c r="C766" s="246">
        <v>0.91666666666666663</v>
      </c>
      <c r="D766" s="246">
        <v>0.95833333333333337</v>
      </c>
    </row>
    <row r="767" spans="1:4" ht="15.75" customHeight="1" x14ac:dyDescent="0.25">
      <c r="A767" s="239" t="s">
        <v>1105</v>
      </c>
      <c r="B767" s="241">
        <v>46266</v>
      </c>
      <c r="C767" s="246">
        <v>0.95833333333333337</v>
      </c>
      <c r="D767" s="246">
        <v>0</v>
      </c>
    </row>
    <row r="768" spans="1:4" ht="15.75" customHeight="1" x14ac:dyDescent="0.25">
      <c r="A768" s="239" t="s">
        <v>1106</v>
      </c>
      <c r="B768" s="241">
        <v>46266</v>
      </c>
      <c r="C768" s="246">
        <v>0</v>
      </c>
      <c r="D768" s="246">
        <v>4.1666666666666664E-2</v>
      </c>
    </row>
    <row r="769" spans="1:4" ht="15.75" customHeight="1" x14ac:dyDescent="0.25">
      <c r="A769" s="239" t="s">
        <v>1107</v>
      </c>
      <c r="B769" s="241">
        <v>46266</v>
      </c>
      <c r="C769" s="246">
        <v>4.1666666666666664E-2</v>
      </c>
      <c r="D769" s="246">
        <v>8.3333333333333329E-2</v>
      </c>
    </row>
    <row r="770" spans="1:4" ht="15.75" customHeight="1" x14ac:dyDescent="0.25">
      <c r="A770" s="239" t="s">
        <v>1108</v>
      </c>
      <c r="B770" s="241">
        <v>46266</v>
      </c>
      <c r="C770" s="246">
        <v>8.3333333333333329E-2</v>
      </c>
      <c r="D770" s="246">
        <v>0.125</v>
      </c>
    </row>
    <row r="771" spans="1:4" ht="15.75" customHeight="1" x14ac:dyDescent="0.25">
      <c r="A771" s="239" t="s">
        <v>1109</v>
      </c>
      <c r="B771" s="241">
        <v>46266</v>
      </c>
      <c r="C771" s="246">
        <v>0.125</v>
      </c>
      <c r="D771" s="246">
        <v>0.16666666666666666</v>
      </c>
    </row>
    <row r="772" spans="1:4" ht="15.75" customHeight="1" x14ac:dyDescent="0.25">
      <c r="A772" s="239" t="s">
        <v>1110</v>
      </c>
      <c r="B772" s="241">
        <v>46266</v>
      </c>
      <c r="C772" s="246">
        <v>0.16666666666666666</v>
      </c>
      <c r="D772" s="246">
        <v>0.20833333333333334</v>
      </c>
    </row>
    <row r="773" spans="1:4" ht="15.75" customHeight="1" x14ac:dyDescent="0.25">
      <c r="A773" s="239" t="s">
        <v>1111</v>
      </c>
      <c r="B773" s="241">
        <v>46266</v>
      </c>
      <c r="C773" s="246">
        <v>0.20833333333333334</v>
      </c>
      <c r="D773" s="246">
        <v>0.25</v>
      </c>
    </row>
    <row r="774" spans="1:4" ht="15.75" customHeight="1" x14ac:dyDescent="0.25">
      <c r="A774" s="239" t="s">
        <v>1112</v>
      </c>
      <c r="B774" s="241"/>
      <c r="C774" s="246"/>
      <c r="D774" s="246"/>
    </row>
    <row r="775" spans="1:4" ht="15.75" customHeight="1" x14ac:dyDescent="0.2"/>
    <row r="776" spans="1:4" ht="15.75" customHeight="1" x14ac:dyDescent="0.2"/>
    <row r="777" spans="1:4" ht="15.75" customHeight="1" x14ac:dyDescent="0.2"/>
    <row r="778" spans="1:4" ht="15.75" customHeight="1" x14ac:dyDescent="0.2"/>
    <row r="779" spans="1:4" ht="15.75" customHeight="1" x14ac:dyDescent="0.2"/>
    <row r="780" spans="1:4" ht="15.75" customHeight="1" x14ac:dyDescent="0.2"/>
    <row r="781" spans="1:4" ht="15.75" customHeight="1" x14ac:dyDescent="0.2"/>
    <row r="782" spans="1:4" ht="15.75" customHeight="1" x14ac:dyDescent="0.2"/>
    <row r="783" spans="1:4" ht="15.75" customHeight="1" x14ac:dyDescent="0.2"/>
    <row r="784" spans="1: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1:N1000"/>
  <sheetViews>
    <sheetView workbookViewId="0">
      <selection sqref="A1:N1000"/>
    </sheetView>
  </sheetViews>
  <sheetFormatPr defaultColWidth="12.5703125" defaultRowHeight="15" customHeight="1" x14ac:dyDescent="0.2"/>
  <cols>
    <col min="1" max="1" width="15.5703125" customWidth="1"/>
    <col min="2" max="2" width="16.140625" customWidth="1"/>
    <col min="3" max="3" width="19.28515625" customWidth="1"/>
    <col min="4" max="4" width="12.5703125" customWidth="1"/>
    <col min="5" max="5" width="14" customWidth="1"/>
    <col min="6" max="6" width="15" customWidth="1"/>
  </cols>
  <sheetData>
    <row r="1" spans="1:14" ht="15.75" customHeight="1" x14ac:dyDescent="0.2">
      <c r="A1" s="316">
        <v>1016</v>
      </c>
      <c r="B1" s="247" t="s">
        <v>75</v>
      </c>
      <c r="C1" s="247">
        <v>11902</v>
      </c>
      <c r="D1" s="247" t="s">
        <v>76</v>
      </c>
      <c r="E1" s="247" t="s">
        <v>77</v>
      </c>
      <c r="F1" s="248" t="s">
        <v>78</v>
      </c>
      <c r="G1" s="92" t="b">
        <v>1</v>
      </c>
      <c r="H1" t="b">
        <v>0</v>
      </c>
      <c r="I1" t="s">
        <v>79</v>
      </c>
      <c r="J1" t="s">
        <v>80</v>
      </c>
      <c r="K1" t="s">
        <v>81</v>
      </c>
      <c r="L1" t="s">
        <v>82</v>
      </c>
      <c r="M1">
        <v>9900283898</v>
      </c>
      <c r="N1" t="s">
        <v>83</v>
      </c>
    </row>
    <row r="2" spans="1:14" ht="15.75" customHeight="1" x14ac:dyDescent="0.2">
      <c r="A2" s="316">
        <v>1016</v>
      </c>
      <c r="B2" s="247" t="s">
        <v>75</v>
      </c>
      <c r="C2" s="247">
        <v>12181</v>
      </c>
      <c r="D2" s="247" t="s">
        <v>84</v>
      </c>
      <c r="E2" s="247" t="s">
        <v>85</v>
      </c>
      <c r="F2" s="247" t="s">
        <v>86</v>
      </c>
      <c r="G2" s="92" t="b">
        <v>0</v>
      </c>
      <c r="H2" t="b">
        <v>0</v>
      </c>
      <c r="I2" t="s">
        <v>79</v>
      </c>
      <c r="J2" t="s">
        <v>80</v>
      </c>
      <c r="K2" t="s">
        <v>81</v>
      </c>
      <c r="L2" t="s">
        <v>82</v>
      </c>
      <c r="M2">
        <v>9900283898</v>
      </c>
      <c r="N2" t="s">
        <v>87</v>
      </c>
    </row>
    <row r="3" spans="1:14" ht="15.75" customHeight="1" x14ac:dyDescent="0.2">
      <c r="A3" s="316">
        <v>1016</v>
      </c>
      <c r="B3" s="247" t="s">
        <v>75</v>
      </c>
      <c r="C3" s="247">
        <v>11904</v>
      </c>
      <c r="D3" s="247" t="s">
        <v>88</v>
      </c>
      <c r="E3" s="247" t="s">
        <v>77</v>
      </c>
      <c r="F3" s="247" t="s">
        <v>89</v>
      </c>
      <c r="G3" s="92" t="b">
        <v>1</v>
      </c>
      <c r="H3" t="b">
        <v>0</v>
      </c>
      <c r="I3" t="s">
        <v>79</v>
      </c>
      <c r="J3" t="s">
        <v>80</v>
      </c>
      <c r="K3" t="s">
        <v>81</v>
      </c>
      <c r="L3" t="s">
        <v>82</v>
      </c>
      <c r="M3">
        <v>9900283898</v>
      </c>
      <c r="N3" t="s">
        <v>83</v>
      </c>
    </row>
    <row r="4" spans="1:14" ht="15.75" customHeight="1" x14ac:dyDescent="0.2">
      <c r="A4" s="316">
        <v>1016</v>
      </c>
      <c r="B4" s="247" t="s">
        <v>75</v>
      </c>
      <c r="C4" s="247">
        <v>11903</v>
      </c>
      <c r="D4" s="247" t="s">
        <v>90</v>
      </c>
      <c r="E4" s="247" t="s">
        <v>91</v>
      </c>
      <c r="F4" s="247" t="s">
        <v>92</v>
      </c>
      <c r="G4" t="b">
        <v>1</v>
      </c>
      <c r="H4" s="92" t="b">
        <v>0</v>
      </c>
      <c r="I4" t="s">
        <v>79</v>
      </c>
      <c r="J4" t="s">
        <v>80</v>
      </c>
      <c r="K4" t="s">
        <v>81</v>
      </c>
      <c r="L4" t="s">
        <v>82</v>
      </c>
      <c r="M4">
        <v>9900283898</v>
      </c>
      <c r="N4" t="s">
        <v>93</v>
      </c>
    </row>
    <row r="5" spans="1:14" ht="15.75" customHeight="1" x14ac:dyDescent="0.2">
      <c r="A5" s="316">
        <v>1016</v>
      </c>
      <c r="B5" s="247" t="s">
        <v>75</v>
      </c>
      <c r="C5" s="247">
        <v>14012</v>
      </c>
      <c r="D5" s="247" t="s">
        <v>94</v>
      </c>
      <c r="E5" s="247" t="s">
        <v>95</v>
      </c>
      <c r="F5" s="247" t="s">
        <v>96</v>
      </c>
      <c r="G5" t="b">
        <v>1</v>
      </c>
      <c r="H5" t="b">
        <v>0</v>
      </c>
      <c r="I5" t="s">
        <v>79</v>
      </c>
      <c r="J5" t="s">
        <v>80</v>
      </c>
      <c r="K5" t="s">
        <v>81</v>
      </c>
      <c r="L5" t="s">
        <v>82</v>
      </c>
      <c r="M5">
        <v>9900283898</v>
      </c>
      <c r="N5" t="s">
        <v>97</v>
      </c>
    </row>
    <row r="6" spans="1:14" ht="15.75" customHeight="1" x14ac:dyDescent="0.2">
      <c r="A6" s="316">
        <v>1016</v>
      </c>
      <c r="B6" s="247" t="s">
        <v>75</v>
      </c>
      <c r="C6" s="247">
        <v>35157</v>
      </c>
      <c r="D6" s="247" t="s">
        <v>98</v>
      </c>
      <c r="E6" s="247" t="s">
        <v>91</v>
      </c>
      <c r="F6" s="247" t="s">
        <v>99</v>
      </c>
      <c r="G6" t="b">
        <v>1</v>
      </c>
      <c r="H6" t="b">
        <v>0</v>
      </c>
      <c r="I6" t="s">
        <v>79</v>
      </c>
      <c r="J6" t="s">
        <v>80</v>
      </c>
      <c r="K6" t="s">
        <v>81</v>
      </c>
      <c r="L6" t="s">
        <v>82</v>
      </c>
      <c r="M6">
        <v>9900283898</v>
      </c>
      <c r="N6" t="s">
        <v>93</v>
      </c>
    </row>
    <row r="7" spans="1:14" ht="15.75" customHeight="1" x14ac:dyDescent="0.2">
      <c r="A7" s="316">
        <v>1016</v>
      </c>
      <c r="B7" s="247" t="s">
        <v>75</v>
      </c>
      <c r="C7" s="247">
        <v>12443</v>
      </c>
      <c r="D7" s="247" t="s">
        <v>100</v>
      </c>
      <c r="E7" s="247" t="s">
        <v>91</v>
      </c>
      <c r="F7" s="247" t="s">
        <v>101</v>
      </c>
      <c r="G7" t="b">
        <v>1</v>
      </c>
      <c r="H7" t="b">
        <v>0</v>
      </c>
      <c r="I7" t="s">
        <v>79</v>
      </c>
      <c r="J7" t="s">
        <v>80</v>
      </c>
      <c r="K7" t="s">
        <v>81</v>
      </c>
      <c r="L7" t="s">
        <v>82</v>
      </c>
      <c r="M7">
        <v>9900283898</v>
      </c>
      <c r="N7" t="s">
        <v>93</v>
      </c>
    </row>
    <row r="8" spans="1:14" ht="15.75" customHeight="1" x14ac:dyDescent="0.2">
      <c r="A8" s="316">
        <v>1016</v>
      </c>
      <c r="B8" s="247" t="s">
        <v>75</v>
      </c>
      <c r="C8" s="247">
        <v>34147</v>
      </c>
      <c r="D8" s="247" t="s">
        <v>102</v>
      </c>
      <c r="E8" s="247" t="s">
        <v>103</v>
      </c>
      <c r="F8" s="247" t="s">
        <v>104</v>
      </c>
      <c r="G8" t="b">
        <v>1</v>
      </c>
      <c r="H8" t="b">
        <v>0</v>
      </c>
      <c r="I8" t="s">
        <v>79</v>
      </c>
      <c r="J8" t="s">
        <v>80</v>
      </c>
      <c r="K8" t="s">
        <v>81</v>
      </c>
      <c r="L8" t="s">
        <v>82</v>
      </c>
      <c r="M8">
        <v>9900283898</v>
      </c>
      <c r="N8" t="s">
        <v>105</v>
      </c>
    </row>
    <row r="9" spans="1:14" ht="15.75" customHeight="1" x14ac:dyDescent="0.2">
      <c r="A9" s="316">
        <v>1016</v>
      </c>
      <c r="B9" s="247" t="s">
        <v>75</v>
      </c>
      <c r="C9" s="247">
        <v>49120</v>
      </c>
      <c r="D9" s="247" t="s">
        <v>106</v>
      </c>
      <c r="E9" s="247" t="s">
        <v>107</v>
      </c>
      <c r="F9" s="247" t="s">
        <v>108</v>
      </c>
      <c r="G9" t="b">
        <v>1</v>
      </c>
      <c r="H9" t="b">
        <v>0</v>
      </c>
      <c r="I9" t="s">
        <v>79</v>
      </c>
      <c r="J9" t="s">
        <v>80</v>
      </c>
      <c r="K9" t="s">
        <v>81</v>
      </c>
      <c r="L9" t="s">
        <v>82</v>
      </c>
      <c r="M9">
        <v>9900283898</v>
      </c>
      <c r="N9" t="s">
        <v>109</v>
      </c>
    </row>
    <row r="10" spans="1:14" ht="15.75" customHeight="1" x14ac:dyDescent="0.2">
      <c r="A10" s="316">
        <v>1016</v>
      </c>
      <c r="B10" s="247" t="s">
        <v>75</v>
      </c>
      <c r="C10" s="247">
        <v>11907</v>
      </c>
      <c r="D10" s="247" t="s">
        <v>110</v>
      </c>
      <c r="E10" s="247" t="s">
        <v>77</v>
      </c>
      <c r="F10" s="247" t="s">
        <v>111</v>
      </c>
      <c r="G10" t="b">
        <v>1</v>
      </c>
      <c r="H10" t="b">
        <v>0</v>
      </c>
      <c r="I10" t="s">
        <v>79</v>
      </c>
      <c r="J10" t="s">
        <v>80</v>
      </c>
      <c r="K10" t="s">
        <v>81</v>
      </c>
      <c r="L10" t="s">
        <v>82</v>
      </c>
      <c r="M10">
        <v>9900283898</v>
      </c>
      <c r="N10" t="s">
        <v>83</v>
      </c>
    </row>
    <row r="11" spans="1:14" ht="15.75" customHeight="1" x14ac:dyDescent="0.2">
      <c r="A11" s="316">
        <v>1016</v>
      </c>
      <c r="B11" s="247" t="s">
        <v>75</v>
      </c>
      <c r="C11" s="247">
        <v>11883</v>
      </c>
      <c r="D11" s="247" t="s">
        <v>112</v>
      </c>
      <c r="E11" s="247" t="s">
        <v>91</v>
      </c>
      <c r="F11" s="247" t="s">
        <v>113</v>
      </c>
      <c r="G11" t="b">
        <v>1</v>
      </c>
      <c r="H11" t="b">
        <v>0</v>
      </c>
      <c r="I11" t="s">
        <v>79</v>
      </c>
      <c r="J11" t="s">
        <v>80</v>
      </c>
      <c r="K11" t="s">
        <v>81</v>
      </c>
      <c r="L11" t="s">
        <v>82</v>
      </c>
      <c r="M11">
        <v>9900283898</v>
      </c>
      <c r="N11" t="s">
        <v>93</v>
      </c>
    </row>
    <row r="12" spans="1:14" ht="15.75" customHeight="1" x14ac:dyDescent="0.2">
      <c r="A12" s="316">
        <v>1016</v>
      </c>
      <c r="B12" s="247" t="s">
        <v>75</v>
      </c>
      <c r="C12" s="247">
        <v>35154</v>
      </c>
      <c r="D12" s="247" t="s">
        <v>114</v>
      </c>
      <c r="E12" s="247" t="s">
        <v>91</v>
      </c>
      <c r="F12" s="247" t="s">
        <v>115</v>
      </c>
      <c r="G12" t="b">
        <v>1</v>
      </c>
      <c r="H12" t="b">
        <v>0</v>
      </c>
      <c r="I12" t="s">
        <v>79</v>
      </c>
      <c r="J12" t="s">
        <v>80</v>
      </c>
      <c r="K12" t="s">
        <v>81</v>
      </c>
      <c r="L12" t="s">
        <v>82</v>
      </c>
      <c r="M12">
        <v>9900283898</v>
      </c>
      <c r="N12" t="s">
        <v>93</v>
      </c>
    </row>
    <row r="13" spans="1:14" ht="15.75" customHeight="1" x14ac:dyDescent="0.2">
      <c r="A13" s="316">
        <v>1016</v>
      </c>
      <c r="B13" s="247" t="s">
        <v>75</v>
      </c>
      <c r="C13" s="247">
        <v>11886</v>
      </c>
      <c r="D13" s="247" t="s">
        <v>116</v>
      </c>
      <c r="E13" s="247" t="s">
        <v>91</v>
      </c>
      <c r="F13" s="247" t="s">
        <v>117</v>
      </c>
      <c r="G13" t="b">
        <v>1</v>
      </c>
      <c r="H13" t="b">
        <v>0</v>
      </c>
      <c r="I13" t="s">
        <v>79</v>
      </c>
      <c r="J13" t="s">
        <v>80</v>
      </c>
      <c r="K13" t="s">
        <v>81</v>
      </c>
      <c r="L13" t="s">
        <v>82</v>
      </c>
      <c r="M13">
        <v>9900283898</v>
      </c>
      <c r="N13" t="s">
        <v>93</v>
      </c>
    </row>
    <row r="14" spans="1:14" ht="15.75" customHeight="1" x14ac:dyDescent="0.2">
      <c r="A14" s="316">
        <v>1016</v>
      </c>
      <c r="B14" s="247" t="s">
        <v>75</v>
      </c>
      <c r="C14" s="247">
        <v>11885</v>
      </c>
      <c r="D14" s="247" t="s">
        <v>118</v>
      </c>
      <c r="E14" s="247" t="s">
        <v>91</v>
      </c>
      <c r="F14" s="247" t="s">
        <v>119</v>
      </c>
      <c r="G14" t="b">
        <v>1</v>
      </c>
      <c r="H14" t="b">
        <v>0</v>
      </c>
      <c r="I14" t="s">
        <v>79</v>
      </c>
      <c r="J14" t="s">
        <v>80</v>
      </c>
      <c r="K14" t="s">
        <v>81</v>
      </c>
      <c r="L14" t="s">
        <v>82</v>
      </c>
      <c r="M14">
        <v>9900283898</v>
      </c>
      <c r="N14" t="s">
        <v>93</v>
      </c>
    </row>
    <row r="15" spans="1:14" ht="15.75" customHeight="1" x14ac:dyDescent="0.2">
      <c r="A15" s="316">
        <v>1016</v>
      </c>
      <c r="B15" s="247" t="s">
        <v>75</v>
      </c>
      <c r="C15" s="247">
        <v>11884</v>
      </c>
      <c r="D15" s="247" t="s">
        <v>120</v>
      </c>
      <c r="E15" s="247" t="s">
        <v>91</v>
      </c>
      <c r="F15" s="247" t="s">
        <v>121</v>
      </c>
      <c r="G15" t="b">
        <v>1</v>
      </c>
      <c r="H15" t="b">
        <v>0</v>
      </c>
      <c r="I15" t="s">
        <v>79</v>
      </c>
      <c r="J15" t="s">
        <v>80</v>
      </c>
      <c r="K15" t="s">
        <v>81</v>
      </c>
      <c r="L15" t="s">
        <v>82</v>
      </c>
      <c r="M15">
        <v>9900283898</v>
      </c>
      <c r="N15" t="s">
        <v>93</v>
      </c>
    </row>
    <row r="16" spans="1:14" ht="15.75" customHeight="1" x14ac:dyDescent="0.2">
      <c r="A16" s="316">
        <v>1016</v>
      </c>
      <c r="B16" s="247" t="s">
        <v>75</v>
      </c>
      <c r="C16" s="247">
        <v>35155</v>
      </c>
      <c r="D16" s="247" t="s">
        <v>122</v>
      </c>
      <c r="E16" s="247" t="s">
        <v>91</v>
      </c>
      <c r="F16" s="247" t="s">
        <v>123</v>
      </c>
      <c r="G16" t="b">
        <v>1</v>
      </c>
      <c r="H16" t="b">
        <v>0</v>
      </c>
      <c r="I16" t="s">
        <v>79</v>
      </c>
      <c r="J16" t="s">
        <v>80</v>
      </c>
      <c r="K16" t="s">
        <v>81</v>
      </c>
      <c r="L16" t="s">
        <v>82</v>
      </c>
      <c r="M16">
        <v>9900283898</v>
      </c>
      <c r="N16" t="s">
        <v>93</v>
      </c>
    </row>
    <row r="17" spans="1:14" ht="15.75" customHeight="1" x14ac:dyDescent="0.2">
      <c r="A17" s="316">
        <v>1016</v>
      </c>
      <c r="B17" s="247" t="s">
        <v>75</v>
      </c>
      <c r="C17" s="247">
        <v>35156</v>
      </c>
      <c r="D17" s="247" t="s">
        <v>124</v>
      </c>
      <c r="E17" s="247" t="s">
        <v>91</v>
      </c>
      <c r="F17" s="247" t="s">
        <v>125</v>
      </c>
      <c r="G17" t="b">
        <v>1</v>
      </c>
      <c r="H17" t="b">
        <v>0</v>
      </c>
      <c r="I17" t="s">
        <v>79</v>
      </c>
      <c r="J17" t="s">
        <v>80</v>
      </c>
      <c r="K17" t="s">
        <v>81</v>
      </c>
      <c r="L17" t="s">
        <v>82</v>
      </c>
      <c r="M17">
        <v>9900283898</v>
      </c>
      <c r="N17" t="s">
        <v>93</v>
      </c>
    </row>
    <row r="18" spans="1:14" ht="15.75" customHeight="1" x14ac:dyDescent="0.2">
      <c r="A18" s="316">
        <v>1016</v>
      </c>
      <c r="B18" s="247" t="s">
        <v>75</v>
      </c>
      <c r="C18" s="247">
        <v>11873</v>
      </c>
      <c r="D18" s="247" t="s">
        <v>126</v>
      </c>
      <c r="E18" s="247" t="s">
        <v>91</v>
      </c>
      <c r="F18" s="247" t="s">
        <v>127</v>
      </c>
      <c r="G18" t="b">
        <v>1</v>
      </c>
      <c r="H18" t="b">
        <v>0</v>
      </c>
      <c r="I18" t="s">
        <v>79</v>
      </c>
      <c r="J18" t="s">
        <v>80</v>
      </c>
      <c r="K18" t="s">
        <v>81</v>
      </c>
      <c r="L18" t="s">
        <v>82</v>
      </c>
      <c r="M18">
        <v>9900283898</v>
      </c>
      <c r="N18" t="s">
        <v>93</v>
      </c>
    </row>
    <row r="19" spans="1:14" ht="15.75" customHeight="1" x14ac:dyDescent="0.2">
      <c r="A19" s="316">
        <v>1016</v>
      </c>
      <c r="B19" s="247" t="s">
        <v>75</v>
      </c>
      <c r="C19" s="247">
        <v>11870</v>
      </c>
      <c r="D19" s="247" t="s">
        <v>128</v>
      </c>
      <c r="E19" s="247" t="s">
        <v>91</v>
      </c>
      <c r="F19" s="247" t="s">
        <v>129</v>
      </c>
      <c r="G19" t="b">
        <v>1</v>
      </c>
      <c r="H19" t="b">
        <v>0</v>
      </c>
      <c r="I19" t="s">
        <v>79</v>
      </c>
      <c r="J19" t="s">
        <v>80</v>
      </c>
      <c r="K19" t="s">
        <v>81</v>
      </c>
      <c r="L19" t="s">
        <v>82</v>
      </c>
      <c r="M19">
        <v>9900283898</v>
      </c>
      <c r="N19" t="s">
        <v>93</v>
      </c>
    </row>
    <row r="20" spans="1:14" ht="15.75" customHeight="1" x14ac:dyDescent="0.2">
      <c r="A20" s="316">
        <v>1016</v>
      </c>
      <c r="B20" s="247" t="s">
        <v>75</v>
      </c>
      <c r="C20" s="247">
        <v>11868</v>
      </c>
      <c r="D20" s="247" t="s">
        <v>130</v>
      </c>
      <c r="E20" s="247" t="s">
        <v>91</v>
      </c>
      <c r="F20" s="247" t="s">
        <v>131</v>
      </c>
      <c r="G20" t="b">
        <v>1</v>
      </c>
      <c r="H20" t="b">
        <v>0</v>
      </c>
      <c r="I20" t="s">
        <v>79</v>
      </c>
      <c r="J20" t="s">
        <v>80</v>
      </c>
      <c r="K20" t="s">
        <v>81</v>
      </c>
      <c r="L20" t="s">
        <v>82</v>
      </c>
      <c r="M20">
        <v>9900283898</v>
      </c>
      <c r="N20" t="s">
        <v>93</v>
      </c>
    </row>
    <row r="21" spans="1:14" ht="15.75" customHeight="1" x14ac:dyDescent="0.2">
      <c r="A21" s="316">
        <v>1016</v>
      </c>
      <c r="B21" s="247" t="s">
        <v>75</v>
      </c>
      <c r="C21" s="247">
        <v>12444</v>
      </c>
      <c r="D21" s="247" t="s">
        <v>132</v>
      </c>
      <c r="E21" s="247" t="s">
        <v>91</v>
      </c>
      <c r="F21" s="247" t="s">
        <v>133</v>
      </c>
      <c r="G21" t="b">
        <v>1</v>
      </c>
      <c r="H21" t="b">
        <v>0</v>
      </c>
      <c r="I21" t="s">
        <v>79</v>
      </c>
      <c r="J21" t="s">
        <v>80</v>
      </c>
      <c r="K21" t="s">
        <v>81</v>
      </c>
      <c r="L21" t="s">
        <v>82</v>
      </c>
      <c r="M21">
        <v>9900283898</v>
      </c>
      <c r="N21" t="s">
        <v>93</v>
      </c>
    </row>
    <row r="22" spans="1:14" ht="15.75" customHeight="1" x14ac:dyDescent="0.2">
      <c r="A22" s="316">
        <v>1016</v>
      </c>
      <c r="B22" s="247" t="s">
        <v>75</v>
      </c>
      <c r="C22" s="247">
        <v>12442</v>
      </c>
      <c r="D22" s="247" t="s">
        <v>134</v>
      </c>
      <c r="E22" s="247" t="s">
        <v>91</v>
      </c>
      <c r="F22" s="247" t="s">
        <v>135</v>
      </c>
      <c r="G22" t="b">
        <v>1</v>
      </c>
      <c r="H22" t="b">
        <v>0</v>
      </c>
      <c r="I22" t="s">
        <v>79</v>
      </c>
      <c r="J22" t="s">
        <v>80</v>
      </c>
      <c r="K22" t="s">
        <v>81</v>
      </c>
      <c r="L22" t="s">
        <v>82</v>
      </c>
      <c r="M22">
        <v>9900283898</v>
      </c>
      <c r="N22" t="s">
        <v>93</v>
      </c>
    </row>
    <row r="23" spans="1:14" ht="15.75" customHeight="1" x14ac:dyDescent="0.2">
      <c r="A23" s="316">
        <v>1016</v>
      </c>
      <c r="B23" s="247" t="s">
        <v>75</v>
      </c>
      <c r="C23" s="247">
        <v>12281</v>
      </c>
      <c r="D23" s="247" t="s">
        <v>136</v>
      </c>
      <c r="E23" s="247" t="s">
        <v>91</v>
      </c>
      <c r="F23" s="247" t="s">
        <v>137</v>
      </c>
      <c r="G23" t="b">
        <v>1</v>
      </c>
      <c r="H23" t="b">
        <v>0</v>
      </c>
      <c r="I23" t="s">
        <v>79</v>
      </c>
      <c r="J23" t="s">
        <v>80</v>
      </c>
      <c r="K23" t="s">
        <v>81</v>
      </c>
      <c r="L23" t="s">
        <v>82</v>
      </c>
      <c r="M23">
        <v>9900283898</v>
      </c>
      <c r="N23" t="s">
        <v>93</v>
      </c>
    </row>
    <row r="24" spans="1:14" ht="15.75" customHeight="1" x14ac:dyDescent="0.2">
      <c r="A24" s="316">
        <v>1016</v>
      </c>
      <c r="B24" s="247" t="s">
        <v>75</v>
      </c>
      <c r="C24" s="247">
        <v>12275</v>
      </c>
      <c r="D24" s="247" t="s">
        <v>138</v>
      </c>
      <c r="E24" s="247" t="s">
        <v>91</v>
      </c>
      <c r="F24" s="247" t="s">
        <v>139</v>
      </c>
      <c r="G24" t="b">
        <v>1</v>
      </c>
      <c r="H24" t="b">
        <v>0</v>
      </c>
      <c r="I24" t="s">
        <v>79</v>
      </c>
      <c r="J24" t="s">
        <v>80</v>
      </c>
      <c r="K24" t="s">
        <v>81</v>
      </c>
      <c r="L24" t="s">
        <v>82</v>
      </c>
      <c r="M24">
        <v>9900283898</v>
      </c>
      <c r="N24" t="s">
        <v>93</v>
      </c>
    </row>
    <row r="25" spans="1:14" ht="15.75" customHeight="1" x14ac:dyDescent="0.2">
      <c r="A25" s="316">
        <v>1016</v>
      </c>
      <c r="B25" s="247" t="s">
        <v>75</v>
      </c>
      <c r="C25" s="247">
        <v>12273</v>
      </c>
      <c r="D25" s="247" t="s">
        <v>140</v>
      </c>
      <c r="E25" s="247" t="s">
        <v>91</v>
      </c>
      <c r="F25" s="247" t="s">
        <v>141</v>
      </c>
      <c r="G25" t="b">
        <v>1</v>
      </c>
      <c r="H25" t="b">
        <v>0</v>
      </c>
      <c r="I25" t="s">
        <v>79</v>
      </c>
      <c r="J25" t="s">
        <v>80</v>
      </c>
      <c r="K25" t="s">
        <v>81</v>
      </c>
      <c r="L25" t="s">
        <v>82</v>
      </c>
      <c r="M25">
        <v>9900283898</v>
      </c>
      <c r="N25" t="s">
        <v>93</v>
      </c>
    </row>
    <row r="26" spans="1:14" ht="15.75" customHeight="1" x14ac:dyDescent="0.2">
      <c r="A26" s="316">
        <v>1016</v>
      </c>
      <c r="B26" s="247" t="s">
        <v>75</v>
      </c>
      <c r="C26" s="247">
        <v>12278</v>
      </c>
      <c r="D26" s="247" t="s">
        <v>142</v>
      </c>
      <c r="E26" s="247" t="s">
        <v>91</v>
      </c>
      <c r="F26" s="247" t="s">
        <v>143</v>
      </c>
      <c r="G26" t="b">
        <v>1</v>
      </c>
      <c r="H26" t="b">
        <v>0</v>
      </c>
      <c r="I26" t="s">
        <v>79</v>
      </c>
      <c r="J26" t="s">
        <v>80</v>
      </c>
      <c r="K26" t="s">
        <v>81</v>
      </c>
      <c r="L26" t="s">
        <v>82</v>
      </c>
      <c r="M26">
        <v>9900283898</v>
      </c>
      <c r="N26" t="s">
        <v>93</v>
      </c>
    </row>
    <row r="27" spans="1:14" ht="15.75" customHeight="1" x14ac:dyDescent="0.2">
      <c r="A27" s="316">
        <v>1016</v>
      </c>
      <c r="B27" s="247" t="s">
        <v>75</v>
      </c>
      <c r="C27" s="247">
        <v>34153</v>
      </c>
      <c r="D27" s="247" t="s">
        <v>144</v>
      </c>
      <c r="E27" s="247" t="s">
        <v>103</v>
      </c>
      <c r="F27" s="247" t="s">
        <v>145</v>
      </c>
      <c r="G27" t="b">
        <v>1</v>
      </c>
      <c r="H27" t="b">
        <v>0</v>
      </c>
      <c r="I27" t="s">
        <v>79</v>
      </c>
      <c r="J27" t="s">
        <v>80</v>
      </c>
      <c r="K27" t="s">
        <v>81</v>
      </c>
      <c r="L27" t="s">
        <v>82</v>
      </c>
      <c r="M27">
        <v>9900283898</v>
      </c>
      <c r="N27" t="s">
        <v>105</v>
      </c>
    </row>
    <row r="28" spans="1:14" ht="15.75" customHeight="1" x14ac:dyDescent="0.2">
      <c r="A28" s="316">
        <v>1016</v>
      </c>
      <c r="B28" s="247" t="s">
        <v>75</v>
      </c>
      <c r="C28" s="247">
        <v>34154</v>
      </c>
      <c r="D28" s="247" t="s">
        <v>146</v>
      </c>
      <c r="E28" s="247" t="s">
        <v>103</v>
      </c>
      <c r="F28" s="247" t="s">
        <v>147</v>
      </c>
      <c r="G28" t="b">
        <v>1</v>
      </c>
      <c r="H28" t="b">
        <v>0</v>
      </c>
      <c r="I28" t="s">
        <v>79</v>
      </c>
      <c r="J28" t="s">
        <v>80</v>
      </c>
      <c r="K28" t="s">
        <v>81</v>
      </c>
      <c r="L28" t="s">
        <v>82</v>
      </c>
      <c r="M28">
        <v>9900283898</v>
      </c>
      <c r="N28" t="s">
        <v>105</v>
      </c>
    </row>
    <row r="29" spans="1:14" ht="15.75" customHeight="1" x14ac:dyDescent="0.2">
      <c r="A29" s="316">
        <v>1016</v>
      </c>
      <c r="B29" s="247" t="s">
        <v>75</v>
      </c>
      <c r="C29" s="247">
        <v>34150</v>
      </c>
      <c r="D29" s="247" t="s">
        <v>148</v>
      </c>
      <c r="E29" s="247" t="s">
        <v>103</v>
      </c>
      <c r="F29" s="247" t="s">
        <v>149</v>
      </c>
      <c r="G29" t="b">
        <v>1</v>
      </c>
      <c r="H29" t="b">
        <v>0</v>
      </c>
      <c r="I29" t="s">
        <v>79</v>
      </c>
      <c r="J29" t="s">
        <v>80</v>
      </c>
      <c r="K29" t="s">
        <v>81</v>
      </c>
      <c r="L29" t="s">
        <v>82</v>
      </c>
      <c r="M29">
        <v>9900283898</v>
      </c>
      <c r="N29" t="s">
        <v>105</v>
      </c>
    </row>
    <row r="30" spans="1:14" ht="15.75" customHeight="1" x14ac:dyDescent="0.2">
      <c r="A30" s="316">
        <v>1016</v>
      </c>
      <c r="B30" s="247" t="s">
        <v>75</v>
      </c>
      <c r="C30" s="247">
        <v>34151</v>
      </c>
      <c r="D30" s="247" t="s">
        <v>150</v>
      </c>
      <c r="E30" s="247" t="s">
        <v>91</v>
      </c>
      <c r="F30" s="247" t="s">
        <v>151</v>
      </c>
      <c r="G30" t="b">
        <v>1</v>
      </c>
      <c r="H30" t="b">
        <v>0</v>
      </c>
      <c r="I30" t="s">
        <v>79</v>
      </c>
      <c r="J30" t="s">
        <v>80</v>
      </c>
      <c r="K30" t="s">
        <v>81</v>
      </c>
      <c r="L30" t="s">
        <v>82</v>
      </c>
      <c r="M30">
        <v>9900283898</v>
      </c>
      <c r="N30" t="s">
        <v>93</v>
      </c>
    </row>
    <row r="31" spans="1:14" ht="15.75" customHeight="1" x14ac:dyDescent="0.2">
      <c r="A31" s="316">
        <v>1016</v>
      </c>
      <c r="B31" s="247" t="s">
        <v>75</v>
      </c>
      <c r="C31" s="247">
        <v>11858</v>
      </c>
      <c r="D31" s="247" t="s">
        <v>152</v>
      </c>
      <c r="E31" s="247" t="s">
        <v>91</v>
      </c>
      <c r="F31" s="247" t="s">
        <v>153</v>
      </c>
      <c r="G31" t="b">
        <v>1</v>
      </c>
      <c r="H31" t="b">
        <v>0</v>
      </c>
      <c r="I31" t="s">
        <v>79</v>
      </c>
      <c r="J31" t="s">
        <v>80</v>
      </c>
      <c r="K31" t="s">
        <v>81</v>
      </c>
      <c r="L31" t="s">
        <v>82</v>
      </c>
      <c r="M31">
        <v>9900283898</v>
      </c>
      <c r="N31" t="s">
        <v>93</v>
      </c>
    </row>
    <row r="32" spans="1:14" ht="15.75" customHeight="1" x14ac:dyDescent="0.2">
      <c r="A32" s="316">
        <v>1016</v>
      </c>
      <c r="B32" s="247" t="s">
        <v>75</v>
      </c>
      <c r="C32" s="247">
        <v>12744</v>
      </c>
      <c r="D32" s="247" t="s">
        <v>154</v>
      </c>
      <c r="E32" s="247" t="s">
        <v>91</v>
      </c>
      <c r="F32" s="247" t="s">
        <v>155</v>
      </c>
      <c r="G32" t="b">
        <v>1</v>
      </c>
      <c r="H32" t="b">
        <v>0</v>
      </c>
      <c r="I32" t="s">
        <v>79</v>
      </c>
      <c r="J32" t="s">
        <v>80</v>
      </c>
      <c r="K32" t="s">
        <v>81</v>
      </c>
      <c r="L32" t="s">
        <v>82</v>
      </c>
      <c r="M32">
        <v>9900283898</v>
      </c>
      <c r="N32" t="s">
        <v>93</v>
      </c>
    </row>
    <row r="33" spans="1:14" ht="15.75" customHeight="1" x14ac:dyDescent="0.2">
      <c r="A33" s="316">
        <v>1016</v>
      </c>
      <c r="B33" s="247" t="s">
        <v>75</v>
      </c>
      <c r="C33" s="247">
        <v>11864</v>
      </c>
      <c r="D33" s="247" t="s">
        <v>156</v>
      </c>
      <c r="E33" s="247" t="s">
        <v>91</v>
      </c>
      <c r="F33" s="247" t="s">
        <v>157</v>
      </c>
      <c r="G33" t="b">
        <v>1</v>
      </c>
      <c r="H33" t="b">
        <v>0</v>
      </c>
      <c r="I33" t="s">
        <v>79</v>
      </c>
      <c r="J33" t="s">
        <v>80</v>
      </c>
      <c r="K33" t="s">
        <v>81</v>
      </c>
      <c r="L33" t="s">
        <v>82</v>
      </c>
      <c r="M33">
        <v>9900283898</v>
      </c>
      <c r="N33" t="s">
        <v>93</v>
      </c>
    </row>
    <row r="34" spans="1:14" ht="15.75" customHeight="1" x14ac:dyDescent="0.2">
      <c r="A34" s="316">
        <v>1016</v>
      </c>
      <c r="B34" s="247" t="s">
        <v>75</v>
      </c>
      <c r="C34" s="247">
        <v>11912</v>
      </c>
      <c r="D34" s="247" t="s">
        <v>158</v>
      </c>
      <c r="E34" s="247" t="s">
        <v>91</v>
      </c>
      <c r="F34" s="247" t="s">
        <v>159</v>
      </c>
      <c r="G34" t="b">
        <v>1</v>
      </c>
      <c r="H34" t="b">
        <v>0</v>
      </c>
      <c r="I34" t="s">
        <v>79</v>
      </c>
      <c r="J34" t="s">
        <v>80</v>
      </c>
      <c r="K34" t="s">
        <v>81</v>
      </c>
      <c r="L34" t="s">
        <v>82</v>
      </c>
      <c r="M34">
        <v>9900283898</v>
      </c>
      <c r="N34" t="s">
        <v>93</v>
      </c>
    </row>
    <row r="35" spans="1:14" ht="15.75" customHeight="1" x14ac:dyDescent="0.2">
      <c r="A35" s="316">
        <v>1016</v>
      </c>
      <c r="B35" s="247" t="s">
        <v>75</v>
      </c>
      <c r="C35" s="247">
        <v>11865</v>
      </c>
      <c r="D35" s="247" t="s">
        <v>160</v>
      </c>
      <c r="E35" s="247" t="s">
        <v>91</v>
      </c>
      <c r="F35" s="247" t="s">
        <v>161</v>
      </c>
      <c r="G35" t="b">
        <v>1</v>
      </c>
      <c r="H35" t="b">
        <v>0</v>
      </c>
      <c r="I35" t="s">
        <v>79</v>
      </c>
      <c r="J35" t="s">
        <v>80</v>
      </c>
      <c r="K35" t="s">
        <v>81</v>
      </c>
      <c r="L35" t="s">
        <v>82</v>
      </c>
      <c r="M35">
        <v>9900283898</v>
      </c>
      <c r="N35" t="s">
        <v>93</v>
      </c>
    </row>
    <row r="36" spans="1:14" ht="15.75" customHeight="1" x14ac:dyDescent="0.2">
      <c r="A36" s="316">
        <v>1016</v>
      </c>
      <c r="B36" s="247" t="s">
        <v>75</v>
      </c>
      <c r="C36" s="247">
        <v>13944</v>
      </c>
      <c r="D36" s="247" t="s">
        <v>162</v>
      </c>
      <c r="E36" s="247" t="s">
        <v>95</v>
      </c>
      <c r="F36" s="247" t="s">
        <v>163</v>
      </c>
      <c r="G36" t="b">
        <v>1</v>
      </c>
      <c r="H36" t="b">
        <v>0</v>
      </c>
      <c r="I36" t="s">
        <v>79</v>
      </c>
      <c r="J36" t="s">
        <v>80</v>
      </c>
      <c r="K36" t="s">
        <v>81</v>
      </c>
      <c r="L36" t="s">
        <v>82</v>
      </c>
      <c r="M36">
        <v>9900283898</v>
      </c>
      <c r="N36" t="s">
        <v>97</v>
      </c>
    </row>
    <row r="37" spans="1:14" ht="15.75" customHeight="1" x14ac:dyDescent="0.2">
      <c r="A37" s="316">
        <v>1016</v>
      </c>
      <c r="B37" s="247" t="s">
        <v>75</v>
      </c>
      <c r="C37" s="247">
        <v>22959</v>
      </c>
      <c r="D37" s="247" t="s">
        <v>164</v>
      </c>
      <c r="E37" s="247" t="s">
        <v>91</v>
      </c>
      <c r="F37" s="247" t="s">
        <v>165</v>
      </c>
      <c r="G37" t="b">
        <v>1</v>
      </c>
      <c r="H37" t="b">
        <v>0</v>
      </c>
      <c r="I37" t="s">
        <v>79</v>
      </c>
      <c r="J37" t="s">
        <v>80</v>
      </c>
      <c r="K37" t="s">
        <v>81</v>
      </c>
      <c r="L37" t="s">
        <v>82</v>
      </c>
      <c r="M37">
        <v>9900283898</v>
      </c>
      <c r="N37" t="s">
        <v>93</v>
      </c>
    </row>
    <row r="38" spans="1:14" ht="15.75" customHeight="1" x14ac:dyDescent="0.2">
      <c r="A38" s="316">
        <v>1016</v>
      </c>
      <c r="B38" s="247" t="s">
        <v>75</v>
      </c>
      <c r="C38" s="247">
        <v>22957</v>
      </c>
      <c r="D38" s="247" t="s">
        <v>166</v>
      </c>
      <c r="E38" s="247" t="s">
        <v>77</v>
      </c>
      <c r="F38" s="247" t="s">
        <v>167</v>
      </c>
      <c r="G38" t="b">
        <v>1</v>
      </c>
      <c r="H38" t="b">
        <v>0</v>
      </c>
      <c r="I38" t="s">
        <v>79</v>
      </c>
      <c r="J38" t="s">
        <v>80</v>
      </c>
      <c r="K38" t="s">
        <v>81</v>
      </c>
      <c r="L38" t="s">
        <v>82</v>
      </c>
      <c r="M38">
        <v>9900283898</v>
      </c>
      <c r="N38" t="s">
        <v>83</v>
      </c>
    </row>
    <row r="39" spans="1:14" ht="15.75" customHeight="1" x14ac:dyDescent="0.2">
      <c r="A39" s="316">
        <v>1016</v>
      </c>
      <c r="B39" s="247" t="s">
        <v>75</v>
      </c>
      <c r="C39" s="247">
        <v>12818</v>
      </c>
      <c r="D39" s="247" t="s">
        <v>8</v>
      </c>
      <c r="E39" s="247" t="s">
        <v>91</v>
      </c>
      <c r="F39" s="247" t="s">
        <v>168</v>
      </c>
      <c r="G39" t="b">
        <v>0</v>
      </c>
      <c r="H39" t="b">
        <v>0</v>
      </c>
      <c r="I39" t="s">
        <v>79</v>
      </c>
      <c r="J39" t="s">
        <v>80</v>
      </c>
      <c r="K39" t="s">
        <v>81</v>
      </c>
      <c r="L39" t="s">
        <v>82</v>
      </c>
      <c r="M39">
        <v>9900283898</v>
      </c>
      <c r="N39" t="s">
        <v>93</v>
      </c>
    </row>
    <row r="40" spans="1:14" ht="15.75" customHeight="1" x14ac:dyDescent="0.2">
      <c r="A40" s="316">
        <v>1016</v>
      </c>
      <c r="B40" s="247" t="s">
        <v>75</v>
      </c>
      <c r="C40" s="247">
        <v>14011</v>
      </c>
      <c r="D40" s="247" t="s">
        <v>169</v>
      </c>
      <c r="E40" s="247" t="s">
        <v>95</v>
      </c>
      <c r="F40" s="247" t="s">
        <v>170</v>
      </c>
      <c r="G40" t="b">
        <v>1</v>
      </c>
      <c r="H40" t="b">
        <v>0</v>
      </c>
      <c r="I40" t="s">
        <v>79</v>
      </c>
      <c r="J40" t="s">
        <v>80</v>
      </c>
      <c r="K40" t="s">
        <v>81</v>
      </c>
      <c r="L40" t="s">
        <v>82</v>
      </c>
      <c r="M40">
        <v>9900283898</v>
      </c>
      <c r="N40" t="s">
        <v>97</v>
      </c>
    </row>
    <row r="41" spans="1:14" ht="15.75" customHeight="1" x14ac:dyDescent="0.2">
      <c r="A41" s="316">
        <v>1016</v>
      </c>
      <c r="B41" s="247" t="s">
        <v>75</v>
      </c>
      <c r="C41" s="247">
        <v>11857</v>
      </c>
      <c r="D41" s="247" t="s">
        <v>171</v>
      </c>
      <c r="E41" s="247" t="s">
        <v>91</v>
      </c>
      <c r="F41" s="247" t="s">
        <v>172</v>
      </c>
      <c r="G41" t="b">
        <v>1</v>
      </c>
      <c r="H41" t="b">
        <v>0</v>
      </c>
      <c r="I41" t="s">
        <v>79</v>
      </c>
      <c r="J41" t="s">
        <v>80</v>
      </c>
      <c r="K41" t="s">
        <v>81</v>
      </c>
      <c r="L41" t="s">
        <v>82</v>
      </c>
      <c r="M41">
        <v>9900283898</v>
      </c>
      <c r="N41" t="s">
        <v>93</v>
      </c>
    </row>
    <row r="42" spans="1:14" ht="15.75" customHeight="1" x14ac:dyDescent="0.2">
      <c r="A42" s="316">
        <v>1016</v>
      </c>
      <c r="B42" s="247" t="s">
        <v>75</v>
      </c>
      <c r="C42" s="247">
        <v>11861</v>
      </c>
      <c r="D42" s="247" t="s">
        <v>173</v>
      </c>
      <c r="E42" s="247" t="s">
        <v>91</v>
      </c>
      <c r="F42" s="247" t="s">
        <v>174</v>
      </c>
      <c r="G42" t="b">
        <v>1</v>
      </c>
      <c r="H42" t="b">
        <v>0</v>
      </c>
      <c r="I42" t="s">
        <v>79</v>
      </c>
      <c r="J42" t="s">
        <v>80</v>
      </c>
      <c r="K42" t="s">
        <v>81</v>
      </c>
      <c r="L42" t="s">
        <v>82</v>
      </c>
      <c r="M42">
        <v>9900283898</v>
      </c>
      <c r="N42" t="s">
        <v>93</v>
      </c>
    </row>
    <row r="43" spans="1:14" ht="15.75" customHeight="1" x14ac:dyDescent="0.2">
      <c r="A43" s="316">
        <v>1016</v>
      </c>
      <c r="B43" s="247" t="s">
        <v>75</v>
      </c>
      <c r="C43" s="247">
        <v>11867</v>
      </c>
      <c r="D43" s="247" t="s">
        <v>175</v>
      </c>
      <c r="E43" s="247" t="s">
        <v>91</v>
      </c>
      <c r="F43" s="247" t="s">
        <v>176</v>
      </c>
      <c r="G43" t="b">
        <v>1</v>
      </c>
      <c r="H43" t="b">
        <v>0</v>
      </c>
      <c r="I43" t="s">
        <v>79</v>
      </c>
      <c r="J43" t="s">
        <v>80</v>
      </c>
      <c r="K43" t="s">
        <v>81</v>
      </c>
      <c r="L43" t="s">
        <v>82</v>
      </c>
      <c r="M43">
        <v>9900283898</v>
      </c>
      <c r="N43" t="s">
        <v>93</v>
      </c>
    </row>
    <row r="44" spans="1:14" ht="15.75" customHeight="1" x14ac:dyDescent="0.2">
      <c r="A44" s="316">
        <v>1016</v>
      </c>
      <c r="B44" s="247" t="s">
        <v>75</v>
      </c>
      <c r="C44" s="247">
        <v>12819</v>
      </c>
      <c r="D44" s="247" t="s">
        <v>6</v>
      </c>
      <c r="E44" s="247" t="s">
        <v>91</v>
      </c>
      <c r="F44" s="247" t="s">
        <v>177</v>
      </c>
      <c r="G44" t="b">
        <v>1</v>
      </c>
      <c r="H44" t="b">
        <v>0</v>
      </c>
      <c r="I44" t="s">
        <v>79</v>
      </c>
      <c r="J44" t="s">
        <v>80</v>
      </c>
      <c r="K44" t="s">
        <v>81</v>
      </c>
      <c r="L44" t="s">
        <v>82</v>
      </c>
      <c r="M44">
        <v>9900283898</v>
      </c>
      <c r="N44" t="s">
        <v>93</v>
      </c>
    </row>
    <row r="45" spans="1:14" ht="15.75" customHeight="1" x14ac:dyDescent="0.2">
      <c r="A45" s="316">
        <v>1016</v>
      </c>
      <c r="B45" s="247" t="s">
        <v>75</v>
      </c>
      <c r="C45" s="247">
        <v>11871</v>
      </c>
      <c r="D45" s="247" t="s">
        <v>178</v>
      </c>
      <c r="E45" s="247" t="s">
        <v>91</v>
      </c>
      <c r="F45" s="247" t="s">
        <v>179</v>
      </c>
      <c r="G45" t="b">
        <v>1</v>
      </c>
      <c r="H45" t="b">
        <v>0</v>
      </c>
      <c r="I45" t="s">
        <v>79</v>
      </c>
      <c r="J45" t="s">
        <v>80</v>
      </c>
      <c r="K45" t="s">
        <v>81</v>
      </c>
      <c r="L45" t="s">
        <v>82</v>
      </c>
      <c r="M45">
        <v>9900283898</v>
      </c>
      <c r="N45" t="s">
        <v>93</v>
      </c>
    </row>
    <row r="46" spans="1:14" ht="15.75" customHeight="1" x14ac:dyDescent="0.2">
      <c r="A46" s="316">
        <v>1016</v>
      </c>
      <c r="B46" s="247" t="s">
        <v>75</v>
      </c>
      <c r="C46" s="247">
        <v>11872</v>
      </c>
      <c r="D46" s="247" t="s">
        <v>180</v>
      </c>
      <c r="E46" s="247" t="s">
        <v>91</v>
      </c>
      <c r="F46" s="247" t="s">
        <v>181</v>
      </c>
      <c r="G46" t="b">
        <v>1</v>
      </c>
      <c r="H46" t="b">
        <v>0</v>
      </c>
      <c r="I46" t="s">
        <v>79</v>
      </c>
      <c r="J46" t="s">
        <v>80</v>
      </c>
      <c r="K46" t="s">
        <v>81</v>
      </c>
      <c r="L46" t="s">
        <v>82</v>
      </c>
      <c r="M46">
        <v>9900283898</v>
      </c>
      <c r="N46" t="s">
        <v>93</v>
      </c>
    </row>
    <row r="47" spans="1:14" ht="15.75" customHeight="1" x14ac:dyDescent="0.2">
      <c r="A47" s="316">
        <v>1016</v>
      </c>
      <c r="B47" s="247" t="s">
        <v>75</v>
      </c>
      <c r="C47" s="247">
        <v>11875</v>
      </c>
      <c r="D47" s="247" t="s">
        <v>182</v>
      </c>
      <c r="E47" s="247" t="s">
        <v>91</v>
      </c>
      <c r="F47" s="247" t="s">
        <v>183</v>
      </c>
      <c r="G47" t="b">
        <v>1</v>
      </c>
      <c r="H47" t="b">
        <v>0</v>
      </c>
      <c r="I47" t="s">
        <v>79</v>
      </c>
      <c r="J47" t="s">
        <v>80</v>
      </c>
      <c r="K47" t="s">
        <v>81</v>
      </c>
      <c r="L47" t="s">
        <v>82</v>
      </c>
      <c r="M47">
        <v>9900283898</v>
      </c>
      <c r="N47" t="s">
        <v>93</v>
      </c>
    </row>
    <row r="48" spans="1:14" ht="15.75" customHeight="1" x14ac:dyDescent="0.2">
      <c r="A48" s="316">
        <v>1016</v>
      </c>
      <c r="B48" s="247" t="s">
        <v>75</v>
      </c>
      <c r="C48" s="247">
        <v>11876</v>
      </c>
      <c r="D48" s="247" t="s">
        <v>184</v>
      </c>
      <c r="E48" s="247" t="s">
        <v>91</v>
      </c>
      <c r="F48" s="247" t="s">
        <v>185</v>
      </c>
      <c r="G48" t="b">
        <v>1</v>
      </c>
      <c r="H48" t="b">
        <v>0</v>
      </c>
      <c r="I48" t="s">
        <v>79</v>
      </c>
      <c r="J48" t="s">
        <v>80</v>
      </c>
      <c r="K48" t="s">
        <v>81</v>
      </c>
      <c r="L48" t="s">
        <v>82</v>
      </c>
      <c r="M48">
        <v>9900283898</v>
      </c>
      <c r="N48" t="s">
        <v>93</v>
      </c>
    </row>
    <row r="49" spans="1:14" ht="15.75" customHeight="1" x14ac:dyDescent="0.2">
      <c r="A49" s="316">
        <v>1016</v>
      </c>
      <c r="B49" s="247" t="s">
        <v>75</v>
      </c>
      <c r="C49" s="247">
        <v>11887</v>
      </c>
      <c r="D49" s="247" t="s">
        <v>186</v>
      </c>
      <c r="E49" s="247" t="s">
        <v>187</v>
      </c>
      <c r="F49" s="247" t="s">
        <v>188</v>
      </c>
      <c r="G49" t="b">
        <v>1</v>
      </c>
      <c r="H49" t="b">
        <v>0</v>
      </c>
      <c r="I49" t="s">
        <v>79</v>
      </c>
      <c r="J49" t="s">
        <v>80</v>
      </c>
      <c r="K49" t="s">
        <v>81</v>
      </c>
      <c r="L49" t="s">
        <v>82</v>
      </c>
      <c r="M49">
        <v>9900283898</v>
      </c>
      <c r="N49" t="s">
        <v>189</v>
      </c>
    </row>
    <row r="50" spans="1:14" ht="15.75" customHeight="1" x14ac:dyDescent="0.2">
      <c r="A50" s="316">
        <v>1016</v>
      </c>
      <c r="B50" s="247" t="s">
        <v>75</v>
      </c>
      <c r="C50" s="247">
        <v>11888</v>
      </c>
      <c r="D50" s="247" t="s">
        <v>190</v>
      </c>
      <c r="E50" s="247" t="s">
        <v>187</v>
      </c>
      <c r="F50" s="247" t="s">
        <v>191</v>
      </c>
      <c r="G50" t="b">
        <v>1</v>
      </c>
      <c r="H50" t="b">
        <v>0</v>
      </c>
      <c r="I50" t="s">
        <v>79</v>
      </c>
      <c r="J50" t="s">
        <v>80</v>
      </c>
      <c r="K50" t="s">
        <v>81</v>
      </c>
      <c r="L50" t="s">
        <v>82</v>
      </c>
      <c r="M50">
        <v>9900283898</v>
      </c>
      <c r="N50" t="s">
        <v>189</v>
      </c>
    </row>
    <row r="51" spans="1:14" ht="15.75" customHeight="1" x14ac:dyDescent="0.2">
      <c r="A51" s="316">
        <v>1016</v>
      </c>
      <c r="B51" s="247" t="s">
        <v>75</v>
      </c>
      <c r="C51" s="247">
        <v>9949</v>
      </c>
      <c r="D51" s="247" t="s">
        <v>192</v>
      </c>
      <c r="E51" s="247" t="s">
        <v>193</v>
      </c>
      <c r="F51" s="247" t="s">
        <v>194</v>
      </c>
      <c r="G51" t="b">
        <v>1</v>
      </c>
      <c r="H51" t="b">
        <v>0</v>
      </c>
      <c r="I51" t="s">
        <v>79</v>
      </c>
      <c r="J51" t="s">
        <v>80</v>
      </c>
      <c r="K51" t="s">
        <v>81</v>
      </c>
      <c r="L51" t="s">
        <v>82</v>
      </c>
      <c r="M51">
        <v>9900283898</v>
      </c>
      <c r="N51" t="s">
        <v>195</v>
      </c>
    </row>
    <row r="52" spans="1:14" ht="15.75" customHeight="1" x14ac:dyDescent="0.2">
      <c r="A52" s="316">
        <v>1016</v>
      </c>
      <c r="B52" s="247" t="s">
        <v>75</v>
      </c>
      <c r="C52" s="247">
        <v>11894</v>
      </c>
      <c r="D52" s="247" t="s">
        <v>196</v>
      </c>
      <c r="E52" s="247" t="s">
        <v>91</v>
      </c>
      <c r="F52" s="247" t="s">
        <v>197</v>
      </c>
      <c r="G52" t="b">
        <v>1</v>
      </c>
      <c r="H52" t="b">
        <v>0</v>
      </c>
      <c r="I52" t="s">
        <v>79</v>
      </c>
      <c r="J52" t="s">
        <v>80</v>
      </c>
      <c r="K52" t="s">
        <v>81</v>
      </c>
      <c r="L52" t="s">
        <v>82</v>
      </c>
      <c r="M52">
        <v>9900283898</v>
      </c>
      <c r="N52" t="s">
        <v>93</v>
      </c>
    </row>
    <row r="53" spans="1:14" ht="15.75" customHeight="1" x14ac:dyDescent="0.2">
      <c r="A53" s="316">
        <v>1016</v>
      </c>
      <c r="B53" s="247" t="s">
        <v>75</v>
      </c>
      <c r="C53" s="247">
        <v>13578</v>
      </c>
      <c r="D53" s="247" t="s">
        <v>11</v>
      </c>
      <c r="E53" s="247" t="s">
        <v>91</v>
      </c>
      <c r="F53" s="247" t="s">
        <v>198</v>
      </c>
      <c r="G53" t="b">
        <v>1</v>
      </c>
      <c r="H53" t="b">
        <v>0</v>
      </c>
      <c r="I53" t="s">
        <v>79</v>
      </c>
      <c r="J53" t="s">
        <v>80</v>
      </c>
      <c r="K53" t="s">
        <v>81</v>
      </c>
      <c r="L53" t="s">
        <v>82</v>
      </c>
      <c r="M53">
        <v>9900283898</v>
      </c>
      <c r="N53" t="s">
        <v>93</v>
      </c>
    </row>
    <row r="54" spans="1:14" ht="15.75" customHeight="1" x14ac:dyDescent="0.2">
      <c r="A54" s="316">
        <v>1016</v>
      </c>
      <c r="B54" s="247" t="s">
        <v>75</v>
      </c>
      <c r="C54" s="247">
        <v>13579</v>
      </c>
      <c r="D54" s="247" t="s">
        <v>12</v>
      </c>
      <c r="E54" s="247" t="s">
        <v>91</v>
      </c>
      <c r="F54" s="247" t="s">
        <v>199</v>
      </c>
      <c r="G54" t="b">
        <v>1</v>
      </c>
      <c r="H54" t="b">
        <v>0</v>
      </c>
      <c r="I54" t="s">
        <v>79</v>
      </c>
      <c r="J54" t="s">
        <v>80</v>
      </c>
      <c r="K54" t="s">
        <v>81</v>
      </c>
      <c r="L54" t="s">
        <v>82</v>
      </c>
      <c r="M54">
        <v>9900283898</v>
      </c>
      <c r="N54" t="s">
        <v>93</v>
      </c>
    </row>
    <row r="55" spans="1:14" ht="15.75" customHeight="1" x14ac:dyDescent="0.2">
      <c r="A55" s="316">
        <v>1016</v>
      </c>
      <c r="B55" s="247" t="s">
        <v>75</v>
      </c>
      <c r="C55" s="247">
        <v>11898</v>
      </c>
      <c r="D55" s="247" t="s">
        <v>200</v>
      </c>
      <c r="E55" s="247" t="s">
        <v>91</v>
      </c>
      <c r="F55" s="247" t="s">
        <v>201</v>
      </c>
      <c r="G55" t="b">
        <v>1</v>
      </c>
      <c r="H55" t="b">
        <v>0</v>
      </c>
      <c r="I55" t="s">
        <v>79</v>
      </c>
      <c r="J55" t="s">
        <v>80</v>
      </c>
      <c r="K55" t="s">
        <v>81</v>
      </c>
      <c r="L55" t="s">
        <v>82</v>
      </c>
      <c r="M55">
        <v>9900283898</v>
      </c>
      <c r="N55" t="s">
        <v>93</v>
      </c>
    </row>
    <row r="56" spans="1:14" ht="15.75" customHeight="1" x14ac:dyDescent="0.2">
      <c r="A56" s="316">
        <v>1016</v>
      </c>
      <c r="B56" s="247" t="s">
        <v>75</v>
      </c>
      <c r="C56" s="247">
        <v>14048</v>
      </c>
      <c r="D56" s="247" t="s">
        <v>202</v>
      </c>
      <c r="E56" s="247" t="s">
        <v>107</v>
      </c>
      <c r="F56" s="247" t="s">
        <v>203</v>
      </c>
      <c r="G56" t="b">
        <v>1</v>
      </c>
      <c r="H56" t="b">
        <v>0</v>
      </c>
      <c r="I56" t="s">
        <v>79</v>
      </c>
      <c r="J56" t="s">
        <v>80</v>
      </c>
      <c r="K56" t="s">
        <v>81</v>
      </c>
      <c r="L56" t="s">
        <v>82</v>
      </c>
      <c r="M56">
        <v>9900283898</v>
      </c>
      <c r="N56" t="s">
        <v>109</v>
      </c>
    </row>
    <row r="57" spans="1:14" ht="15.75" customHeight="1" x14ac:dyDescent="0.2">
      <c r="A57" s="316">
        <v>1016</v>
      </c>
      <c r="B57" s="247" t="s">
        <v>75</v>
      </c>
      <c r="C57" s="247">
        <v>14097</v>
      </c>
      <c r="D57" s="247" t="s">
        <v>204</v>
      </c>
      <c r="E57" s="247" t="s">
        <v>205</v>
      </c>
      <c r="F57" s="247" t="s">
        <v>206</v>
      </c>
      <c r="G57" t="b">
        <v>1</v>
      </c>
      <c r="H57" t="b">
        <v>0</v>
      </c>
      <c r="I57" t="s">
        <v>79</v>
      </c>
      <c r="J57" t="s">
        <v>80</v>
      </c>
      <c r="K57" t="s">
        <v>81</v>
      </c>
      <c r="L57" t="s">
        <v>82</v>
      </c>
      <c r="M57">
        <v>9900283898</v>
      </c>
      <c r="N57" t="s">
        <v>207</v>
      </c>
    </row>
    <row r="58" spans="1:14" ht="15.75" customHeight="1" x14ac:dyDescent="0.2">
      <c r="A58" s="316">
        <v>1016</v>
      </c>
      <c r="B58" s="247" t="s">
        <v>75</v>
      </c>
      <c r="C58" s="247">
        <v>14181</v>
      </c>
      <c r="D58" s="247" t="s">
        <v>208</v>
      </c>
      <c r="E58" s="247" t="s">
        <v>91</v>
      </c>
      <c r="F58" s="247" t="s">
        <v>209</v>
      </c>
      <c r="G58" t="b">
        <v>1</v>
      </c>
      <c r="H58" t="b">
        <v>0</v>
      </c>
      <c r="I58" t="s">
        <v>79</v>
      </c>
      <c r="J58" t="s">
        <v>80</v>
      </c>
      <c r="K58" t="s">
        <v>81</v>
      </c>
      <c r="L58" t="s">
        <v>82</v>
      </c>
      <c r="M58">
        <v>9900283898</v>
      </c>
      <c r="N58" t="s">
        <v>93</v>
      </c>
    </row>
    <row r="59" spans="1:14" ht="15.75" customHeight="1" x14ac:dyDescent="0.2">
      <c r="A59" s="316">
        <v>1016</v>
      </c>
      <c r="B59" s="247" t="s">
        <v>75</v>
      </c>
      <c r="C59" s="247">
        <v>14199</v>
      </c>
      <c r="D59" s="247" t="s">
        <v>210</v>
      </c>
      <c r="E59" s="247" t="s">
        <v>107</v>
      </c>
      <c r="F59" s="247" t="s">
        <v>211</v>
      </c>
      <c r="G59" t="b">
        <v>1</v>
      </c>
      <c r="H59" t="b">
        <v>0</v>
      </c>
      <c r="I59" t="s">
        <v>79</v>
      </c>
      <c r="J59" t="s">
        <v>80</v>
      </c>
      <c r="K59" t="s">
        <v>81</v>
      </c>
      <c r="L59" t="s">
        <v>82</v>
      </c>
      <c r="M59">
        <v>9900283898</v>
      </c>
      <c r="N59" t="s">
        <v>109</v>
      </c>
    </row>
    <row r="60" spans="1:14" ht="15.75" customHeight="1" x14ac:dyDescent="0.2">
      <c r="A60" s="316">
        <v>1016</v>
      </c>
      <c r="B60" s="247" t="s">
        <v>75</v>
      </c>
      <c r="C60" s="247">
        <v>14198</v>
      </c>
      <c r="D60" s="247" t="s">
        <v>212</v>
      </c>
      <c r="E60" s="247" t="s">
        <v>107</v>
      </c>
      <c r="F60" s="247" t="s">
        <v>213</v>
      </c>
      <c r="G60" t="b">
        <v>1</v>
      </c>
      <c r="H60" t="b">
        <v>0</v>
      </c>
      <c r="I60" t="s">
        <v>79</v>
      </c>
      <c r="J60" t="s">
        <v>80</v>
      </c>
      <c r="K60" t="s">
        <v>81</v>
      </c>
      <c r="L60" t="s">
        <v>82</v>
      </c>
      <c r="M60">
        <v>9900283898</v>
      </c>
      <c r="N60" t="s">
        <v>109</v>
      </c>
    </row>
    <row r="61" spans="1:14" ht="15.75" customHeight="1" x14ac:dyDescent="0.2">
      <c r="A61" s="316">
        <v>1016</v>
      </c>
      <c r="B61" s="247" t="s">
        <v>75</v>
      </c>
      <c r="C61" s="247">
        <v>14196</v>
      </c>
      <c r="D61" s="247" t="s">
        <v>214</v>
      </c>
      <c r="E61" s="247" t="s">
        <v>91</v>
      </c>
      <c r="F61" s="247" t="s">
        <v>215</v>
      </c>
      <c r="G61" t="b">
        <v>1</v>
      </c>
      <c r="H61" t="b">
        <v>0</v>
      </c>
      <c r="I61" t="s">
        <v>79</v>
      </c>
      <c r="J61" t="s">
        <v>80</v>
      </c>
      <c r="K61" t="s">
        <v>81</v>
      </c>
      <c r="L61" t="s">
        <v>82</v>
      </c>
      <c r="M61">
        <v>9900283898</v>
      </c>
      <c r="N61" t="s">
        <v>93</v>
      </c>
    </row>
    <row r="62" spans="1:14" ht="15.75" customHeight="1" x14ac:dyDescent="0.2">
      <c r="A62" s="316">
        <v>1016</v>
      </c>
      <c r="B62" s="247" t="s">
        <v>75</v>
      </c>
      <c r="C62" s="247">
        <v>11895</v>
      </c>
      <c r="D62" s="247" t="s">
        <v>216</v>
      </c>
      <c r="E62" s="247" t="s">
        <v>91</v>
      </c>
      <c r="F62" s="247" t="s">
        <v>217</v>
      </c>
      <c r="G62" t="b">
        <v>1</v>
      </c>
      <c r="H62" t="b">
        <v>0</v>
      </c>
      <c r="I62" t="s">
        <v>79</v>
      </c>
      <c r="J62" t="s">
        <v>80</v>
      </c>
      <c r="K62" t="s">
        <v>81</v>
      </c>
      <c r="L62" t="s">
        <v>82</v>
      </c>
      <c r="M62">
        <v>9900283898</v>
      </c>
      <c r="N62" t="s">
        <v>93</v>
      </c>
    </row>
    <row r="63" spans="1:14" ht="15.75" customHeight="1" x14ac:dyDescent="0.2">
      <c r="A63" s="316">
        <v>1016</v>
      </c>
      <c r="B63" s="247" t="s">
        <v>75</v>
      </c>
      <c r="C63" s="247">
        <v>11899</v>
      </c>
      <c r="D63" s="247" t="s">
        <v>218</v>
      </c>
      <c r="E63" s="247" t="s">
        <v>91</v>
      </c>
      <c r="F63" s="247" t="s">
        <v>219</v>
      </c>
      <c r="G63" t="b">
        <v>1</v>
      </c>
      <c r="H63" t="b">
        <v>0</v>
      </c>
      <c r="I63" t="s">
        <v>79</v>
      </c>
      <c r="J63" t="s">
        <v>80</v>
      </c>
      <c r="K63" t="s">
        <v>81</v>
      </c>
      <c r="L63" t="s">
        <v>82</v>
      </c>
      <c r="M63">
        <v>9900283898</v>
      </c>
      <c r="N63" t="s">
        <v>93</v>
      </c>
    </row>
    <row r="64" spans="1:14" ht="15.75" customHeight="1" x14ac:dyDescent="0.2">
      <c r="A64" s="316">
        <v>1016</v>
      </c>
      <c r="B64" s="247" t="s">
        <v>75</v>
      </c>
      <c r="C64" s="247">
        <v>11890</v>
      </c>
      <c r="D64" s="247" t="s">
        <v>220</v>
      </c>
      <c r="E64" s="247" t="s">
        <v>91</v>
      </c>
      <c r="F64" s="247" t="s">
        <v>221</v>
      </c>
      <c r="G64" t="b">
        <v>1</v>
      </c>
      <c r="H64" t="b">
        <v>0</v>
      </c>
      <c r="I64" t="s">
        <v>79</v>
      </c>
      <c r="J64" t="s">
        <v>80</v>
      </c>
      <c r="K64" t="s">
        <v>81</v>
      </c>
      <c r="L64" t="s">
        <v>82</v>
      </c>
      <c r="M64">
        <v>9900283898</v>
      </c>
      <c r="N64" t="s">
        <v>93</v>
      </c>
    </row>
    <row r="65" spans="1:14" ht="15.75" customHeight="1" x14ac:dyDescent="0.2">
      <c r="A65" s="316">
        <v>1016</v>
      </c>
      <c r="B65" s="247" t="s">
        <v>75</v>
      </c>
      <c r="C65" s="247">
        <v>11889</v>
      </c>
      <c r="D65" s="247" t="s">
        <v>222</v>
      </c>
      <c r="E65" s="247" t="s">
        <v>91</v>
      </c>
      <c r="F65" s="247" t="s">
        <v>223</v>
      </c>
      <c r="G65" t="b">
        <v>1</v>
      </c>
      <c r="H65" t="b">
        <v>0</v>
      </c>
      <c r="I65" t="s">
        <v>79</v>
      </c>
      <c r="J65" t="s">
        <v>80</v>
      </c>
      <c r="K65" t="s">
        <v>81</v>
      </c>
      <c r="L65" t="s">
        <v>82</v>
      </c>
      <c r="M65">
        <v>9900283898</v>
      </c>
      <c r="N65" t="s">
        <v>93</v>
      </c>
    </row>
    <row r="66" spans="1:14" ht="15.75" customHeight="1" x14ac:dyDescent="0.2">
      <c r="A66" s="316">
        <v>1016</v>
      </c>
      <c r="B66" s="247" t="s">
        <v>75</v>
      </c>
      <c r="C66" s="247">
        <v>14096</v>
      </c>
      <c r="D66" s="247" t="s">
        <v>224</v>
      </c>
      <c r="E66" s="247" t="s">
        <v>91</v>
      </c>
      <c r="F66" s="247" t="s">
        <v>225</v>
      </c>
      <c r="G66" t="b">
        <v>1</v>
      </c>
      <c r="H66" t="b">
        <v>0</v>
      </c>
      <c r="I66" t="s">
        <v>79</v>
      </c>
      <c r="J66" t="s">
        <v>80</v>
      </c>
      <c r="K66" t="s">
        <v>81</v>
      </c>
      <c r="L66" t="s">
        <v>82</v>
      </c>
      <c r="M66">
        <v>9900283898</v>
      </c>
      <c r="N66" t="s">
        <v>93</v>
      </c>
    </row>
    <row r="67" spans="1:14" ht="15.75" customHeight="1" x14ac:dyDescent="0.2">
      <c r="A67" s="316">
        <v>1016</v>
      </c>
      <c r="B67" s="247" t="s">
        <v>75</v>
      </c>
      <c r="C67" s="247">
        <v>23137</v>
      </c>
      <c r="D67" s="247" t="s">
        <v>226</v>
      </c>
      <c r="E67" s="247" t="s">
        <v>77</v>
      </c>
      <c r="F67" s="247" t="s">
        <v>227</v>
      </c>
      <c r="G67" t="b">
        <v>1</v>
      </c>
      <c r="H67" t="b">
        <v>0</v>
      </c>
      <c r="I67" t="s">
        <v>79</v>
      </c>
      <c r="J67" t="s">
        <v>80</v>
      </c>
      <c r="K67" t="s">
        <v>81</v>
      </c>
      <c r="L67" t="s">
        <v>82</v>
      </c>
      <c r="M67">
        <v>9900283898</v>
      </c>
      <c r="N67" t="s">
        <v>83</v>
      </c>
    </row>
    <row r="68" spans="1:14" ht="15.75" customHeight="1" x14ac:dyDescent="0.2">
      <c r="A68" s="316">
        <v>1016</v>
      </c>
      <c r="B68" s="247" t="s">
        <v>75</v>
      </c>
      <c r="C68" s="247">
        <v>22958</v>
      </c>
      <c r="D68" s="247" t="s">
        <v>228</v>
      </c>
      <c r="E68" s="247" t="s">
        <v>77</v>
      </c>
      <c r="F68" s="247" t="s">
        <v>229</v>
      </c>
      <c r="G68" t="b">
        <v>1</v>
      </c>
      <c r="H68" t="b">
        <v>0</v>
      </c>
      <c r="I68" t="s">
        <v>79</v>
      </c>
      <c r="J68" t="s">
        <v>80</v>
      </c>
      <c r="K68" t="s">
        <v>81</v>
      </c>
      <c r="L68" t="s">
        <v>82</v>
      </c>
      <c r="M68">
        <v>9900283898</v>
      </c>
      <c r="N68" t="s">
        <v>83</v>
      </c>
    </row>
    <row r="69" spans="1:14" ht="15.75" customHeight="1" x14ac:dyDescent="0.2">
      <c r="A69" s="316">
        <v>1016</v>
      </c>
      <c r="B69" s="247" t="s">
        <v>75</v>
      </c>
      <c r="C69" s="247">
        <v>11892</v>
      </c>
      <c r="D69" s="247" t="s">
        <v>230</v>
      </c>
      <c r="E69" s="247" t="s">
        <v>231</v>
      </c>
      <c r="F69" s="247" t="s">
        <v>232</v>
      </c>
      <c r="G69" t="b">
        <v>1</v>
      </c>
      <c r="H69" t="b">
        <v>0</v>
      </c>
      <c r="I69" t="s">
        <v>79</v>
      </c>
      <c r="J69" t="s">
        <v>80</v>
      </c>
      <c r="K69" t="s">
        <v>81</v>
      </c>
      <c r="L69" t="s">
        <v>82</v>
      </c>
      <c r="M69">
        <v>9900283898</v>
      </c>
      <c r="N69" t="s">
        <v>233</v>
      </c>
    </row>
    <row r="70" spans="1:14" ht="15.75" customHeight="1" x14ac:dyDescent="0.2">
      <c r="A70" s="316">
        <v>1016</v>
      </c>
      <c r="B70" s="247" t="s">
        <v>75</v>
      </c>
      <c r="C70" s="247">
        <v>12817</v>
      </c>
      <c r="D70" s="247" t="s">
        <v>7</v>
      </c>
      <c r="E70" s="247" t="s">
        <v>91</v>
      </c>
      <c r="F70" s="247" t="s">
        <v>234</v>
      </c>
      <c r="G70" t="b">
        <v>1</v>
      </c>
      <c r="H70" t="b">
        <v>0</v>
      </c>
      <c r="I70" t="s">
        <v>79</v>
      </c>
      <c r="J70" t="s">
        <v>80</v>
      </c>
      <c r="K70" t="s">
        <v>81</v>
      </c>
      <c r="L70" t="s">
        <v>82</v>
      </c>
      <c r="M70">
        <v>9900283898</v>
      </c>
      <c r="N70" t="s">
        <v>93</v>
      </c>
    </row>
    <row r="71" spans="1:14" ht="15.75" customHeight="1" x14ac:dyDescent="0.2">
      <c r="A71" s="316">
        <v>1016</v>
      </c>
      <c r="B71" s="247" t="s">
        <v>75</v>
      </c>
      <c r="C71" s="247">
        <v>11882</v>
      </c>
      <c r="D71" s="247" t="s">
        <v>235</v>
      </c>
      <c r="E71" s="247" t="s">
        <v>91</v>
      </c>
      <c r="F71" s="247" t="s">
        <v>236</v>
      </c>
      <c r="G71" t="b">
        <v>1</v>
      </c>
      <c r="H71" t="b">
        <v>0</v>
      </c>
      <c r="I71" t="s">
        <v>79</v>
      </c>
      <c r="J71" t="s">
        <v>80</v>
      </c>
      <c r="K71" t="s">
        <v>81</v>
      </c>
      <c r="L71" t="s">
        <v>82</v>
      </c>
      <c r="M71">
        <v>9900283898</v>
      </c>
      <c r="N71" t="s">
        <v>93</v>
      </c>
    </row>
    <row r="72" spans="1:14" ht="15.75" customHeight="1" x14ac:dyDescent="0.2">
      <c r="A72" s="316">
        <v>1016</v>
      </c>
      <c r="B72" s="247" t="s">
        <v>75</v>
      </c>
      <c r="C72" s="247">
        <v>37850</v>
      </c>
      <c r="D72" s="247" t="s">
        <v>237</v>
      </c>
      <c r="E72" s="247" t="s">
        <v>91</v>
      </c>
      <c r="F72" s="247" t="s">
        <v>238</v>
      </c>
      <c r="G72" t="b">
        <v>1</v>
      </c>
      <c r="H72" t="b">
        <v>0</v>
      </c>
      <c r="I72" t="s">
        <v>79</v>
      </c>
      <c r="J72" t="s">
        <v>80</v>
      </c>
      <c r="K72" t="s">
        <v>81</v>
      </c>
      <c r="L72" t="s">
        <v>82</v>
      </c>
      <c r="M72">
        <v>9900283898</v>
      </c>
      <c r="N72" t="s">
        <v>93</v>
      </c>
    </row>
    <row r="73" spans="1:14" ht="15.75" customHeight="1" x14ac:dyDescent="0.2">
      <c r="A73" s="316">
        <v>1016</v>
      </c>
      <c r="B73" s="247" t="s">
        <v>75</v>
      </c>
      <c r="C73" s="247">
        <v>35158</v>
      </c>
      <c r="D73" s="247" t="s">
        <v>239</v>
      </c>
      <c r="E73" s="247" t="s">
        <v>91</v>
      </c>
      <c r="F73" s="247" t="s">
        <v>240</v>
      </c>
      <c r="G73" t="b">
        <v>1</v>
      </c>
      <c r="H73" t="b">
        <v>0</v>
      </c>
      <c r="I73" t="s">
        <v>79</v>
      </c>
      <c r="J73" t="s">
        <v>80</v>
      </c>
      <c r="K73" t="s">
        <v>81</v>
      </c>
      <c r="L73" t="s">
        <v>82</v>
      </c>
      <c r="M73">
        <v>9900283898</v>
      </c>
      <c r="N73" t="s">
        <v>93</v>
      </c>
    </row>
    <row r="74" spans="1:14" ht="15.75" customHeight="1" x14ac:dyDescent="0.2">
      <c r="A74" s="316">
        <v>1016</v>
      </c>
      <c r="B74" s="247" t="s">
        <v>75</v>
      </c>
      <c r="C74" s="247">
        <v>34155</v>
      </c>
      <c r="D74" s="247" t="s">
        <v>241</v>
      </c>
      <c r="E74" s="247" t="s">
        <v>103</v>
      </c>
      <c r="F74" s="247" t="s">
        <v>242</v>
      </c>
      <c r="G74" t="b">
        <v>1</v>
      </c>
      <c r="H74" t="b">
        <v>0</v>
      </c>
      <c r="I74" t="s">
        <v>79</v>
      </c>
      <c r="J74" t="s">
        <v>80</v>
      </c>
      <c r="K74" t="s">
        <v>81</v>
      </c>
      <c r="L74" t="s">
        <v>82</v>
      </c>
      <c r="M74">
        <v>9900283898</v>
      </c>
      <c r="N74" t="s">
        <v>105</v>
      </c>
    </row>
    <row r="75" spans="1:14" ht="15.75" customHeight="1" x14ac:dyDescent="0.2">
      <c r="A75" s="316">
        <v>1016</v>
      </c>
      <c r="B75" s="247" t="s">
        <v>75</v>
      </c>
      <c r="C75" s="247">
        <v>34152</v>
      </c>
      <c r="D75" s="247" t="s">
        <v>243</v>
      </c>
      <c r="E75" s="247" t="s">
        <v>103</v>
      </c>
      <c r="F75" s="247" t="s">
        <v>244</v>
      </c>
      <c r="G75" t="b">
        <v>1</v>
      </c>
      <c r="H75" t="b">
        <v>0</v>
      </c>
      <c r="I75" t="s">
        <v>79</v>
      </c>
      <c r="J75" t="s">
        <v>80</v>
      </c>
      <c r="K75" t="s">
        <v>81</v>
      </c>
      <c r="L75" t="s">
        <v>82</v>
      </c>
      <c r="M75">
        <v>9900283898</v>
      </c>
      <c r="N75" t="s">
        <v>105</v>
      </c>
    </row>
    <row r="76" spans="1:14" ht="15.75" customHeight="1" x14ac:dyDescent="0.2">
      <c r="A76" s="316">
        <v>1016</v>
      </c>
      <c r="B76" s="247" t="s">
        <v>75</v>
      </c>
      <c r="C76" s="247">
        <v>34148</v>
      </c>
      <c r="D76" s="247" t="s">
        <v>245</v>
      </c>
      <c r="E76" s="247" t="s">
        <v>103</v>
      </c>
      <c r="F76" s="247" t="s">
        <v>246</v>
      </c>
      <c r="G76" t="b">
        <v>1</v>
      </c>
      <c r="H76" t="b">
        <v>0</v>
      </c>
      <c r="I76" t="s">
        <v>79</v>
      </c>
      <c r="J76" t="s">
        <v>80</v>
      </c>
      <c r="K76" t="s">
        <v>81</v>
      </c>
      <c r="L76" t="s">
        <v>82</v>
      </c>
      <c r="M76">
        <v>9900283898</v>
      </c>
      <c r="N76" t="s">
        <v>105</v>
      </c>
    </row>
    <row r="77" spans="1:14" ht="15.75" customHeight="1" x14ac:dyDescent="0.2">
      <c r="A77" s="316">
        <v>1016</v>
      </c>
      <c r="B77" s="247" t="s">
        <v>75</v>
      </c>
      <c r="C77" s="247">
        <v>13236</v>
      </c>
      <c r="D77" s="247" t="s">
        <v>247</v>
      </c>
      <c r="E77" s="247" t="s">
        <v>77</v>
      </c>
      <c r="F77" s="247" t="s">
        <v>248</v>
      </c>
      <c r="G77" t="b">
        <v>1</v>
      </c>
      <c r="H77" t="b">
        <v>0</v>
      </c>
      <c r="I77" t="s">
        <v>79</v>
      </c>
      <c r="J77" t="s">
        <v>80</v>
      </c>
      <c r="K77" t="s">
        <v>81</v>
      </c>
      <c r="L77" t="s">
        <v>82</v>
      </c>
      <c r="M77">
        <v>9900283898</v>
      </c>
      <c r="N77" t="s">
        <v>83</v>
      </c>
    </row>
    <row r="78" spans="1:14" ht="15.75" customHeight="1" x14ac:dyDescent="0.2">
      <c r="A78" s="316">
        <v>1016</v>
      </c>
      <c r="B78" s="247" t="s">
        <v>75</v>
      </c>
      <c r="C78" s="247">
        <v>12284</v>
      </c>
      <c r="D78" s="247" t="s">
        <v>249</v>
      </c>
      <c r="E78" s="247" t="s">
        <v>250</v>
      </c>
      <c r="F78" s="247" t="s">
        <v>251</v>
      </c>
      <c r="G78" t="b">
        <v>1</v>
      </c>
      <c r="H78" t="b">
        <v>0</v>
      </c>
      <c r="I78" t="s">
        <v>79</v>
      </c>
      <c r="J78" t="s">
        <v>80</v>
      </c>
      <c r="K78" t="s">
        <v>81</v>
      </c>
      <c r="L78" t="s">
        <v>82</v>
      </c>
      <c r="M78">
        <v>9900283898</v>
      </c>
      <c r="N78" t="s">
        <v>252</v>
      </c>
    </row>
    <row r="79" spans="1:14" ht="15.75" customHeight="1" x14ac:dyDescent="0.2">
      <c r="A79" s="316">
        <v>1016</v>
      </c>
      <c r="B79" s="247" t="s">
        <v>75</v>
      </c>
      <c r="C79" s="247">
        <v>11908</v>
      </c>
      <c r="D79" s="247" t="s">
        <v>253</v>
      </c>
      <c r="E79" s="247" t="s">
        <v>77</v>
      </c>
      <c r="F79" s="247" t="s">
        <v>254</v>
      </c>
      <c r="G79" t="b">
        <v>1</v>
      </c>
      <c r="H79" t="b">
        <v>0</v>
      </c>
      <c r="I79" t="s">
        <v>79</v>
      </c>
      <c r="J79" t="s">
        <v>80</v>
      </c>
      <c r="K79" t="s">
        <v>81</v>
      </c>
      <c r="L79" t="s">
        <v>82</v>
      </c>
      <c r="M79">
        <v>9900283898</v>
      </c>
      <c r="N79" t="s">
        <v>83</v>
      </c>
    </row>
    <row r="80" spans="1:14" ht="15.75" customHeight="1" x14ac:dyDescent="0.2">
      <c r="A80" s="316">
        <v>1016</v>
      </c>
      <c r="B80" s="247" t="s">
        <v>75</v>
      </c>
      <c r="C80" s="247">
        <v>11906</v>
      </c>
      <c r="D80" s="247" t="s">
        <v>255</v>
      </c>
      <c r="E80" s="247" t="s">
        <v>91</v>
      </c>
      <c r="F80" s="247" t="s">
        <v>256</v>
      </c>
      <c r="G80" t="b">
        <v>1</v>
      </c>
      <c r="H80" t="b">
        <v>0</v>
      </c>
      <c r="I80" t="s">
        <v>79</v>
      </c>
      <c r="J80" t="s">
        <v>80</v>
      </c>
      <c r="K80" t="s">
        <v>81</v>
      </c>
      <c r="L80" t="s">
        <v>82</v>
      </c>
      <c r="M80">
        <v>9900283898</v>
      </c>
      <c r="N80" t="s">
        <v>93</v>
      </c>
    </row>
    <row r="81" spans="1:14" ht="15.75" customHeight="1" x14ac:dyDescent="0.2">
      <c r="A81" s="316">
        <v>1016</v>
      </c>
      <c r="B81" s="247" t="s">
        <v>75</v>
      </c>
      <c r="C81" s="247">
        <v>11900</v>
      </c>
      <c r="D81" s="247" t="s">
        <v>257</v>
      </c>
      <c r="E81" s="247" t="s">
        <v>91</v>
      </c>
      <c r="F81" s="247" t="s">
        <v>258</v>
      </c>
      <c r="G81" t="b">
        <v>1</v>
      </c>
      <c r="H81" t="b">
        <v>0</v>
      </c>
      <c r="I81" t="s">
        <v>79</v>
      </c>
      <c r="J81" t="s">
        <v>80</v>
      </c>
      <c r="K81" t="s">
        <v>81</v>
      </c>
      <c r="L81" t="s">
        <v>82</v>
      </c>
      <c r="M81">
        <v>9900283898</v>
      </c>
      <c r="N81" t="s">
        <v>93</v>
      </c>
    </row>
    <row r="82" spans="1:14" ht="15.75" customHeight="1" x14ac:dyDescent="0.2">
      <c r="A82" s="316">
        <v>1016</v>
      </c>
      <c r="B82" s="247" t="s">
        <v>75</v>
      </c>
      <c r="C82" s="247">
        <v>11901</v>
      </c>
      <c r="D82" s="247" t="s">
        <v>259</v>
      </c>
      <c r="E82" s="247" t="s">
        <v>91</v>
      </c>
      <c r="F82" s="247" t="s">
        <v>260</v>
      </c>
      <c r="G82" t="b">
        <v>1</v>
      </c>
      <c r="H82" t="b">
        <v>0</v>
      </c>
      <c r="I82" t="s">
        <v>79</v>
      </c>
      <c r="J82" t="s">
        <v>80</v>
      </c>
      <c r="K82" t="s">
        <v>81</v>
      </c>
      <c r="L82" t="s">
        <v>82</v>
      </c>
      <c r="M82">
        <v>9900283898</v>
      </c>
      <c r="N82" t="s">
        <v>93</v>
      </c>
    </row>
    <row r="83" spans="1:14" ht="15.75" customHeight="1" x14ac:dyDescent="0.2">
      <c r="A83" s="316">
        <v>1016</v>
      </c>
      <c r="B83" s="247" t="s">
        <v>75</v>
      </c>
      <c r="C83" s="247">
        <v>11897</v>
      </c>
      <c r="D83" s="247" t="s">
        <v>261</v>
      </c>
      <c r="E83" s="247" t="s">
        <v>91</v>
      </c>
      <c r="F83" s="247" t="s">
        <v>262</v>
      </c>
      <c r="G83" t="b">
        <v>1</v>
      </c>
      <c r="H83" t="b">
        <v>0</v>
      </c>
      <c r="I83" t="s">
        <v>79</v>
      </c>
      <c r="J83" t="s">
        <v>80</v>
      </c>
      <c r="K83" t="s">
        <v>81</v>
      </c>
      <c r="L83" t="s">
        <v>82</v>
      </c>
      <c r="M83">
        <v>9900283898</v>
      </c>
      <c r="N83" t="s">
        <v>93</v>
      </c>
    </row>
    <row r="84" spans="1:14" ht="15.75" customHeight="1" x14ac:dyDescent="0.2">
      <c r="A84" s="316">
        <v>1016</v>
      </c>
      <c r="B84" s="247" t="s">
        <v>75</v>
      </c>
      <c r="C84" s="247">
        <v>11896</v>
      </c>
      <c r="D84" s="247" t="s">
        <v>263</v>
      </c>
      <c r="E84" s="247" t="s">
        <v>91</v>
      </c>
      <c r="F84" s="247" t="s">
        <v>264</v>
      </c>
      <c r="G84" t="b">
        <v>1</v>
      </c>
      <c r="H84" t="b">
        <v>0</v>
      </c>
      <c r="I84" t="s">
        <v>79</v>
      </c>
      <c r="J84" t="s">
        <v>80</v>
      </c>
      <c r="K84" t="s">
        <v>81</v>
      </c>
      <c r="L84" t="s">
        <v>82</v>
      </c>
      <c r="M84">
        <v>9900283898</v>
      </c>
      <c r="N84" t="s">
        <v>93</v>
      </c>
    </row>
    <row r="85" spans="1:14" ht="15.75" customHeight="1" x14ac:dyDescent="0.2">
      <c r="A85" s="316">
        <v>1016</v>
      </c>
      <c r="B85" s="247" t="s">
        <v>75</v>
      </c>
      <c r="C85" s="247">
        <v>11893</v>
      </c>
      <c r="D85" s="247" t="s">
        <v>265</v>
      </c>
      <c r="E85" s="247" t="s">
        <v>231</v>
      </c>
      <c r="F85" s="247" t="s">
        <v>266</v>
      </c>
      <c r="G85" t="b">
        <v>1</v>
      </c>
      <c r="H85" t="b">
        <v>0</v>
      </c>
      <c r="I85" t="s">
        <v>79</v>
      </c>
      <c r="J85" t="s">
        <v>80</v>
      </c>
      <c r="K85" t="s">
        <v>81</v>
      </c>
      <c r="L85" t="s">
        <v>82</v>
      </c>
      <c r="M85">
        <v>9900283898</v>
      </c>
      <c r="N85" t="s">
        <v>233</v>
      </c>
    </row>
    <row r="86" spans="1:14" ht="15.75" customHeight="1" x14ac:dyDescent="0.2">
      <c r="A86" s="316">
        <v>1016</v>
      </c>
      <c r="B86" s="247" t="s">
        <v>75</v>
      </c>
      <c r="C86" s="247">
        <v>11891</v>
      </c>
      <c r="D86" s="247" t="s">
        <v>267</v>
      </c>
      <c r="E86" s="247" t="s">
        <v>231</v>
      </c>
      <c r="F86" s="247" t="s">
        <v>268</v>
      </c>
      <c r="G86" t="b">
        <v>1</v>
      </c>
      <c r="H86" t="b">
        <v>0</v>
      </c>
      <c r="I86" t="s">
        <v>79</v>
      </c>
      <c r="J86" t="s">
        <v>80</v>
      </c>
      <c r="K86" t="s">
        <v>81</v>
      </c>
      <c r="L86" t="s">
        <v>82</v>
      </c>
      <c r="M86">
        <v>9900283898</v>
      </c>
      <c r="N86" t="s">
        <v>233</v>
      </c>
    </row>
    <row r="87" spans="1:14" ht="15.75" customHeight="1" x14ac:dyDescent="0.2">
      <c r="A87" s="316">
        <v>1016</v>
      </c>
      <c r="B87" s="247" t="s">
        <v>75</v>
      </c>
      <c r="C87" s="247">
        <v>11881</v>
      </c>
      <c r="D87" s="247" t="s">
        <v>269</v>
      </c>
      <c r="E87" s="247" t="s">
        <v>91</v>
      </c>
      <c r="F87" s="247" t="s">
        <v>270</v>
      </c>
      <c r="G87" t="b">
        <v>1</v>
      </c>
      <c r="H87" t="b">
        <v>0</v>
      </c>
      <c r="I87" t="s">
        <v>79</v>
      </c>
      <c r="J87" t="s">
        <v>80</v>
      </c>
      <c r="K87" t="s">
        <v>81</v>
      </c>
      <c r="L87" t="s">
        <v>82</v>
      </c>
      <c r="M87">
        <v>9900283898</v>
      </c>
      <c r="N87" t="s">
        <v>93</v>
      </c>
    </row>
    <row r="88" spans="1:14" ht="15.75" customHeight="1" x14ac:dyDescent="0.2">
      <c r="A88" s="316">
        <v>1016</v>
      </c>
      <c r="B88" s="247" t="s">
        <v>75</v>
      </c>
      <c r="C88" s="247">
        <v>11880</v>
      </c>
      <c r="D88" s="247" t="s">
        <v>271</v>
      </c>
      <c r="E88" s="247" t="s">
        <v>91</v>
      </c>
      <c r="F88" s="247" t="s">
        <v>272</v>
      </c>
      <c r="G88" t="b">
        <v>1</v>
      </c>
      <c r="H88" t="b">
        <v>0</v>
      </c>
      <c r="I88" t="s">
        <v>79</v>
      </c>
      <c r="J88" t="s">
        <v>80</v>
      </c>
      <c r="K88" t="s">
        <v>81</v>
      </c>
      <c r="L88" t="s">
        <v>82</v>
      </c>
      <c r="M88">
        <v>9900283898</v>
      </c>
      <c r="N88" t="s">
        <v>93</v>
      </c>
    </row>
    <row r="89" spans="1:14" ht="15.75" customHeight="1" x14ac:dyDescent="0.2">
      <c r="A89" s="316">
        <v>1016</v>
      </c>
      <c r="B89" s="247" t="s">
        <v>75</v>
      </c>
      <c r="C89" s="247">
        <v>11879</v>
      </c>
      <c r="D89" s="247" t="s">
        <v>273</v>
      </c>
      <c r="E89" s="247" t="s">
        <v>91</v>
      </c>
      <c r="F89" s="247" t="s">
        <v>274</v>
      </c>
      <c r="G89" t="b">
        <v>1</v>
      </c>
      <c r="H89" t="b">
        <v>0</v>
      </c>
      <c r="I89" t="s">
        <v>79</v>
      </c>
      <c r="J89" t="s">
        <v>80</v>
      </c>
      <c r="K89" t="s">
        <v>81</v>
      </c>
      <c r="L89" t="s">
        <v>82</v>
      </c>
      <c r="M89">
        <v>9900283898</v>
      </c>
      <c r="N89" t="s">
        <v>93</v>
      </c>
    </row>
    <row r="90" spans="1:14" ht="15.75" customHeight="1" x14ac:dyDescent="0.2">
      <c r="A90" s="316">
        <v>1016</v>
      </c>
      <c r="B90" s="247" t="s">
        <v>75</v>
      </c>
      <c r="C90" s="247">
        <v>11878</v>
      </c>
      <c r="D90" s="247" t="s">
        <v>275</v>
      </c>
      <c r="E90" s="247" t="s">
        <v>91</v>
      </c>
      <c r="F90" s="247" t="s">
        <v>276</v>
      </c>
      <c r="G90" t="b">
        <v>1</v>
      </c>
      <c r="H90" t="b">
        <v>0</v>
      </c>
      <c r="I90" t="s">
        <v>79</v>
      </c>
      <c r="J90" t="s">
        <v>80</v>
      </c>
      <c r="K90" t="s">
        <v>81</v>
      </c>
      <c r="L90" t="s">
        <v>82</v>
      </c>
      <c r="M90">
        <v>9900283898</v>
      </c>
      <c r="N90" t="s">
        <v>93</v>
      </c>
    </row>
    <row r="91" spans="1:14" ht="15.75" customHeight="1" x14ac:dyDescent="0.2">
      <c r="A91" s="316">
        <v>1016</v>
      </c>
      <c r="B91" s="247" t="s">
        <v>75</v>
      </c>
      <c r="C91" s="247">
        <v>11877</v>
      </c>
      <c r="D91" s="247" t="s">
        <v>277</v>
      </c>
      <c r="E91" s="247" t="s">
        <v>91</v>
      </c>
      <c r="F91" s="247" t="s">
        <v>278</v>
      </c>
      <c r="G91" t="b">
        <v>1</v>
      </c>
      <c r="H91" t="b">
        <v>0</v>
      </c>
      <c r="I91" t="s">
        <v>79</v>
      </c>
      <c r="J91" t="s">
        <v>80</v>
      </c>
      <c r="K91" t="s">
        <v>81</v>
      </c>
      <c r="L91" t="s">
        <v>82</v>
      </c>
      <c r="M91">
        <v>9900283898</v>
      </c>
      <c r="N91" t="s">
        <v>93</v>
      </c>
    </row>
    <row r="92" spans="1:14" ht="15.75" customHeight="1" x14ac:dyDescent="0.2">
      <c r="A92" s="316">
        <v>1016</v>
      </c>
      <c r="B92" s="247" t="s">
        <v>75</v>
      </c>
      <c r="C92" s="247">
        <v>11874</v>
      </c>
      <c r="D92" s="247" t="s">
        <v>279</v>
      </c>
      <c r="E92" s="247" t="s">
        <v>91</v>
      </c>
      <c r="F92" s="247" t="s">
        <v>280</v>
      </c>
      <c r="G92" t="b">
        <v>1</v>
      </c>
      <c r="H92" t="b">
        <v>0</v>
      </c>
      <c r="I92" t="s">
        <v>79</v>
      </c>
      <c r="J92" t="s">
        <v>80</v>
      </c>
      <c r="K92" t="s">
        <v>81</v>
      </c>
      <c r="L92" t="s">
        <v>82</v>
      </c>
      <c r="M92">
        <v>9900283898</v>
      </c>
      <c r="N92" t="s">
        <v>93</v>
      </c>
    </row>
    <row r="93" spans="1:14" ht="15.75" customHeight="1" x14ac:dyDescent="0.2">
      <c r="A93" s="316">
        <v>1016</v>
      </c>
      <c r="B93" s="247" t="s">
        <v>75</v>
      </c>
      <c r="C93" s="247">
        <v>11869</v>
      </c>
      <c r="D93" s="247" t="s">
        <v>281</v>
      </c>
      <c r="E93" s="247" t="s">
        <v>91</v>
      </c>
      <c r="F93" s="247" t="s">
        <v>282</v>
      </c>
      <c r="G93" t="b">
        <v>1</v>
      </c>
      <c r="H93" t="b">
        <v>0</v>
      </c>
      <c r="I93" t="s">
        <v>79</v>
      </c>
      <c r="J93" t="s">
        <v>80</v>
      </c>
      <c r="K93" t="s">
        <v>81</v>
      </c>
      <c r="L93" t="s">
        <v>82</v>
      </c>
      <c r="M93">
        <v>9900283898</v>
      </c>
      <c r="N93" t="s">
        <v>93</v>
      </c>
    </row>
    <row r="94" spans="1:14" ht="15.75" customHeight="1" x14ac:dyDescent="0.2">
      <c r="A94" s="316">
        <v>1016</v>
      </c>
      <c r="B94" s="247" t="s">
        <v>75</v>
      </c>
      <c r="C94" s="247">
        <v>11866</v>
      </c>
      <c r="D94" s="247" t="s">
        <v>283</v>
      </c>
      <c r="E94" s="247" t="s">
        <v>91</v>
      </c>
      <c r="F94" s="247" t="s">
        <v>284</v>
      </c>
      <c r="G94" t="b">
        <v>1</v>
      </c>
      <c r="H94" t="b">
        <v>0</v>
      </c>
      <c r="I94" t="s">
        <v>79</v>
      </c>
      <c r="J94" t="s">
        <v>80</v>
      </c>
      <c r="K94" t="s">
        <v>81</v>
      </c>
      <c r="L94" t="s">
        <v>82</v>
      </c>
      <c r="M94">
        <v>9900283898</v>
      </c>
      <c r="N94" t="s">
        <v>93</v>
      </c>
    </row>
    <row r="95" spans="1:14" ht="15.75" customHeight="1" x14ac:dyDescent="0.2">
      <c r="A95" s="316">
        <v>1016</v>
      </c>
      <c r="B95" s="247" t="s">
        <v>75</v>
      </c>
      <c r="C95" s="247">
        <v>11863</v>
      </c>
      <c r="D95" s="247" t="s">
        <v>285</v>
      </c>
      <c r="E95" s="247" t="s">
        <v>91</v>
      </c>
      <c r="F95" s="247" t="s">
        <v>286</v>
      </c>
      <c r="G95" t="b">
        <v>1</v>
      </c>
      <c r="H95" t="b">
        <v>0</v>
      </c>
      <c r="I95" t="s">
        <v>79</v>
      </c>
      <c r="J95" t="s">
        <v>80</v>
      </c>
      <c r="K95" t="s">
        <v>81</v>
      </c>
      <c r="L95" t="s">
        <v>82</v>
      </c>
      <c r="M95">
        <v>9900283898</v>
      </c>
      <c r="N95" t="s">
        <v>93</v>
      </c>
    </row>
    <row r="96" spans="1:14" ht="15.75" customHeight="1" x14ac:dyDescent="0.2">
      <c r="A96" s="316">
        <v>1016</v>
      </c>
      <c r="B96" s="247" t="s">
        <v>75</v>
      </c>
      <c r="C96" s="247">
        <v>11862</v>
      </c>
      <c r="D96" s="247" t="s">
        <v>287</v>
      </c>
      <c r="E96" s="247" t="s">
        <v>91</v>
      </c>
      <c r="F96" s="247" t="s">
        <v>288</v>
      </c>
      <c r="G96" t="b">
        <v>1</v>
      </c>
      <c r="H96" t="b">
        <v>0</v>
      </c>
      <c r="I96" t="s">
        <v>79</v>
      </c>
      <c r="J96" t="s">
        <v>80</v>
      </c>
      <c r="K96" t="s">
        <v>81</v>
      </c>
      <c r="L96" t="s">
        <v>82</v>
      </c>
      <c r="M96">
        <v>9900283898</v>
      </c>
      <c r="N96" t="s">
        <v>93</v>
      </c>
    </row>
    <row r="97" spans="1:14" ht="15.75" customHeight="1" x14ac:dyDescent="0.2">
      <c r="A97" s="317">
        <v>1016</v>
      </c>
      <c r="B97" t="s">
        <v>75</v>
      </c>
      <c r="C97">
        <v>11860</v>
      </c>
      <c r="D97" t="s">
        <v>289</v>
      </c>
      <c r="E97" t="s">
        <v>91</v>
      </c>
      <c r="F97" t="s">
        <v>290</v>
      </c>
      <c r="G97" t="b">
        <v>1</v>
      </c>
      <c r="H97" t="b">
        <v>0</v>
      </c>
      <c r="I97" t="s">
        <v>79</v>
      </c>
      <c r="J97" t="s">
        <v>80</v>
      </c>
      <c r="K97" t="s">
        <v>81</v>
      </c>
      <c r="L97" t="s">
        <v>82</v>
      </c>
      <c r="M97">
        <v>9900283898</v>
      </c>
      <c r="N97" t="s">
        <v>93</v>
      </c>
    </row>
    <row r="98" spans="1:14" ht="15.75" customHeight="1" x14ac:dyDescent="0.2">
      <c r="A98" s="317">
        <v>1016</v>
      </c>
      <c r="B98" t="s">
        <v>75</v>
      </c>
      <c r="C98">
        <v>11859</v>
      </c>
      <c r="D98" t="s">
        <v>291</v>
      </c>
      <c r="E98" t="s">
        <v>91</v>
      </c>
      <c r="F98" t="s">
        <v>292</v>
      </c>
      <c r="G98" t="b">
        <v>1</v>
      </c>
      <c r="H98" t="b">
        <v>0</v>
      </c>
      <c r="I98" t="s">
        <v>79</v>
      </c>
      <c r="J98" t="s">
        <v>80</v>
      </c>
      <c r="K98" t="s">
        <v>81</v>
      </c>
      <c r="L98" t="s">
        <v>82</v>
      </c>
      <c r="M98">
        <v>9900283898</v>
      </c>
      <c r="N98" t="s">
        <v>93</v>
      </c>
    </row>
    <row r="99" spans="1:14" ht="15.75" customHeight="1" x14ac:dyDescent="0.2">
      <c r="A99" s="317">
        <v>1016</v>
      </c>
      <c r="B99" t="s">
        <v>75</v>
      </c>
      <c r="C99">
        <v>14046</v>
      </c>
      <c r="D99" t="s">
        <v>293</v>
      </c>
      <c r="E99" t="s">
        <v>107</v>
      </c>
      <c r="F99" t="s">
        <v>294</v>
      </c>
      <c r="G99" t="b">
        <v>1</v>
      </c>
      <c r="H99" t="b">
        <v>0</v>
      </c>
      <c r="I99" t="s">
        <v>79</v>
      </c>
      <c r="J99" t="s">
        <v>80</v>
      </c>
      <c r="K99" t="s">
        <v>81</v>
      </c>
      <c r="L99" t="s">
        <v>82</v>
      </c>
      <c r="M99">
        <v>9900283898</v>
      </c>
      <c r="N99" t="s">
        <v>109</v>
      </c>
    </row>
    <row r="100" spans="1:14" ht="15.75" customHeight="1" x14ac:dyDescent="0.2">
      <c r="A100" s="317">
        <v>1016</v>
      </c>
      <c r="B100" t="s">
        <v>75</v>
      </c>
      <c r="C100">
        <v>34156</v>
      </c>
      <c r="D100" t="s">
        <v>295</v>
      </c>
      <c r="E100" t="s">
        <v>103</v>
      </c>
      <c r="F100" t="s">
        <v>296</v>
      </c>
      <c r="G100" t="b">
        <v>1</v>
      </c>
      <c r="H100" t="b">
        <v>0</v>
      </c>
      <c r="I100" t="s">
        <v>79</v>
      </c>
      <c r="J100" t="s">
        <v>80</v>
      </c>
      <c r="K100" t="s">
        <v>81</v>
      </c>
      <c r="L100" t="s">
        <v>82</v>
      </c>
      <c r="M100">
        <v>9900283898</v>
      </c>
      <c r="N100" t="s">
        <v>105</v>
      </c>
    </row>
    <row r="101" spans="1:14" ht="15.75" customHeight="1" x14ac:dyDescent="0.2">
      <c r="A101" s="317">
        <v>1016</v>
      </c>
      <c r="B101" t="s">
        <v>75</v>
      </c>
      <c r="C101">
        <v>35160</v>
      </c>
      <c r="D101" t="s">
        <v>297</v>
      </c>
      <c r="E101" t="s">
        <v>91</v>
      </c>
      <c r="F101" t="s">
        <v>298</v>
      </c>
      <c r="G101" t="b">
        <v>1</v>
      </c>
      <c r="H101" t="b">
        <v>0</v>
      </c>
      <c r="I101" t="s">
        <v>79</v>
      </c>
      <c r="J101" t="s">
        <v>80</v>
      </c>
      <c r="K101" t="s">
        <v>81</v>
      </c>
      <c r="L101" t="s">
        <v>82</v>
      </c>
      <c r="M101">
        <v>9900283898</v>
      </c>
      <c r="N101" t="s">
        <v>93</v>
      </c>
    </row>
    <row r="102" spans="1:14" ht="15.75" customHeight="1" x14ac:dyDescent="0.2">
      <c r="A102" s="317">
        <v>1016</v>
      </c>
      <c r="B102" t="s">
        <v>75</v>
      </c>
      <c r="C102">
        <v>35159</v>
      </c>
      <c r="D102" t="s">
        <v>299</v>
      </c>
      <c r="E102" t="s">
        <v>91</v>
      </c>
      <c r="F102" t="s">
        <v>300</v>
      </c>
      <c r="G102" t="b">
        <v>1</v>
      </c>
      <c r="H102" t="b">
        <v>0</v>
      </c>
      <c r="I102" t="s">
        <v>79</v>
      </c>
      <c r="J102" t="s">
        <v>80</v>
      </c>
      <c r="K102" t="s">
        <v>81</v>
      </c>
      <c r="L102" t="s">
        <v>82</v>
      </c>
      <c r="M102">
        <v>9900283898</v>
      </c>
      <c r="N102" t="s">
        <v>93</v>
      </c>
    </row>
    <row r="103" spans="1:14" ht="15.75" customHeight="1" x14ac:dyDescent="0.2">
      <c r="A103" s="317">
        <v>1016</v>
      </c>
      <c r="B103" t="s">
        <v>75</v>
      </c>
      <c r="C103">
        <v>11905</v>
      </c>
      <c r="D103" t="s">
        <v>301</v>
      </c>
      <c r="E103" t="s">
        <v>91</v>
      </c>
      <c r="F103" t="s">
        <v>302</v>
      </c>
      <c r="G103" t="b">
        <v>1</v>
      </c>
      <c r="H103" t="b">
        <v>0</v>
      </c>
      <c r="I103" t="s">
        <v>79</v>
      </c>
      <c r="J103" t="s">
        <v>80</v>
      </c>
      <c r="K103" t="s">
        <v>81</v>
      </c>
      <c r="L103" t="s">
        <v>82</v>
      </c>
      <c r="M103">
        <v>9900283898</v>
      </c>
      <c r="N103" t="s">
        <v>93</v>
      </c>
    </row>
    <row r="104" spans="1:14" ht="15.75" customHeight="1" x14ac:dyDescent="0.2">
      <c r="A104" s="317">
        <v>1016</v>
      </c>
      <c r="B104" t="s">
        <v>75</v>
      </c>
      <c r="C104">
        <v>14063</v>
      </c>
      <c r="D104" t="s">
        <v>303</v>
      </c>
      <c r="E104" t="s">
        <v>95</v>
      </c>
      <c r="F104" t="s">
        <v>304</v>
      </c>
      <c r="G104" t="b">
        <v>1</v>
      </c>
      <c r="H104" t="b">
        <v>0</v>
      </c>
      <c r="I104" t="s">
        <v>79</v>
      </c>
      <c r="J104" t="s">
        <v>80</v>
      </c>
      <c r="K104" t="s">
        <v>81</v>
      </c>
      <c r="L104" t="s">
        <v>82</v>
      </c>
      <c r="M104">
        <v>9900283898</v>
      </c>
      <c r="N104" t="s">
        <v>97</v>
      </c>
    </row>
    <row r="105" spans="1:14" ht="15.75" customHeight="1" x14ac:dyDescent="0.2">
      <c r="A105" s="317">
        <v>1016</v>
      </c>
      <c r="B105" t="s">
        <v>75</v>
      </c>
      <c r="C105">
        <v>14062</v>
      </c>
      <c r="D105" t="s">
        <v>305</v>
      </c>
      <c r="E105" t="s">
        <v>95</v>
      </c>
      <c r="F105" t="s">
        <v>306</v>
      </c>
      <c r="G105" t="b">
        <v>1</v>
      </c>
      <c r="H105" t="b">
        <v>0</v>
      </c>
      <c r="I105" t="s">
        <v>79</v>
      </c>
      <c r="J105" t="s">
        <v>80</v>
      </c>
      <c r="K105" t="s">
        <v>81</v>
      </c>
      <c r="L105" t="s">
        <v>82</v>
      </c>
      <c r="M105">
        <v>9900283898</v>
      </c>
      <c r="N105" t="s">
        <v>97</v>
      </c>
    </row>
    <row r="106" spans="1:14" ht="15.75" customHeight="1" x14ac:dyDescent="0.2">
      <c r="A106" s="317">
        <v>1016</v>
      </c>
      <c r="B106" t="s">
        <v>75</v>
      </c>
      <c r="C106">
        <v>14060</v>
      </c>
      <c r="D106" t="s">
        <v>307</v>
      </c>
      <c r="E106" t="s">
        <v>95</v>
      </c>
      <c r="F106" t="s">
        <v>308</v>
      </c>
      <c r="G106" t="b">
        <v>1</v>
      </c>
      <c r="H106" t="b">
        <v>0</v>
      </c>
      <c r="I106" t="s">
        <v>79</v>
      </c>
      <c r="J106" t="s">
        <v>80</v>
      </c>
      <c r="K106" t="s">
        <v>81</v>
      </c>
      <c r="L106" t="s">
        <v>82</v>
      </c>
      <c r="M106">
        <v>9900283898</v>
      </c>
      <c r="N106" t="s">
        <v>97</v>
      </c>
    </row>
    <row r="107" spans="1:14" ht="15.75" customHeight="1" x14ac:dyDescent="0.2">
      <c r="A107" s="317">
        <v>1016</v>
      </c>
      <c r="B107" t="s">
        <v>75</v>
      </c>
      <c r="C107">
        <v>14061</v>
      </c>
      <c r="D107" t="s">
        <v>309</v>
      </c>
      <c r="E107" t="s">
        <v>95</v>
      </c>
      <c r="F107" t="s">
        <v>310</v>
      </c>
      <c r="G107" t="b">
        <v>1</v>
      </c>
      <c r="H107" t="b">
        <v>0</v>
      </c>
      <c r="I107" t="s">
        <v>79</v>
      </c>
      <c r="J107" t="s">
        <v>80</v>
      </c>
      <c r="K107" t="s">
        <v>81</v>
      </c>
      <c r="L107" t="s">
        <v>82</v>
      </c>
      <c r="M107">
        <v>9900283898</v>
      </c>
      <c r="N107" t="s">
        <v>97</v>
      </c>
    </row>
    <row r="108" spans="1:14" ht="15.75" customHeight="1" x14ac:dyDescent="0.2">
      <c r="A108" s="317">
        <v>1016</v>
      </c>
      <c r="B108" t="s">
        <v>75</v>
      </c>
      <c r="C108">
        <v>14013</v>
      </c>
      <c r="D108" t="s">
        <v>311</v>
      </c>
      <c r="E108" t="s">
        <v>312</v>
      </c>
      <c r="F108" t="s">
        <v>313</v>
      </c>
      <c r="G108" t="b">
        <v>1</v>
      </c>
      <c r="H108" t="b">
        <v>0</v>
      </c>
      <c r="I108" t="s">
        <v>79</v>
      </c>
      <c r="J108" t="s">
        <v>80</v>
      </c>
      <c r="K108" t="s">
        <v>81</v>
      </c>
      <c r="L108" t="s">
        <v>82</v>
      </c>
      <c r="M108">
        <v>9900283898</v>
      </c>
      <c r="N108" t="s">
        <v>109</v>
      </c>
    </row>
    <row r="109" spans="1:14" ht="15.75" customHeight="1" x14ac:dyDescent="0.2">
      <c r="A109" s="317">
        <v>1016</v>
      </c>
      <c r="B109" t="s">
        <v>75</v>
      </c>
      <c r="C109">
        <v>14050</v>
      </c>
      <c r="D109" t="s">
        <v>314</v>
      </c>
      <c r="E109" t="s">
        <v>312</v>
      </c>
      <c r="F109" t="s">
        <v>315</v>
      </c>
      <c r="G109" t="b">
        <v>1</v>
      </c>
      <c r="H109" t="b">
        <v>0</v>
      </c>
      <c r="I109" t="s">
        <v>79</v>
      </c>
      <c r="J109" t="s">
        <v>80</v>
      </c>
      <c r="K109" t="s">
        <v>81</v>
      </c>
      <c r="L109" t="s">
        <v>82</v>
      </c>
      <c r="M109">
        <v>9900283898</v>
      </c>
      <c r="N109" t="s">
        <v>109</v>
      </c>
    </row>
    <row r="110" spans="1:14" ht="15.75" customHeight="1" x14ac:dyDescent="0.2">
      <c r="A110" s="317">
        <v>1016</v>
      </c>
      <c r="B110" t="s">
        <v>75</v>
      </c>
      <c r="C110">
        <v>34145</v>
      </c>
      <c r="D110" t="s">
        <v>316</v>
      </c>
      <c r="E110" t="s">
        <v>103</v>
      </c>
      <c r="F110" t="s">
        <v>317</v>
      </c>
      <c r="G110" t="b">
        <v>1</v>
      </c>
      <c r="H110" t="b">
        <v>0</v>
      </c>
      <c r="I110" t="s">
        <v>79</v>
      </c>
      <c r="J110" t="s">
        <v>80</v>
      </c>
      <c r="K110" t="s">
        <v>81</v>
      </c>
      <c r="L110" t="s">
        <v>82</v>
      </c>
      <c r="M110">
        <v>9900283898</v>
      </c>
      <c r="N110" t="s">
        <v>105</v>
      </c>
    </row>
    <row r="111" spans="1:14" ht="15.75" customHeight="1" x14ac:dyDescent="0.2">
      <c r="A111" s="317">
        <v>1016</v>
      </c>
      <c r="B111" t="s">
        <v>75</v>
      </c>
      <c r="C111">
        <v>34146</v>
      </c>
      <c r="D111" t="s">
        <v>318</v>
      </c>
      <c r="E111" t="s">
        <v>103</v>
      </c>
      <c r="F111" t="s">
        <v>319</v>
      </c>
      <c r="G111" t="b">
        <v>1</v>
      </c>
      <c r="H111" t="b">
        <v>0</v>
      </c>
      <c r="I111" t="s">
        <v>79</v>
      </c>
      <c r="J111" t="s">
        <v>80</v>
      </c>
      <c r="K111" t="s">
        <v>81</v>
      </c>
      <c r="L111" t="s">
        <v>82</v>
      </c>
      <c r="M111">
        <v>9900283898</v>
      </c>
      <c r="N111" t="s">
        <v>105</v>
      </c>
    </row>
    <row r="112" spans="1:14" ht="15.75" customHeight="1" x14ac:dyDescent="0.2">
      <c r="A112" s="317">
        <v>1016</v>
      </c>
      <c r="B112" t="s">
        <v>75</v>
      </c>
      <c r="C112">
        <v>34149</v>
      </c>
      <c r="D112" t="s">
        <v>320</v>
      </c>
      <c r="E112" t="s">
        <v>103</v>
      </c>
      <c r="F112" t="s">
        <v>321</v>
      </c>
      <c r="G112" t="b">
        <v>1</v>
      </c>
      <c r="H112" t="b">
        <v>0</v>
      </c>
      <c r="I112" t="s">
        <v>79</v>
      </c>
      <c r="J112" t="s">
        <v>80</v>
      </c>
      <c r="K112" t="s">
        <v>81</v>
      </c>
      <c r="L112" t="s">
        <v>82</v>
      </c>
      <c r="M112">
        <v>9900283898</v>
      </c>
      <c r="N112" t="s">
        <v>105</v>
      </c>
    </row>
    <row r="113" spans="1:14" ht="15.75" customHeight="1" x14ac:dyDescent="0.2">
      <c r="A113" s="317">
        <v>1016</v>
      </c>
      <c r="B113" t="s">
        <v>75</v>
      </c>
      <c r="C113">
        <v>12274</v>
      </c>
      <c r="D113" t="s">
        <v>322</v>
      </c>
      <c r="E113" t="s">
        <v>250</v>
      </c>
      <c r="F113" t="s">
        <v>323</v>
      </c>
      <c r="G113" t="b">
        <v>1</v>
      </c>
      <c r="H113" t="b">
        <v>0</v>
      </c>
      <c r="I113" t="s">
        <v>79</v>
      </c>
      <c r="J113" t="s">
        <v>80</v>
      </c>
      <c r="K113" t="s">
        <v>81</v>
      </c>
      <c r="L113" t="s">
        <v>82</v>
      </c>
      <c r="M113">
        <v>9900283898</v>
      </c>
      <c r="N113" t="s">
        <v>252</v>
      </c>
    </row>
    <row r="114" spans="1:14" ht="15.75" customHeight="1" x14ac:dyDescent="0.2">
      <c r="A114" s="317">
        <v>1016</v>
      </c>
      <c r="B114" t="s">
        <v>75</v>
      </c>
      <c r="C114">
        <v>40237</v>
      </c>
      <c r="D114" t="s">
        <v>324</v>
      </c>
      <c r="E114" t="s">
        <v>77</v>
      </c>
      <c r="F114" t="s">
        <v>325</v>
      </c>
      <c r="G114" t="b">
        <v>1</v>
      </c>
      <c r="H114" t="b">
        <v>0</v>
      </c>
      <c r="I114" t="s">
        <v>79</v>
      </c>
      <c r="J114" t="s">
        <v>80</v>
      </c>
      <c r="K114" t="s">
        <v>81</v>
      </c>
      <c r="L114" t="s">
        <v>82</v>
      </c>
      <c r="M114">
        <v>9900283898</v>
      </c>
      <c r="N114" t="s">
        <v>83</v>
      </c>
    </row>
    <row r="115" spans="1:14" ht="15.75" customHeight="1" x14ac:dyDescent="0.2">
      <c r="A115" s="317">
        <v>1016</v>
      </c>
      <c r="B115" t="s">
        <v>75</v>
      </c>
      <c r="C115">
        <v>40238</v>
      </c>
      <c r="D115" t="s">
        <v>326</v>
      </c>
      <c r="E115" t="s">
        <v>91</v>
      </c>
      <c r="F115" t="s">
        <v>327</v>
      </c>
      <c r="G115" t="b">
        <v>1</v>
      </c>
      <c r="H115" t="b">
        <v>0</v>
      </c>
      <c r="I115" t="s">
        <v>79</v>
      </c>
      <c r="J115" t="s">
        <v>80</v>
      </c>
      <c r="K115" t="s">
        <v>81</v>
      </c>
      <c r="L115" t="s">
        <v>82</v>
      </c>
      <c r="M115">
        <v>9900283898</v>
      </c>
      <c r="N115" t="s">
        <v>93</v>
      </c>
    </row>
    <row r="116" spans="1:14" ht="15.75" customHeight="1" x14ac:dyDescent="0.2">
      <c r="A116" s="317">
        <v>1016</v>
      </c>
      <c r="B116" t="s">
        <v>75</v>
      </c>
      <c r="C116">
        <v>40236</v>
      </c>
      <c r="D116" t="s">
        <v>328</v>
      </c>
      <c r="E116" t="s">
        <v>77</v>
      </c>
      <c r="F116" t="s">
        <v>329</v>
      </c>
      <c r="G116" t="b">
        <v>1</v>
      </c>
      <c r="H116" t="b">
        <v>0</v>
      </c>
      <c r="I116" t="s">
        <v>79</v>
      </c>
      <c r="J116" t="s">
        <v>80</v>
      </c>
      <c r="K116" t="s">
        <v>81</v>
      </c>
      <c r="L116" t="s">
        <v>82</v>
      </c>
      <c r="M116">
        <v>9900283898</v>
      </c>
      <c r="N116" t="s">
        <v>83</v>
      </c>
    </row>
    <row r="117" spans="1:14" ht="15.75" customHeight="1" x14ac:dyDescent="0.2">
      <c r="A117" s="317">
        <v>1016</v>
      </c>
      <c r="B117" t="s">
        <v>75</v>
      </c>
      <c r="C117">
        <v>12446</v>
      </c>
      <c r="D117" t="s">
        <v>330</v>
      </c>
      <c r="E117" t="s">
        <v>91</v>
      </c>
      <c r="F117" t="s">
        <v>331</v>
      </c>
      <c r="G117" t="b">
        <v>1</v>
      </c>
      <c r="H117" t="b">
        <v>0</v>
      </c>
      <c r="I117" t="s">
        <v>79</v>
      </c>
      <c r="J117" t="s">
        <v>80</v>
      </c>
      <c r="K117" t="s">
        <v>81</v>
      </c>
      <c r="L117" t="s">
        <v>82</v>
      </c>
      <c r="M117">
        <v>9900283898</v>
      </c>
      <c r="N117" t="s">
        <v>93</v>
      </c>
    </row>
    <row r="118" spans="1:14" ht="15.75" customHeight="1" x14ac:dyDescent="0.2">
      <c r="A118" s="317">
        <v>1016</v>
      </c>
      <c r="B118" t="s">
        <v>75</v>
      </c>
      <c r="C118">
        <v>41869</v>
      </c>
      <c r="D118" t="s">
        <v>332</v>
      </c>
      <c r="E118" t="s">
        <v>333</v>
      </c>
      <c r="F118" t="s">
        <v>334</v>
      </c>
      <c r="G118" t="b">
        <v>1</v>
      </c>
      <c r="H118" t="b">
        <v>0</v>
      </c>
      <c r="I118" t="s">
        <v>79</v>
      </c>
      <c r="J118" t="s">
        <v>80</v>
      </c>
      <c r="K118" t="s">
        <v>81</v>
      </c>
      <c r="L118" t="s">
        <v>82</v>
      </c>
      <c r="M118">
        <v>9900283898</v>
      </c>
      <c r="N118" t="s">
        <v>252</v>
      </c>
    </row>
    <row r="119" spans="1:14" ht="15.75" customHeight="1" x14ac:dyDescent="0.2">
      <c r="A119" s="317">
        <v>1016</v>
      </c>
      <c r="B119" t="s">
        <v>75</v>
      </c>
      <c r="C119">
        <v>59233</v>
      </c>
      <c r="D119" t="s">
        <v>335</v>
      </c>
      <c r="E119" t="s">
        <v>336</v>
      </c>
      <c r="F119" t="s">
        <v>337</v>
      </c>
      <c r="G119" t="b">
        <v>1</v>
      </c>
      <c r="H119" t="b">
        <v>0</v>
      </c>
      <c r="I119" t="s">
        <v>79</v>
      </c>
      <c r="J119" t="s">
        <v>80</v>
      </c>
      <c r="K119" t="s">
        <v>81</v>
      </c>
      <c r="L119" t="s">
        <v>82</v>
      </c>
      <c r="M119">
        <v>9900283898</v>
      </c>
      <c r="N119" t="s">
        <v>338</v>
      </c>
    </row>
    <row r="120" spans="1:14" ht="15.75" customHeight="1" x14ac:dyDescent="0.2">
      <c r="A120" s="92"/>
    </row>
    <row r="121" spans="1:14" ht="15.75" customHeight="1" x14ac:dyDescent="0.2">
      <c r="A121" s="92"/>
    </row>
    <row r="122" spans="1:14" ht="15.75" customHeight="1" x14ac:dyDescent="0.2">
      <c r="A122" s="92"/>
    </row>
    <row r="123" spans="1:14" ht="15.75" customHeight="1" x14ac:dyDescent="0.2">
      <c r="A123" s="92"/>
    </row>
    <row r="124" spans="1:14" ht="15.75" customHeight="1" x14ac:dyDescent="0.2">
      <c r="A124" s="92"/>
    </row>
    <row r="125" spans="1:14" ht="15.75" customHeight="1" x14ac:dyDescent="0.2">
      <c r="A125" s="92"/>
    </row>
    <row r="126" spans="1:14" ht="15.75" customHeight="1" x14ac:dyDescent="0.2">
      <c r="A126" s="92"/>
    </row>
    <row r="127" spans="1:14" ht="15.75" customHeight="1" x14ac:dyDescent="0.2">
      <c r="A127" s="92"/>
    </row>
    <row r="128" spans="1:14" ht="15.75" customHeight="1" x14ac:dyDescent="0.2">
      <c r="A128" s="92"/>
    </row>
    <row r="129" spans="1:1" ht="15.75" customHeight="1" x14ac:dyDescent="0.2">
      <c r="A129" s="92"/>
    </row>
    <row r="130" spans="1:1" ht="15.75" customHeight="1" x14ac:dyDescent="0.2">
      <c r="A130" s="92"/>
    </row>
    <row r="131" spans="1:1" ht="15.75" customHeight="1" x14ac:dyDescent="0.2">
      <c r="A131" s="92"/>
    </row>
    <row r="132" spans="1:1" ht="15.75" customHeight="1" x14ac:dyDescent="0.2">
      <c r="A132" s="92"/>
    </row>
    <row r="133" spans="1:1" ht="15.75" customHeight="1" x14ac:dyDescent="0.2">
      <c r="A133" s="92"/>
    </row>
    <row r="134" spans="1:1" ht="15.75" customHeight="1" x14ac:dyDescent="0.2">
      <c r="A134" s="92"/>
    </row>
    <row r="135" spans="1:1" ht="15.75" customHeight="1" x14ac:dyDescent="0.2">
      <c r="A135" s="92"/>
    </row>
    <row r="136" spans="1:1" ht="15.75" customHeight="1" x14ac:dyDescent="0.2">
      <c r="A136" s="92"/>
    </row>
    <row r="137" spans="1:1" ht="15.75" customHeight="1" x14ac:dyDescent="0.2">
      <c r="A137" s="92"/>
    </row>
    <row r="138" spans="1:1" ht="15.75" customHeight="1" x14ac:dyDescent="0.2">
      <c r="A138" s="92"/>
    </row>
    <row r="139" spans="1:1" ht="15.75" customHeight="1" x14ac:dyDescent="0.2">
      <c r="A139" s="92"/>
    </row>
    <row r="140" spans="1:1" ht="15.75" customHeight="1" x14ac:dyDescent="0.2">
      <c r="A140" s="92"/>
    </row>
    <row r="141" spans="1:1" ht="15.75" customHeight="1" x14ac:dyDescent="0.2">
      <c r="A141" s="92"/>
    </row>
    <row r="142" spans="1:1" ht="15.75" customHeight="1" x14ac:dyDescent="0.2">
      <c r="A142" s="92"/>
    </row>
    <row r="143" spans="1:1" ht="15.75" customHeight="1" x14ac:dyDescent="0.2">
      <c r="A143" s="92"/>
    </row>
    <row r="144" spans="1:1" ht="15.75" customHeight="1" x14ac:dyDescent="0.2">
      <c r="A144" s="92"/>
    </row>
    <row r="145" spans="1:1" ht="15.75" customHeight="1" x14ac:dyDescent="0.2">
      <c r="A145" s="92"/>
    </row>
    <row r="146" spans="1:1" ht="15.75" customHeight="1" x14ac:dyDescent="0.2">
      <c r="A146" s="92"/>
    </row>
    <row r="147" spans="1:1" ht="15.75" customHeight="1" x14ac:dyDescent="0.2">
      <c r="A147" s="92"/>
    </row>
    <row r="148" spans="1:1" ht="15.75" customHeight="1" x14ac:dyDescent="0.2">
      <c r="A148" s="92"/>
    </row>
    <row r="149" spans="1:1" ht="15.75" customHeight="1" x14ac:dyDescent="0.2">
      <c r="A149" s="92"/>
    </row>
    <row r="150" spans="1:1" ht="15.75" customHeight="1" x14ac:dyDescent="0.2">
      <c r="A150" s="92"/>
    </row>
    <row r="151" spans="1:1" ht="15.75" customHeight="1" x14ac:dyDescent="0.2">
      <c r="A151" s="92"/>
    </row>
    <row r="152" spans="1:1" ht="15.75" customHeight="1" x14ac:dyDescent="0.2">
      <c r="A152" s="92"/>
    </row>
    <row r="153" spans="1:1" ht="15.75" customHeight="1" x14ac:dyDescent="0.2">
      <c r="A153" s="92"/>
    </row>
    <row r="154" spans="1:1" ht="15.75" customHeight="1" x14ac:dyDescent="0.2">
      <c r="A154" s="92"/>
    </row>
    <row r="155" spans="1:1" ht="15.75" customHeight="1" x14ac:dyDescent="0.2">
      <c r="A155" s="92"/>
    </row>
    <row r="156" spans="1:1" ht="15.75" customHeight="1" x14ac:dyDescent="0.2">
      <c r="A156" s="92"/>
    </row>
    <row r="157" spans="1:1" ht="15.75" customHeight="1" x14ac:dyDescent="0.2">
      <c r="A157" s="92"/>
    </row>
    <row r="158" spans="1:1" ht="15.75" customHeight="1" x14ac:dyDescent="0.2">
      <c r="A158" s="92"/>
    </row>
    <row r="159" spans="1:1" ht="15.75" customHeight="1" x14ac:dyDescent="0.2">
      <c r="A159" s="92"/>
    </row>
    <row r="160" spans="1:1" ht="15.75" customHeight="1" x14ac:dyDescent="0.2">
      <c r="A160" s="92"/>
    </row>
    <row r="161" spans="1:1" ht="15.75" customHeight="1" x14ac:dyDescent="0.2">
      <c r="A161" s="92"/>
    </row>
    <row r="162" spans="1:1" ht="15.75" customHeight="1" x14ac:dyDescent="0.2">
      <c r="A162" s="92"/>
    </row>
    <row r="163" spans="1:1" ht="15.75" customHeight="1" x14ac:dyDescent="0.2">
      <c r="A163" s="92"/>
    </row>
    <row r="164" spans="1:1" ht="15.75" customHeight="1" x14ac:dyDescent="0.2">
      <c r="A164" s="92"/>
    </row>
    <row r="165" spans="1:1" ht="15.75" customHeight="1" x14ac:dyDescent="0.2">
      <c r="A165" s="92"/>
    </row>
    <row r="166" spans="1:1" ht="15.75" customHeight="1" x14ac:dyDescent="0.2">
      <c r="A166" s="92"/>
    </row>
    <row r="167" spans="1:1" ht="15.75" customHeight="1" x14ac:dyDescent="0.2">
      <c r="A167" s="92"/>
    </row>
    <row r="168" spans="1:1" ht="15.75" customHeight="1" x14ac:dyDescent="0.2">
      <c r="A168" s="92"/>
    </row>
    <row r="169" spans="1:1" ht="15.75" customHeight="1" x14ac:dyDescent="0.2">
      <c r="A169" s="92"/>
    </row>
    <row r="170" spans="1:1" ht="15.75" customHeight="1" x14ac:dyDescent="0.2">
      <c r="A170" s="92"/>
    </row>
    <row r="171" spans="1:1" ht="15.75" customHeight="1" x14ac:dyDescent="0.2">
      <c r="A171" s="92"/>
    </row>
    <row r="172" spans="1:1" ht="15.75" customHeight="1" x14ac:dyDescent="0.2">
      <c r="A172" s="92"/>
    </row>
    <row r="173" spans="1:1" ht="15.75" customHeight="1" x14ac:dyDescent="0.2">
      <c r="A173" s="92"/>
    </row>
    <row r="174" spans="1:1" ht="15.75" customHeight="1" x14ac:dyDescent="0.2">
      <c r="A174" s="92"/>
    </row>
    <row r="175" spans="1:1" ht="15.75" customHeight="1" x14ac:dyDescent="0.2">
      <c r="A175" s="92"/>
    </row>
    <row r="176" spans="1:1" ht="15.75" customHeight="1" x14ac:dyDescent="0.2">
      <c r="A176" s="92"/>
    </row>
    <row r="177" spans="1:1" ht="15.75" customHeight="1" x14ac:dyDescent="0.2">
      <c r="A177" s="92"/>
    </row>
    <row r="178" spans="1:1" ht="15.75" customHeight="1" x14ac:dyDescent="0.2">
      <c r="A178" s="92"/>
    </row>
    <row r="179" spans="1:1" ht="15.75" customHeight="1" x14ac:dyDescent="0.2">
      <c r="A179" s="92"/>
    </row>
    <row r="180" spans="1:1" ht="15.75" customHeight="1" x14ac:dyDescent="0.2">
      <c r="A180" s="92"/>
    </row>
    <row r="181" spans="1:1" ht="15.75" customHeight="1" x14ac:dyDescent="0.2">
      <c r="A181" s="92"/>
    </row>
    <row r="182" spans="1:1" ht="15.75" customHeight="1" x14ac:dyDescent="0.2">
      <c r="A182" s="92"/>
    </row>
    <row r="183" spans="1:1" ht="15.75" customHeight="1" x14ac:dyDescent="0.2">
      <c r="A183" s="92"/>
    </row>
    <row r="184" spans="1:1" ht="15.75" customHeight="1" x14ac:dyDescent="0.2">
      <c r="A184" s="92"/>
    </row>
    <row r="185" spans="1:1" ht="15.75" customHeight="1" x14ac:dyDescent="0.2">
      <c r="A185" s="92"/>
    </row>
    <row r="186" spans="1:1" ht="15.75" customHeight="1" x14ac:dyDescent="0.2">
      <c r="A186" s="92"/>
    </row>
    <row r="187" spans="1:1" ht="15.75" customHeight="1" x14ac:dyDescent="0.2">
      <c r="A187" s="92"/>
    </row>
    <row r="188" spans="1:1" ht="15.75" customHeight="1" x14ac:dyDescent="0.2">
      <c r="A188" s="92"/>
    </row>
    <row r="189" spans="1:1" ht="15.75" customHeight="1" x14ac:dyDescent="0.2">
      <c r="A189" s="92"/>
    </row>
    <row r="190" spans="1:1" ht="15.75" customHeight="1" x14ac:dyDescent="0.2"/>
    <row r="191" spans="1:1" ht="15.75" customHeight="1" x14ac:dyDescent="0.2"/>
    <row r="192" spans="1:1"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ummaryRight="0"/>
  </sheetPr>
  <dimension ref="A1:AC1000"/>
  <sheetViews>
    <sheetView workbookViewId="0">
      <selection sqref="A1:AC1000"/>
    </sheetView>
  </sheetViews>
  <sheetFormatPr defaultColWidth="12.5703125" defaultRowHeight="15" customHeight="1" x14ac:dyDescent="0.2"/>
  <cols>
    <col min="1" max="6" width="12.5703125" customWidth="1"/>
  </cols>
  <sheetData>
    <row r="1" spans="1:29" ht="15.75" customHeight="1" x14ac:dyDescent="0.2"/>
    <row r="2" spans="1:29" ht="15.75" customHeight="1" x14ac:dyDescent="0.2"/>
    <row r="3" spans="1:29" ht="15.75" customHeight="1" x14ac:dyDescent="0.25">
      <c r="A3" s="97"/>
      <c r="B3" s="97"/>
      <c r="C3" s="97"/>
      <c r="D3" s="97"/>
      <c r="E3" s="177" t="s">
        <v>6</v>
      </c>
      <c r="F3" s="181" t="s">
        <v>11</v>
      </c>
      <c r="G3" s="185" t="s">
        <v>7</v>
      </c>
      <c r="H3" s="188" t="s">
        <v>8</v>
      </c>
      <c r="I3" s="181" t="s">
        <v>12</v>
      </c>
      <c r="J3" s="171"/>
      <c r="K3" s="171"/>
      <c r="L3" s="171"/>
      <c r="M3" s="171"/>
      <c r="N3" s="171"/>
      <c r="O3" s="171"/>
      <c r="P3" s="171"/>
      <c r="Q3" s="171"/>
      <c r="R3" s="171"/>
      <c r="S3" s="171"/>
      <c r="T3" s="171"/>
      <c r="U3" s="171"/>
      <c r="V3" s="171"/>
      <c r="W3" s="171"/>
      <c r="X3" s="171"/>
      <c r="Y3" s="171"/>
      <c r="Z3" s="171"/>
      <c r="AA3" s="171"/>
      <c r="AB3" s="171"/>
      <c r="AC3" s="171"/>
    </row>
    <row r="4" spans="1:29" ht="15.75" customHeight="1" x14ac:dyDescent="0.25">
      <c r="A4" s="97"/>
      <c r="C4" s="97"/>
      <c r="D4" s="97"/>
      <c r="E4" s="234">
        <v>12819</v>
      </c>
      <c r="F4" s="182">
        <v>13578</v>
      </c>
      <c r="G4" s="37">
        <v>12817</v>
      </c>
      <c r="H4" s="189">
        <v>12818</v>
      </c>
      <c r="I4" s="182">
        <v>13579</v>
      </c>
      <c r="J4" s="171"/>
      <c r="K4" s="171"/>
      <c r="L4" s="171"/>
      <c r="M4" s="171"/>
      <c r="N4" s="171"/>
      <c r="O4" s="171"/>
      <c r="P4" s="171"/>
      <c r="Q4" s="171"/>
      <c r="R4" s="171"/>
      <c r="S4" s="171"/>
      <c r="T4" s="171"/>
      <c r="U4" s="171"/>
      <c r="V4" s="171"/>
      <c r="W4" s="171"/>
      <c r="X4" s="171"/>
      <c r="Y4" s="171"/>
      <c r="Z4" s="171"/>
      <c r="AA4" s="171"/>
      <c r="AB4" s="171"/>
      <c r="AC4" s="171"/>
    </row>
    <row r="5" spans="1:29" ht="15.75" customHeight="1" x14ac:dyDescent="0.25">
      <c r="A5" s="249" t="s">
        <v>344</v>
      </c>
      <c r="B5" s="249">
        <v>46235</v>
      </c>
      <c r="C5" s="246">
        <v>0.25</v>
      </c>
      <c r="D5" s="246">
        <v>0.29166666666666669</v>
      </c>
      <c r="E5" s="250">
        <v>52.637499999720603</v>
      </c>
      <c r="F5" s="250">
        <v>15.896722560981289</v>
      </c>
      <c r="G5" s="250">
        <v>0</v>
      </c>
      <c r="H5" s="250">
        <v>0</v>
      </c>
      <c r="I5" s="250">
        <v>0</v>
      </c>
      <c r="J5" s="250"/>
      <c r="K5" s="250"/>
      <c r="L5" s="250"/>
      <c r="M5" s="250"/>
      <c r="N5" s="250"/>
      <c r="O5" s="250"/>
      <c r="P5" s="250"/>
      <c r="Q5" s="250"/>
      <c r="R5" s="250"/>
      <c r="S5" s="250"/>
      <c r="T5" s="250"/>
      <c r="U5" s="250"/>
      <c r="V5" s="250"/>
      <c r="W5" s="250"/>
      <c r="X5" s="250"/>
      <c r="Y5" s="250"/>
      <c r="Z5" s="250"/>
      <c r="AA5" s="250"/>
      <c r="AB5" s="250"/>
      <c r="AC5" s="250"/>
    </row>
    <row r="6" spans="1:29" ht="15.75" customHeight="1" x14ac:dyDescent="0.25">
      <c r="A6" s="97" t="s">
        <v>345</v>
      </c>
      <c r="B6" s="249">
        <v>46235</v>
      </c>
      <c r="C6" s="246">
        <v>0.29166666666666669</v>
      </c>
      <c r="D6" s="246">
        <v>0.33333333333333331</v>
      </c>
      <c r="E6" s="250">
        <v>64.666666666977108</v>
      </c>
      <c r="F6" s="250">
        <v>27.887652438948862</v>
      </c>
      <c r="G6" s="250">
        <v>0</v>
      </c>
      <c r="H6" s="250">
        <v>0</v>
      </c>
      <c r="I6" s="250">
        <v>0</v>
      </c>
      <c r="J6" s="250"/>
      <c r="K6" s="250"/>
      <c r="L6" s="250"/>
      <c r="M6" s="250"/>
      <c r="N6" s="250"/>
      <c r="O6" s="250"/>
      <c r="P6" s="250"/>
      <c r="Q6" s="250"/>
      <c r="R6" s="250"/>
      <c r="S6" s="250"/>
      <c r="T6" s="250"/>
      <c r="U6" s="250"/>
      <c r="V6" s="250"/>
      <c r="W6" s="250"/>
      <c r="X6" s="250"/>
      <c r="Y6" s="250"/>
      <c r="Z6" s="250"/>
      <c r="AA6" s="250"/>
      <c r="AB6" s="250"/>
      <c r="AC6" s="250"/>
    </row>
    <row r="7" spans="1:29" ht="15.75" customHeight="1" x14ac:dyDescent="0.25">
      <c r="A7" s="97" t="s">
        <v>346</v>
      </c>
      <c r="B7" s="249">
        <v>46235</v>
      </c>
      <c r="C7" s="246">
        <v>0.33333333333333331</v>
      </c>
      <c r="D7" s="246">
        <v>0.375</v>
      </c>
      <c r="E7" s="250">
        <v>68.410451977513731</v>
      </c>
      <c r="F7" s="250">
        <v>11.201488095335662</v>
      </c>
      <c r="G7" s="250">
        <v>0</v>
      </c>
      <c r="H7" s="250">
        <v>0</v>
      </c>
      <c r="I7" s="250">
        <v>0</v>
      </c>
      <c r="J7" s="250"/>
      <c r="K7" s="250"/>
      <c r="L7" s="250"/>
      <c r="M7" s="250"/>
      <c r="N7" s="250"/>
      <c r="O7" s="250"/>
      <c r="P7" s="250"/>
      <c r="Q7" s="250"/>
      <c r="R7" s="250"/>
      <c r="S7" s="250"/>
      <c r="T7" s="250"/>
      <c r="U7" s="250"/>
      <c r="V7" s="250"/>
      <c r="W7" s="250"/>
      <c r="X7" s="250"/>
      <c r="Y7" s="250"/>
      <c r="Z7" s="250"/>
      <c r="AA7" s="250"/>
      <c r="AB7" s="250"/>
      <c r="AC7" s="250"/>
    </row>
    <row r="8" spans="1:29" ht="15.75" customHeight="1" x14ac:dyDescent="0.25">
      <c r="A8" s="97" t="s">
        <v>347</v>
      </c>
      <c r="B8" s="249">
        <v>46235</v>
      </c>
      <c r="C8" s="246">
        <v>0.375</v>
      </c>
      <c r="D8" s="246">
        <v>0.41666666666666669</v>
      </c>
      <c r="E8" s="250">
        <v>64.560381355695426</v>
      </c>
      <c r="F8" s="250">
        <v>11.452380952308886</v>
      </c>
      <c r="G8" s="250">
        <v>0</v>
      </c>
      <c r="H8" s="250">
        <v>0</v>
      </c>
      <c r="I8" s="250">
        <v>0</v>
      </c>
      <c r="J8" s="250"/>
      <c r="K8" s="250"/>
      <c r="L8" s="250"/>
      <c r="M8" s="250"/>
      <c r="N8" s="250"/>
      <c r="O8" s="250"/>
      <c r="P8" s="250"/>
      <c r="Q8" s="250"/>
      <c r="R8" s="250"/>
      <c r="S8" s="250"/>
      <c r="T8" s="250"/>
      <c r="U8" s="250"/>
      <c r="V8" s="250"/>
      <c r="W8" s="250"/>
      <c r="X8" s="250"/>
      <c r="Y8" s="250"/>
      <c r="Z8" s="250"/>
      <c r="AA8" s="250"/>
      <c r="AB8" s="250"/>
      <c r="AC8" s="250"/>
    </row>
    <row r="9" spans="1:29" ht="15.75" customHeight="1" x14ac:dyDescent="0.25">
      <c r="A9" s="97" t="s">
        <v>368</v>
      </c>
      <c r="B9" s="249">
        <v>46236</v>
      </c>
      <c r="C9" s="246">
        <v>0.25</v>
      </c>
      <c r="D9" s="246">
        <v>0.29166666666666669</v>
      </c>
      <c r="E9" s="250">
        <v>40.192213114816695</v>
      </c>
      <c r="F9" s="250">
        <v>3.25</v>
      </c>
      <c r="G9" s="250">
        <v>0</v>
      </c>
      <c r="H9" s="250">
        <v>0</v>
      </c>
      <c r="I9" s="250">
        <v>0</v>
      </c>
      <c r="J9" s="250"/>
      <c r="K9" s="250"/>
      <c r="L9" s="250"/>
      <c r="M9" s="250"/>
      <c r="N9" s="250"/>
      <c r="O9" s="250"/>
      <c r="P9" s="250"/>
      <c r="Q9" s="250"/>
      <c r="R9" s="250"/>
      <c r="S9" s="250"/>
      <c r="T9" s="250"/>
      <c r="U9" s="250"/>
      <c r="V9" s="250"/>
      <c r="W9" s="250"/>
      <c r="X9" s="250"/>
      <c r="Y9" s="250"/>
      <c r="Z9" s="250"/>
      <c r="AA9" s="250"/>
      <c r="AB9" s="250"/>
      <c r="AC9" s="250"/>
    </row>
    <row r="10" spans="1:29" ht="15.75" customHeight="1" x14ac:dyDescent="0.25">
      <c r="A10" s="97" t="s">
        <v>369</v>
      </c>
      <c r="B10" s="249">
        <v>46236</v>
      </c>
      <c r="C10" s="246">
        <v>0.29166666666666669</v>
      </c>
      <c r="D10" s="246">
        <v>0.33333333333333331</v>
      </c>
      <c r="E10" s="250">
        <v>41.4375</v>
      </c>
      <c r="F10" s="250">
        <v>2.7046875000232831</v>
      </c>
      <c r="G10" s="250">
        <v>0</v>
      </c>
      <c r="H10" s="250">
        <v>0</v>
      </c>
      <c r="I10" s="250">
        <v>0</v>
      </c>
      <c r="J10" s="250"/>
      <c r="K10" s="250"/>
      <c r="L10" s="250"/>
      <c r="M10" s="250"/>
      <c r="N10" s="250"/>
      <c r="O10" s="250"/>
      <c r="P10" s="250"/>
      <c r="Q10" s="250"/>
      <c r="R10" s="250"/>
      <c r="S10" s="250"/>
      <c r="T10" s="250"/>
      <c r="U10" s="250"/>
      <c r="V10" s="250"/>
      <c r="W10" s="250"/>
      <c r="X10" s="250"/>
      <c r="Y10" s="250"/>
      <c r="Z10" s="250"/>
      <c r="AA10" s="250"/>
      <c r="AB10" s="250"/>
      <c r="AC10" s="250"/>
    </row>
    <row r="11" spans="1:29" ht="15.75" customHeight="1" x14ac:dyDescent="0.25">
      <c r="A11" s="97" t="s">
        <v>370</v>
      </c>
      <c r="B11" s="249">
        <v>46236</v>
      </c>
      <c r="C11" s="246">
        <v>0.33333333333333331</v>
      </c>
      <c r="D11" s="246">
        <v>0.375</v>
      </c>
      <c r="E11" s="250">
        <v>43.154166666790843</v>
      </c>
      <c r="F11" s="250">
        <v>2.6640625</v>
      </c>
      <c r="G11" s="250">
        <v>0</v>
      </c>
      <c r="H11" s="250">
        <v>0</v>
      </c>
      <c r="I11" s="250">
        <v>0</v>
      </c>
      <c r="J11" s="250"/>
      <c r="K11" s="250"/>
      <c r="L11" s="250"/>
      <c r="M11" s="250"/>
      <c r="N11" s="250"/>
      <c r="O11" s="250"/>
      <c r="P11" s="250"/>
      <c r="Q11" s="250"/>
      <c r="R11" s="250"/>
      <c r="S11" s="250"/>
      <c r="T11" s="250"/>
      <c r="U11" s="250"/>
      <c r="V11" s="250"/>
      <c r="W11" s="250"/>
      <c r="X11" s="250"/>
      <c r="Y11" s="250"/>
      <c r="Z11" s="250"/>
      <c r="AA11" s="250"/>
      <c r="AB11" s="250"/>
      <c r="AC11" s="250"/>
    </row>
    <row r="12" spans="1:29" ht="15.75" customHeight="1" x14ac:dyDescent="0.25">
      <c r="A12" s="97" t="s">
        <v>371</v>
      </c>
      <c r="B12" s="249">
        <v>46236</v>
      </c>
      <c r="C12" s="246">
        <v>0.375</v>
      </c>
      <c r="D12" s="246">
        <v>0.41666666666666669</v>
      </c>
      <c r="E12" s="250">
        <v>40.700282485689968</v>
      </c>
      <c r="F12" s="250">
        <v>2.8812499999767169</v>
      </c>
      <c r="G12" s="250">
        <v>0</v>
      </c>
      <c r="H12" s="250">
        <v>0</v>
      </c>
      <c r="I12" s="250">
        <v>0</v>
      </c>
      <c r="J12" s="250"/>
      <c r="K12" s="250"/>
      <c r="L12" s="250"/>
      <c r="M12" s="250"/>
      <c r="N12" s="250"/>
      <c r="O12" s="250"/>
      <c r="P12" s="250"/>
      <c r="Q12" s="250"/>
      <c r="R12" s="250"/>
      <c r="S12" s="250"/>
      <c r="T12" s="250"/>
      <c r="U12" s="250"/>
      <c r="V12" s="250"/>
      <c r="W12" s="250"/>
      <c r="X12" s="250"/>
      <c r="Y12" s="250"/>
      <c r="Z12" s="250"/>
      <c r="AA12" s="250"/>
      <c r="AB12" s="250"/>
      <c r="AC12" s="250"/>
    </row>
    <row r="13" spans="1:29" ht="15.75" customHeight="1" x14ac:dyDescent="0.25">
      <c r="A13" s="97" t="s">
        <v>392</v>
      </c>
      <c r="B13" s="249">
        <v>46237</v>
      </c>
      <c r="C13" s="246">
        <v>0.25</v>
      </c>
      <c r="D13" s="246">
        <v>0.29166666666666669</v>
      </c>
      <c r="E13" s="250">
        <v>67.304661016911268</v>
      </c>
      <c r="F13" s="250">
        <v>16.634375000023283</v>
      </c>
      <c r="G13" s="250">
        <v>0</v>
      </c>
      <c r="H13" s="250">
        <v>0</v>
      </c>
      <c r="I13" s="250">
        <v>0</v>
      </c>
      <c r="J13" s="250"/>
      <c r="K13" s="250"/>
      <c r="L13" s="250"/>
      <c r="M13" s="250"/>
      <c r="N13" s="250"/>
      <c r="O13" s="250"/>
      <c r="P13" s="250"/>
      <c r="Q13" s="250"/>
      <c r="R13" s="250"/>
      <c r="S13" s="250"/>
      <c r="T13" s="250"/>
      <c r="U13" s="250"/>
      <c r="V13" s="250"/>
      <c r="W13" s="250"/>
      <c r="X13" s="250"/>
      <c r="Y13" s="250"/>
      <c r="Z13" s="250"/>
      <c r="AA13" s="250"/>
      <c r="AB13" s="250"/>
      <c r="AC13" s="250"/>
    </row>
    <row r="14" spans="1:29" ht="15.75" customHeight="1" x14ac:dyDescent="0.25">
      <c r="A14" s="97" t="s">
        <v>393</v>
      </c>
      <c r="B14" s="249">
        <v>46237</v>
      </c>
      <c r="C14" s="246">
        <v>0.29166666666666669</v>
      </c>
      <c r="D14" s="246">
        <v>0.33333333333333331</v>
      </c>
      <c r="E14" s="250">
        <v>83.125</v>
      </c>
      <c r="F14" s="250">
        <v>12.809375000069849</v>
      </c>
      <c r="G14" s="250">
        <v>0</v>
      </c>
      <c r="H14" s="250">
        <v>0</v>
      </c>
      <c r="I14" s="250">
        <v>0</v>
      </c>
      <c r="J14" s="250"/>
      <c r="K14" s="250"/>
      <c r="L14" s="250"/>
      <c r="M14" s="250"/>
      <c r="N14" s="250"/>
      <c r="O14" s="250"/>
      <c r="P14" s="250"/>
      <c r="Q14" s="250"/>
      <c r="R14" s="250"/>
      <c r="S14" s="250"/>
      <c r="T14" s="250"/>
      <c r="U14" s="250"/>
      <c r="V14" s="250"/>
      <c r="W14" s="250"/>
      <c r="X14" s="250"/>
      <c r="Y14" s="250"/>
      <c r="Z14" s="250"/>
      <c r="AA14" s="250"/>
      <c r="AB14" s="250"/>
      <c r="AC14" s="250"/>
    </row>
    <row r="15" spans="1:29" ht="15.75" customHeight="1" x14ac:dyDescent="0.25">
      <c r="A15" s="97" t="s">
        <v>394</v>
      </c>
      <c r="B15" s="249">
        <v>46237</v>
      </c>
      <c r="C15" s="246">
        <v>0.33333333333333331</v>
      </c>
      <c r="D15" s="246">
        <v>0.375</v>
      </c>
      <c r="E15" s="250">
        <v>98.491666666697711</v>
      </c>
      <c r="F15" s="250">
        <v>16.868749999906868</v>
      </c>
      <c r="G15" s="250">
        <v>0</v>
      </c>
      <c r="H15" s="250">
        <v>0</v>
      </c>
      <c r="I15" s="250">
        <v>0</v>
      </c>
      <c r="J15" s="250"/>
      <c r="K15" s="250"/>
      <c r="L15" s="250"/>
      <c r="M15" s="250"/>
      <c r="N15" s="250"/>
      <c r="O15" s="250"/>
      <c r="P15" s="250"/>
      <c r="Q15" s="250"/>
      <c r="R15" s="250"/>
      <c r="S15" s="250"/>
      <c r="T15" s="250"/>
      <c r="U15" s="250"/>
      <c r="V15" s="250"/>
      <c r="W15" s="250"/>
      <c r="X15" s="250"/>
      <c r="Y15" s="250"/>
      <c r="Z15" s="250"/>
      <c r="AA15" s="250"/>
      <c r="AB15" s="250"/>
      <c r="AC15" s="250"/>
    </row>
    <row r="16" spans="1:29" ht="15.75" customHeight="1" x14ac:dyDescent="0.25">
      <c r="A16" s="97" t="s">
        <v>395</v>
      </c>
      <c r="B16" s="249">
        <v>46237</v>
      </c>
      <c r="C16" s="246">
        <v>0.375</v>
      </c>
      <c r="D16" s="246">
        <v>0.41666666666666669</v>
      </c>
      <c r="E16" s="250">
        <v>111.84109195414931</v>
      </c>
      <c r="F16" s="250">
        <v>11.709374999976717</v>
      </c>
      <c r="G16" s="250">
        <v>0</v>
      </c>
      <c r="H16" s="250">
        <v>0</v>
      </c>
      <c r="I16" s="250">
        <v>0</v>
      </c>
      <c r="J16" s="250"/>
      <c r="K16" s="250"/>
      <c r="L16" s="250"/>
      <c r="M16" s="250"/>
      <c r="N16" s="250"/>
      <c r="O16" s="250"/>
      <c r="P16" s="250"/>
      <c r="Q16" s="250"/>
      <c r="R16" s="250"/>
      <c r="S16" s="250"/>
      <c r="T16" s="250"/>
      <c r="U16" s="250"/>
      <c r="V16" s="250"/>
      <c r="W16" s="250"/>
      <c r="X16" s="250"/>
      <c r="Y16" s="250"/>
      <c r="Z16" s="250"/>
      <c r="AA16" s="250"/>
      <c r="AB16" s="250"/>
      <c r="AC16" s="250"/>
    </row>
    <row r="17" spans="1:29" ht="15.75" customHeight="1" x14ac:dyDescent="0.25">
      <c r="A17" s="97" t="s">
        <v>416</v>
      </c>
      <c r="B17" s="249">
        <v>46238</v>
      </c>
      <c r="C17" s="246">
        <v>0.25</v>
      </c>
      <c r="D17" s="246">
        <v>0.29166666666666669</v>
      </c>
      <c r="E17" s="250">
        <v>75.049999999813735</v>
      </c>
      <c r="F17" s="250">
        <v>16.052232143003494</v>
      </c>
      <c r="G17" s="250">
        <v>0</v>
      </c>
      <c r="H17" s="250">
        <v>0</v>
      </c>
      <c r="I17" s="250">
        <v>0</v>
      </c>
      <c r="J17" s="250"/>
      <c r="K17" s="250"/>
      <c r="L17" s="250"/>
      <c r="M17" s="250"/>
      <c r="N17" s="250"/>
      <c r="O17" s="250"/>
      <c r="P17" s="250"/>
      <c r="Q17" s="250"/>
      <c r="R17" s="250"/>
      <c r="S17" s="250"/>
      <c r="T17" s="250"/>
      <c r="U17" s="250"/>
      <c r="V17" s="250"/>
      <c r="W17" s="250"/>
      <c r="X17" s="250"/>
      <c r="Y17" s="250"/>
      <c r="Z17" s="250"/>
      <c r="AA17" s="250"/>
      <c r="AB17" s="250"/>
      <c r="AC17" s="250"/>
    </row>
    <row r="18" spans="1:29" ht="15.75" customHeight="1" x14ac:dyDescent="0.25">
      <c r="A18" s="97" t="s">
        <v>417</v>
      </c>
      <c r="B18" s="249">
        <v>46238</v>
      </c>
      <c r="C18" s="246">
        <v>0.29166666666666669</v>
      </c>
      <c r="D18" s="246">
        <v>0.33333333333333331</v>
      </c>
      <c r="E18" s="250">
        <v>88.824999999720603</v>
      </c>
      <c r="F18" s="250">
        <v>12.311469780164771</v>
      </c>
      <c r="G18" s="250">
        <v>0</v>
      </c>
      <c r="H18" s="250">
        <v>0</v>
      </c>
      <c r="I18" s="250">
        <v>0</v>
      </c>
      <c r="J18" s="250"/>
      <c r="K18" s="250"/>
      <c r="L18" s="250"/>
      <c r="M18" s="250"/>
      <c r="N18" s="250"/>
      <c r="O18" s="250"/>
      <c r="P18" s="250"/>
      <c r="Q18" s="250"/>
      <c r="R18" s="250"/>
      <c r="S18" s="250"/>
      <c r="T18" s="250"/>
      <c r="U18" s="250"/>
      <c r="V18" s="250"/>
      <c r="W18" s="250"/>
      <c r="X18" s="250"/>
      <c r="Y18" s="250"/>
      <c r="Z18" s="250"/>
      <c r="AA18" s="250"/>
      <c r="AB18" s="250"/>
      <c r="AC18" s="250"/>
    </row>
    <row r="19" spans="1:29" ht="15.75" customHeight="1" x14ac:dyDescent="0.25">
      <c r="A19" s="97" t="s">
        <v>418</v>
      </c>
      <c r="B19" s="249">
        <v>46238</v>
      </c>
      <c r="C19" s="246">
        <v>0.33333333333333331</v>
      </c>
      <c r="D19" s="246">
        <v>0.375</v>
      </c>
      <c r="E19" s="250">
        <v>94.762500000186265</v>
      </c>
      <c r="F19" s="250">
        <v>15.258012820384465</v>
      </c>
      <c r="G19" s="250">
        <v>0</v>
      </c>
      <c r="H19" s="250">
        <v>0</v>
      </c>
      <c r="I19" s="250">
        <v>0</v>
      </c>
      <c r="J19" s="250"/>
      <c r="K19" s="250"/>
      <c r="L19" s="250"/>
      <c r="M19" s="250"/>
      <c r="N19" s="250"/>
      <c r="O19" s="250"/>
      <c r="P19" s="250"/>
      <c r="Q19" s="250"/>
      <c r="R19" s="250"/>
      <c r="S19" s="250"/>
      <c r="T19" s="250"/>
      <c r="U19" s="250"/>
      <c r="V19" s="250"/>
      <c r="W19" s="250"/>
      <c r="X19" s="250"/>
      <c r="Y19" s="250"/>
      <c r="Z19" s="250"/>
      <c r="AA19" s="250"/>
      <c r="AB19" s="250"/>
      <c r="AC19" s="250"/>
    </row>
    <row r="20" spans="1:29" ht="15.75" customHeight="1" x14ac:dyDescent="0.25">
      <c r="A20" s="97" t="s">
        <v>419</v>
      </c>
      <c r="B20" s="249">
        <v>46238</v>
      </c>
      <c r="C20" s="246">
        <v>0.375</v>
      </c>
      <c r="D20" s="246">
        <v>0.41666666666666669</v>
      </c>
      <c r="E20" s="250">
        <v>115.10416666697711</v>
      </c>
      <c r="F20" s="250">
        <v>11.268910256447271</v>
      </c>
      <c r="G20" s="250">
        <v>0</v>
      </c>
      <c r="H20" s="250">
        <v>0</v>
      </c>
      <c r="I20" s="250">
        <v>0</v>
      </c>
      <c r="J20" s="250"/>
      <c r="K20" s="250"/>
      <c r="L20" s="250"/>
      <c r="M20" s="250"/>
      <c r="N20" s="250"/>
      <c r="O20" s="250"/>
      <c r="P20" s="250"/>
      <c r="Q20" s="250"/>
      <c r="R20" s="250"/>
      <c r="S20" s="250"/>
      <c r="T20" s="250"/>
      <c r="U20" s="250"/>
      <c r="V20" s="250"/>
      <c r="W20" s="250"/>
      <c r="X20" s="250"/>
      <c r="Y20" s="250"/>
      <c r="Z20" s="250"/>
      <c r="AA20" s="250"/>
      <c r="AB20" s="250"/>
      <c r="AC20" s="250"/>
    </row>
    <row r="21" spans="1:29" ht="15.75" customHeight="1" x14ac:dyDescent="0.25">
      <c r="A21" s="97" t="s">
        <v>440</v>
      </c>
      <c r="B21" s="249">
        <v>46239</v>
      </c>
      <c r="C21" s="246">
        <v>0.25</v>
      </c>
      <c r="D21" s="246">
        <v>0.29166666666666669</v>
      </c>
      <c r="E21" s="250">
        <v>72.904166666325182</v>
      </c>
      <c r="F21" s="250">
        <v>15.753125000046566</v>
      </c>
      <c r="G21" s="250">
        <v>0</v>
      </c>
      <c r="H21" s="250">
        <v>0</v>
      </c>
      <c r="I21" s="250">
        <v>0</v>
      </c>
      <c r="J21" s="250"/>
      <c r="K21" s="250"/>
      <c r="L21" s="250"/>
      <c r="M21" s="250"/>
      <c r="N21" s="250"/>
      <c r="O21" s="250"/>
      <c r="P21" s="250"/>
      <c r="Q21" s="250"/>
      <c r="R21" s="250"/>
      <c r="S21" s="250"/>
      <c r="T21" s="250"/>
      <c r="U21" s="250"/>
      <c r="V21" s="250"/>
      <c r="W21" s="250"/>
      <c r="X21" s="250"/>
      <c r="Y21" s="250"/>
      <c r="Z21" s="250"/>
      <c r="AA21" s="250"/>
      <c r="AB21" s="250"/>
      <c r="AC21" s="250"/>
    </row>
    <row r="22" spans="1:29" ht="15.75" customHeight="1" x14ac:dyDescent="0.25">
      <c r="A22" s="97" t="s">
        <v>441</v>
      </c>
      <c r="B22" s="249">
        <v>46239</v>
      </c>
      <c r="C22" s="246">
        <v>0.29166666666666669</v>
      </c>
      <c r="D22" s="246">
        <v>0.33333333333333331</v>
      </c>
      <c r="E22" s="250">
        <v>84.301553672645241</v>
      </c>
      <c r="F22" s="250">
        <v>11.581249999930151</v>
      </c>
      <c r="G22" s="250">
        <v>0</v>
      </c>
      <c r="H22" s="250">
        <v>0</v>
      </c>
      <c r="I22" s="250">
        <v>0</v>
      </c>
      <c r="J22" s="250"/>
      <c r="K22" s="250"/>
      <c r="L22" s="250"/>
      <c r="M22" s="250"/>
      <c r="N22" s="250"/>
      <c r="O22" s="250"/>
      <c r="P22" s="250"/>
      <c r="Q22" s="250"/>
      <c r="R22" s="250"/>
      <c r="S22" s="250"/>
      <c r="T22" s="250"/>
      <c r="U22" s="250"/>
      <c r="V22" s="250"/>
      <c r="W22" s="250"/>
      <c r="X22" s="250"/>
      <c r="Y22" s="250"/>
      <c r="Z22" s="250"/>
      <c r="AA22" s="250"/>
      <c r="AB22" s="250"/>
      <c r="AC22" s="250"/>
    </row>
    <row r="23" spans="1:29" ht="15.75" customHeight="1" x14ac:dyDescent="0.25">
      <c r="A23" s="97" t="s">
        <v>442</v>
      </c>
      <c r="B23" s="249">
        <v>46239</v>
      </c>
      <c r="C23" s="246">
        <v>0.33333333333333331</v>
      </c>
      <c r="D23" s="246">
        <v>0.375</v>
      </c>
      <c r="E23" s="250">
        <v>97.873446327634156</v>
      </c>
      <c r="F23" s="250">
        <v>14.268750000046566</v>
      </c>
      <c r="G23" s="250">
        <v>0</v>
      </c>
      <c r="H23" s="250">
        <v>0</v>
      </c>
      <c r="I23" s="250">
        <v>0</v>
      </c>
      <c r="J23" s="250"/>
      <c r="K23" s="250"/>
      <c r="L23" s="250"/>
      <c r="M23" s="250"/>
      <c r="N23" s="250"/>
      <c r="O23" s="250"/>
      <c r="P23" s="250"/>
      <c r="Q23" s="250"/>
      <c r="R23" s="250"/>
      <c r="S23" s="250"/>
      <c r="T23" s="250"/>
      <c r="U23" s="250"/>
      <c r="V23" s="250"/>
      <c r="W23" s="250"/>
      <c r="X23" s="250"/>
      <c r="Y23" s="250"/>
      <c r="Z23" s="250"/>
      <c r="AA23" s="250"/>
      <c r="AB23" s="250"/>
      <c r="AC23" s="250"/>
    </row>
    <row r="24" spans="1:29" ht="15.75" customHeight="1" x14ac:dyDescent="0.25">
      <c r="A24" s="97" t="s">
        <v>443</v>
      </c>
      <c r="B24" s="249">
        <v>46239</v>
      </c>
      <c r="C24" s="246">
        <v>0.375</v>
      </c>
      <c r="D24" s="246">
        <v>0.41666666666666669</v>
      </c>
      <c r="E24" s="250">
        <v>106.69583333330229</v>
      </c>
      <c r="F24" s="250">
        <v>10.706249999930151</v>
      </c>
      <c r="G24" s="250">
        <v>0</v>
      </c>
      <c r="H24" s="250">
        <v>0</v>
      </c>
      <c r="I24" s="250">
        <v>0</v>
      </c>
      <c r="J24" s="250"/>
      <c r="K24" s="250"/>
      <c r="L24" s="250"/>
      <c r="M24" s="250"/>
      <c r="N24" s="250"/>
      <c r="O24" s="250"/>
      <c r="P24" s="250"/>
      <c r="Q24" s="250"/>
      <c r="R24" s="250"/>
      <c r="S24" s="250"/>
      <c r="T24" s="250"/>
      <c r="U24" s="250"/>
      <c r="V24" s="250"/>
      <c r="W24" s="250"/>
      <c r="X24" s="250"/>
      <c r="Y24" s="250"/>
      <c r="Z24" s="250"/>
      <c r="AA24" s="250"/>
      <c r="AB24" s="250"/>
      <c r="AC24" s="250"/>
    </row>
    <row r="25" spans="1:29" ht="15.75" customHeight="1" x14ac:dyDescent="0.25">
      <c r="A25" s="97" t="s">
        <v>464</v>
      </c>
      <c r="B25" s="249">
        <v>46240</v>
      </c>
      <c r="C25" s="246">
        <v>0.25</v>
      </c>
      <c r="D25" s="246">
        <v>0.29166666666666669</v>
      </c>
      <c r="E25" s="250">
        <v>68.320833333302289</v>
      </c>
      <c r="F25" s="250">
        <v>13.989329268340953</v>
      </c>
      <c r="G25" s="250">
        <v>0</v>
      </c>
      <c r="H25" s="250">
        <v>0</v>
      </c>
      <c r="I25" s="250">
        <v>0</v>
      </c>
      <c r="J25" s="250"/>
      <c r="K25" s="250"/>
      <c r="L25" s="250"/>
      <c r="M25" s="250"/>
      <c r="N25" s="250"/>
      <c r="O25" s="250"/>
      <c r="P25" s="250"/>
      <c r="Q25" s="250"/>
      <c r="R25" s="250"/>
      <c r="S25" s="250"/>
      <c r="T25" s="250"/>
      <c r="U25" s="250"/>
      <c r="V25" s="250"/>
      <c r="W25" s="250"/>
      <c r="X25" s="250"/>
      <c r="Y25" s="250"/>
      <c r="Z25" s="250"/>
      <c r="AA25" s="250"/>
      <c r="AB25" s="250"/>
      <c r="AC25" s="250"/>
    </row>
    <row r="26" spans="1:29" ht="15.75" customHeight="1" x14ac:dyDescent="0.25">
      <c r="A26" s="97" t="s">
        <v>465</v>
      </c>
      <c r="B26" s="249">
        <v>46240</v>
      </c>
      <c r="C26" s="246">
        <v>0.29166666666666669</v>
      </c>
      <c r="D26" s="246">
        <v>0.33333333333333331</v>
      </c>
      <c r="E26" s="250">
        <v>82.816666666418314</v>
      </c>
      <c r="F26" s="250">
        <v>13.084146341425367</v>
      </c>
      <c r="G26" s="250">
        <v>0</v>
      </c>
      <c r="H26" s="250">
        <v>0</v>
      </c>
      <c r="I26" s="250">
        <v>0</v>
      </c>
      <c r="J26" s="250"/>
      <c r="K26" s="250"/>
      <c r="L26" s="250"/>
      <c r="M26" s="250"/>
      <c r="N26" s="250"/>
      <c r="O26" s="250"/>
      <c r="P26" s="250"/>
      <c r="Q26" s="250"/>
      <c r="R26" s="250"/>
      <c r="S26" s="250"/>
      <c r="T26" s="250"/>
      <c r="U26" s="250"/>
      <c r="V26" s="250"/>
      <c r="W26" s="250"/>
      <c r="X26" s="250"/>
      <c r="Y26" s="250"/>
      <c r="Z26" s="250"/>
      <c r="AA26" s="250"/>
      <c r="AB26" s="250"/>
      <c r="AC26" s="250"/>
    </row>
    <row r="27" spans="1:29" ht="15.75" customHeight="1" x14ac:dyDescent="0.25">
      <c r="A27" s="97" t="s">
        <v>466</v>
      </c>
      <c r="B27" s="249">
        <v>46240</v>
      </c>
      <c r="C27" s="246">
        <v>0.33333333333333331</v>
      </c>
      <c r="D27" s="246">
        <v>0.375</v>
      </c>
      <c r="E27" s="250">
        <v>88.774999999906868</v>
      </c>
      <c r="F27" s="250">
        <v>14.081250000046566</v>
      </c>
      <c r="G27" s="250">
        <v>0</v>
      </c>
      <c r="H27" s="250">
        <v>0</v>
      </c>
      <c r="I27" s="250">
        <v>0</v>
      </c>
      <c r="J27" s="250"/>
      <c r="K27" s="250"/>
      <c r="L27" s="250"/>
      <c r="M27" s="250"/>
      <c r="N27" s="250"/>
      <c r="O27" s="250"/>
      <c r="P27" s="250"/>
      <c r="Q27" s="250"/>
      <c r="R27" s="250"/>
      <c r="S27" s="250"/>
      <c r="T27" s="250"/>
      <c r="U27" s="250"/>
      <c r="V27" s="250"/>
      <c r="W27" s="250"/>
      <c r="X27" s="250"/>
      <c r="Y27" s="250"/>
      <c r="Z27" s="250"/>
      <c r="AA27" s="250"/>
      <c r="AB27" s="250"/>
      <c r="AC27" s="250"/>
    </row>
    <row r="28" spans="1:29" ht="15.75" customHeight="1" x14ac:dyDescent="0.25">
      <c r="A28" s="97" t="s">
        <v>467</v>
      </c>
      <c r="B28" s="249">
        <v>46240</v>
      </c>
      <c r="C28" s="246">
        <v>0.375</v>
      </c>
      <c r="D28" s="246">
        <v>0.41666666666666669</v>
      </c>
      <c r="E28" s="250">
        <v>102.76666666707024</v>
      </c>
      <c r="F28" s="250">
        <v>10.275000000023283</v>
      </c>
      <c r="G28" s="250">
        <v>0</v>
      </c>
      <c r="H28" s="250">
        <v>0</v>
      </c>
      <c r="I28" s="250">
        <v>0</v>
      </c>
      <c r="J28" s="250"/>
      <c r="K28" s="250"/>
      <c r="L28" s="250"/>
      <c r="M28" s="250"/>
      <c r="N28" s="250"/>
      <c r="O28" s="250"/>
      <c r="P28" s="250"/>
      <c r="Q28" s="250"/>
      <c r="R28" s="250"/>
      <c r="S28" s="250"/>
      <c r="T28" s="250"/>
      <c r="U28" s="250"/>
      <c r="V28" s="250"/>
      <c r="W28" s="250"/>
      <c r="X28" s="250"/>
      <c r="Y28" s="250"/>
      <c r="Z28" s="250"/>
      <c r="AA28" s="250"/>
      <c r="AB28" s="250"/>
      <c r="AC28" s="250"/>
    </row>
    <row r="29" spans="1:29" ht="15.75" customHeight="1" x14ac:dyDescent="0.25">
      <c r="A29" s="97" t="s">
        <v>488</v>
      </c>
      <c r="B29" s="249">
        <v>46241</v>
      </c>
      <c r="C29" s="246">
        <v>0.25</v>
      </c>
      <c r="D29" s="246">
        <v>0.29166666666666669</v>
      </c>
      <c r="E29" s="250">
        <v>76.6875</v>
      </c>
      <c r="F29" s="250">
        <v>12.266527599422261</v>
      </c>
      <c r="G29" s="250">
        <v>0</v>
      </c>
      <c r="H29" s="250">
        <v>0</v>
      </c>
      <c r="I29" s="250">
        <v>0</v>
      </c>
      <c r="J29" s="250"/>
      <c r="K29" s="250"/>
      <c r="L29" s="250"/>
      <c r="M29" s="250"/>
      <c r="N29" s="250"/>
      <c r="O29" s="250"/>
      <c r="P29" s="250"/>
      <c r="Q29" s="250"/>
      <c r="R29" s="250"/>
      <c r="S29" s="250"/>
      <c r="T29" s="250"/>
      <c r="U29" s="250"/>
      <c r="V29" s="250"/>
      <c r="W29" s="250"/>
      <c r="X29" s="250"/>
      <c r="Y29" s="250"/>
      <c r="Z29" s="250"/>
      <c r="AA29" s="250"/>
      <c r="AB29" s="250"/>
      <c r="AC29" s="250"/>
    </row>
    <row r="30" spans="1:29" ht="15.75" customHeight="1" x14ac:dyDescent="0.25">
      <c r="A30" s="97" t="s">
        <v>489</v>
      </c>
      <c r="B30" s="249">
        <v>46241</v>
      </c>
      <c r="C30" s="246">
        <v>0.29166666666666669</v>
      </c>
      <c r="D30" s="246">
        <v>0.33333333333333331</v>
      </c>
      <c r="E30" s="250">
        <v>86.645833333488554</v>
      </c>
      <c r="F30" s="250">
        <v>14.405182926915586</v>
      </c>
      <c r="G30" s="250">
        <v>0</v>
      </c>
      <c r="H30" s="250">
        <v>0</v>
      </c>
      <c r="I30" s="250">
        <v>0</v>
      </c>
      <c r="J30" s="250"/>
      <c r="K30" s="250"/>
      <c r="L30" s="250"/>
      <c r="M30" s="250"/>
      <c r="N30" s="250"/>
      <c r="O30" s="250"/>
      <c r="P30" s="250"/>
      <c r="Q30" s="250"/>
      <c r="R30" s="250"/>
      <c r="S30" s="250"/>
      <c r="T30" s="250"/>
      <c r="U30" s="250"/>
      <c r="V30" s="250"/>
      <c r="W30" s="250"/>
      <c r="X30" s="250"/>
      <c r="Y30" s="250"/>
      <c r="Z30" s="250"/>
      <c r="AA30" s="250"/>
      <c r="AB30" s="250"/>
      <c r="AC30" s="250"/>
    </row>
    <row r="31" spans="1:29" ht="15.75" customHeight="1" x14ac:dyDescent="0.25">
      <c r="A31" s="97" t="s">
        <v>490</v>
      </c>
      <c r="B31" s="249">
        <v>46241</v>
      </c>
      <c r="C31" s="246">
        <v>0.33333333333333331</v>
      </c>
      <c r="D31" s="246">
        <v>0.375</v>
      </c>
      <c r="E31" s="250">
        <v>97.333333333488554</v>
      </c>
      <c r="F31" s="250">
        <v>17.337499999906868</v>
      </c>
      <c r="G31" s="250">
        <v>0</v>
      </c>
      <c r="H31" s="250">
        <v>0</v>
      </c>
      <c r="I31" s="250">
        <v>0</v>
      </c>
      <c r="J31" s="250"/>
      <c r="K31" s="250"/>
      <c r="L31" s="250"/>
      <c r="M31" s="250"/>
      <c r="N31" s="250"/>
      <c r="O31" s="250"/>
      <c r="P31" s="250"/>
      <c r="Q31" s="250"/>
      <c r="R31" s="250"/>
      <c r="S31" s="250"/>
      <c r="T31" s="250"/>
      <c r="U31" s="250"/>
      <c r="V31" s="250"/>
      <c r="W31" s="250"/>
      <c r="X31" s="250"/>
      <c r="Y31" s="250"/>
      <c r="Z31" s="250"/>
      <c r="AA31" s="250"/>
      <c r="AB31" s="250"/>
      <c r="AC31" s="250"/>
    </row>
    <row r="32" spans="1:29" ht="15.75" customHeight="1" x14ac:dyDescent="0.25">
      <c r="A32" s="97" t="s">
        <v>491</v>
      </c>
      <c r="B32" s="249">
        <v>46241</v>
      </c>
      <c r="C32" s="246">
        <v>0.375</v>
      </c>
      <c r="D32" s="246">
        <v>0.41666666666666669</v>
      </c>
      <c r="E32" s="250">
        <v>107.33333333302289</v>
      </c>
      <c r="F32" s="250">
        <v>13.452439024462365</v>
      </c>
      <c r="G32" s="250">
        <v>0</v>
      </c>
      <c r="H32" s="250">
        <v>0</v>
      </c>
      <c r="I32" s="250">
        <v>0</v>
      </c>
      <c r="J32" s="250"/>
      <c r="K32" s="250"/>
      <c r="L32" s="250"/>
      <c r="M32" s="250"/>
      <c r="N32" s="250"/>
      <c r="O32" s="250"/>
      <c r="P32" s="250"/>
      <c r="Q32" s="250"/>
      <c r="R32" s="250"/>
      <c r="S32" s="250"/>
      <c r="T32" s="250"/>
      <c r="U32" s="250"/>
      <c r="V32" s="250"/>
      <c r="W32" s="250"/>
      <c r="X32" s="250"/>
      <c r="Y32" s="250"/>
      <c r="Z32" s="250"/>
      <c r="AA32" s="250"/>
      <c r="AB32" s="250"/>
      <c r="AC32" s="250"/>
    </row>
    <row r="33" spans="1:29" ht="15.75" customHeight="1" x14ac:dyDescent="0.25">
      <c r="A33" s="97" t="s">
        <v>512</v>
      </c>
      <c r="B33" s="249">
        <v>46242</v>
      </c>
      <c r="C33" s="246">
        <v>0.25</v>
      </c>
      <c r="D33" s="246">
        <v>0.29166666666666669</v>
      </c>
      <c r="E33" s="250">
        <v>43.224999999627471</v>
      </c>
      <c r="F33" s="250">
        <v>15.276562500046566</v>
      </c>
      <c r="G33" s="250">
        <v>0</v>
      </c>
      <c r="H33" s="250">
        <v>0</v>
      </c>
      <c r="I33" s="250">
        <v>0</v>
      </c>
      <c r="J33" s="250"/>
      <c r="K33" s="250"/>
      <c r="L33" s="250"/>
      <c r="M33" s="250"/>
      <c r="N33" s="250"/>
      <c r="O33" s="250"/>
      <c r="P33" s="250"/>
      <c r="Q33" s="250"/>
      <c r="R33" s="250"/>
      <c r="S33" s="250"/>
      <c r="T33" s="250"/>
      <c r="U33" s="250"/>
      <c r="V33" s="250"/>
      <c r="W33" s="250"/>
      <c r="X33" s="250"/>
      <c r="Y33" s="250"/>
      <c r="Z33" s="250"/>
      <c r="AA33" s="250"/>
      <c r="AB33" s="250"/>
      <c r="AC33" s="250"/>
    </row>
    <row r="34" spans="1:29" ht="15.75" customHeight="1" x14ac:dyDescent="0.25">
      <c r="A34" s="97" t="s">
        <v>513</v>
      </c>
      <c r="B34" s="249">
        <v>46242</v>
      </c>
      <c r="C34" s="246">
        <v>0.29166666666666669</v>
      </c>
      <c r="D34" s="246">
        <v>0.33333333333333331</v>
      </c>
      <c r="E34" s="250">
        <v>62.884426229633391</v>
      </c>
      <c r="F34" s="250">
        <v>11.203125</v>
      </c>
      <c r="G34" s="250">
        <v>0</v>
      </c>
      <c r="H34" s="250">
        <v>0</v>
      </c>
      <c r="I34" s="250">
        <v>0</v>
      </c>
      <c r="J34" s="250"/>
      <c r="K34" s="250"/>
      <c r="L34" s="250"/>
      <c r="M34" s="250"/>
      <c r="N34" s="250"/>
      <c r="O34" s="250"/>
      <c r="P34" s="250"/>
      <c r="Q34" s="250"/>
      <c r="R34" s="250"/>
      <c r="S34" s="250"/>
      <c r="T34" s="250"/>
      <c r="U34" s="250"/>
      <c r="V34" s="250"/>
      <c r="W34" s="250"/>
      <c r="X34" s="250"/>
      <c r="Y34" s="250"/>
      <c r="Z34" s="250"/>
      <c r="AA34" s="250"/>
      <c r="AB34" s="250"/>
      <c r="AC34" s="250"/>
    </row>
    <row r="35" spans="1:29" ht="15.75" customHeight="1" x14ac:dyDescent="0.25">
      <c r="A35" s="97" t="s">
        <v>514</v>
      </c>
      <c r="B35" s="249">
        <v>46242</v>
      </c>
      <c r="C35" s="246">
        <v>0.33333333333333331</v>
      </c>
      <c r="D35" s="246">
        <v>0.375</v>
      </c>
      <c r="E35" s="250">
        <v>69.432240437250584</v>
      </c>
      <c r="F35" s="250">
        <v>13.453125</v>
      </c>
      <c r="G35" s="250">
        <v>0</v>
      </c>
      <c r="H35" s="250">
        <v>0</v>
      </c>
      <c r="I35" s="250">
        <v>0</v>
      </c>
      <c r="J35" s="250"/>
      <c r="K35" s="250"/>
      <c r="L35" s="250"/>
      <c r="M35" s="250"/>
      <c r="N35" s="250"/>
      <c r="O35" s="250"/>
      <c r="P35" s="250"/>
      <c r="Q35" s="250"/>
      <c r="R35" s="250"/>
      <c r="S35" s="250"/>
      <c r="T35" s="250"/>
      <c r="U35" s="250"/>
      <c r="V35" s="250"/>
      <c r="W35" s="250"/>
      <c r="X35" s="250"/>
      <c r="Y35" s="250"/>
      <c r="Z35" s="250"/>
      <c r="AA35" s="250"/>
      <c r="AB35" s="250"/>
      <c r="AC35" s="250"/>
    </row>
    <row r="36" spans="1:29" ht="15.75" customHeight="1" x14ac:dyDescent="0.25">
      <c r="A36" s="97" t="s">
        <v>515</v>
      </c>
      <c r="B36" s="249">
        <v>46242</v>
      </c>
      <c r="C36" s="246">
        <v>0.375</v>
      </c>
      <c r="D36" s="246">
        <v>0.41666666666666669</v>
      </c>
      <c r="E36" s="250">
        <v>65.403825136367232</v>
      </c>
      <c r="F36" s="250">
        <v>11.640625</v>
      </c>
      <c r="G36" s="250">
        <v>0</v>
      </c>
      <c r="H36" s="250">
        <v>0</v>
      </c>
      <c r="I36" s="250">
        <v>0</v>
      </c>
      <c r="J36" s="250"/>
      <c r="K36" s="250"/>
      <c r="L36" s="250"/>
      <c r="M36" s="250"/>
      <c r="N36" s="250"/>
      <c r="O36" s="250"/>
      <c r="P36" s="250"/>
      <c r="Q36" s="250"/>
      <c r="R36" s="250"/>
      <c r="S36" s="250"/>
      <c r="T36" s="250"/>
      <c r="U36" s="250"/>
      <c r="V36" s="250"/>
      <c r="W36" s="250"/>
      <c r="X36" s="250"/>
      <c r="Y36" s="250"/>
      <c r="Z36" s="250"/>
      <c r="AA36" s="250"/>
      <c r="AB36" s="250"/>
      <c r="AC36" s="250"/>
    </row>
    <row r="37" spans="1:29" ht="15.75" customHeight="1" x14ac:dyDescent="0.25">
      <c r="A37" s="97" t="s">
        <v>536</v>
      </c>
      <c r="B37" s="249">
        <v>46243</v>
      </c>
      <c r="C37" s="246">
        <v>0.25</v>
      </c>
      <c r="D37" s="246">
        <v>0.29166666666666669</v>
      </c>
      <c r="E37" s="250">
        <v>38.9375</v>
      </c>
      <c r="F37" s="250">
        <v>2.3140625000232831</v>
      </c>
      <c r="G37" s="250">
        <v>0</v>
      </c>
      <c r="H37" s="250">
        <v>0</v>
      </c>
      <c r="I37" s="250">
        <v>0</v>
      </c>
      <c r="J37" s="250"/>
      <c r="K37" s="250"/>
      <c r="L37" s="250"/>
      <c r="M37" s="250"/>
      <c r="N37" s="250"/>
      <c r="O37" s="250"/>
      <c r="P37" s="250"/>
      <c r="Q37" s="250"/>
      <c r="R37" s="250"/>
      <c r="S37" s="250"/>
      <c r="T37" s="250"/>
      <c r="U37" s="250"/>
      <c r="V37" s="250"/>
      <c r="W37" s="250"/>
      <c r="X37" s="250"/>
      <c r="Y37" s="250"/>
      <c r="Z37" s="250"/>
      <c r="AA37" s="250"/>
      <c r="AB37" s="250"/>
      <c r="AC37" s="250"/>
    </row>
    <row r="38" spans="1:29" ht="15.75" customHeight="1" x14ac:dyDescent="0.25">
      <c r="A38" s="97" t="s">
        <v>537</v>
      </c>
      <c r="B38" s="249">
        <v>46243</v>
      </c>
      <c r="C38" s="246">
        <v>0.29166666666666669</v>
      </c>
      <c r="D38" s="246">
        <v>0.33333333333333331</v>
      </c>
      <c r="E38" s="250">
        <v>40.926434426568449</v>
      </c>
      <c r="F38" s="250">
        <v>2.1859374999767169</v>
      </c>
      <c r="G38" s="250">
        <v>0</v>
      </c>
      <c r="H38" s="250">
        <v>0</v>
      </c>
      <c r="I38" s="250">
        <v>0</v>
      </c>
      <c r="J38" s="250"/>
      <c r="K38" s="250"/>
      <c r="L38" s="250"/>
      <c r="M38" s="250"/>
      <c r="N38" s="250"/>
      <c r="O38" s="250"/>
      <c r="P38" s="250"/>
      <c r="Q38" s="250"/>
      <c r="R38" s="250"/>
      <c r="S38" s="250"/>
      <c r="T38" s="250"/>
      <c r="U38" s="250"/>
      <c r="V38" s="250"/>
      <c r="W38" s="250"/>
      <c r="X38" s="250"/>
      <c r="Y38" s="250"/>
      <c r="Z38" s="250"/>
      <c r="AA38" s="250"/>
      <c r="AB38" s="250"/>
      <c r="AC38" s="250"/>
    </row>
    <row r="39" spans="1:29" ht="15.75" customHeight="1" x14ac:dyDescent="0.25">
      <c r="A39" s="97" t="s">
        <v>538</v>
      </c>
      <c r="B39" s="249">
        <v>46243</v>
      </c>
      <c r="C39" s="246">
        <v>0.33333333333333331</v>
      </c>
      <c r="D39" s="246">
        <v>0.375</v>
      </c>
      <c r="E39" s="250">
        <v>39.244398906826973</v>
      </c>
      <c r="F39" s="250">
        <v>2.3937500000465661</v>
      </c>
      <c r="G39" s="250">
        <v>0</v>
      </c>
      <c r="H39" s="250">
        <v>0</v>
      </c>
      <c r="I39" s="250">
        <v>0</v>
      </c>
      <c r="J39" s="250"/>
      <c r="K39" s="250"/>
      <c r="L39" s="250"/>
      <c r="M39" s="250"/>
      <c r="N39" s="250"/>
      <c r="O39" s="250"/>
      <c r="P39" s="250"/>
      <c r="Q39" s="250"/>
      <c r="R39" s="250"/>
      <c r="S39" s="250"/>
      <c r="T39" s="250"/>
      <c r="U39" s="250"/>
      <c r="V39" s="250"/>
      <c r="W39" s="250"/>
      <c r="X39" s="250"/>
      <c r="Y39" s="250"/>
      <c r="Z39" s="250"/>
      <c r="AA39" s="250"/>
      <c r="AB39" s="250"/>
      <c r="AC39" s="250"/>
    </row>
    <row r="40" spans="1:29" ht="15.75" customHeight="1" x14ac:dyDescent="0.25">
      <c r="A40" s="97" t="s">
        <v>539</v>
      </c>
      <c r="B40" s="249">
        <v>46243</v>
      </c>
      <c r="C40" s="246">
        <v>0.375</v>
      </c>
      <c r="D40" s="246">
        <v>0.41666666666666669</v>
      </c>
      <c r="E40" s="250">
        <v>35.208333333488554</v>
      </c>
      <c r="F40" s="250">
        <v>2.7937499999534339</v>
      </c>
      <c r="G40" s="250">
        <v>0</v>
      </c>
      <c r="H40" s="250">
        <v>0</v>
      </c>
      <c r="I40" s="250">
        <v>0</v>
      </c>
      <c r="J40" s="250"/>
      <c r="K40" s="250"/>
      <c r="L40" s="250"/>
      <c r="M40" s="250"/>
      <c r="N40" s="250"/>
      <c r="O40" s="250"/>
      <c r="P40" s="250"/>
      <c r="Q40" s="250"/>
      <c r="R40" s="250"/>
      <c r="S40" s="250"/>
      <c r="T40" s="250"/>
      <c r="U40" s="250"/>
      <c r="V40" s="250"/>
      <c r="W40" s="250"/>
      <c r="X40" s="250"/>
      <c r="Y40" s="250"/>
      <c r="Z40" s="250"/>
      <c r="AA40" s="250"/>
      <c r="AB40" s="250"/>
      <c r="AC40" s="250"/>
    </row>
    <row r="41" spans="1:29" ht="15.75" customHeight="1" x14ac:dyDescent="0.25">
      <c r="A41" s="97" t="s">
        <v>560</v>
      </c>
      <c r="B41" s="249">
        <v>46244</v>
      </c>
      <c r="C41" s="246">
        <v>0.25</v>
      </c>
      <c r="D41" s="246">
        <v>0.29166666666666669</v>
      </c>
      <c r="E41" s="250">
        <v>63.167691256850958</v>
      </c>
      <c r="F41" s="250">
        <v>13.3515625</v>
      </c>
      <c r="G41" s="250">
        <v>0</v>
      </c>
      <c r="H41" s="250">
        <v>0</v>
      </c>
      <c r="I41" s="250">
        <v>0</v>
      </c>
      <c r="J41" s="250"/>
      <c r="K41" s="250"/>
      <c r="L41" s="250"/>
      <c r="M41" s="250"/>
      <c r="N41" s="250"/>
      <c r="O41" s="250"/>
      <c r="P41" s="250"/>
      <c r="Q41" s="250"/>
      <c r="R41" s="250"/>
      <c r="S41" s="250"/>
      <c r="T41" s="250"/>
      <c r="U41" s="250"/>
      <c r="V41" s="250"/>
      <c r="W41" s="250"/>
      <c r="X41" s="250"/>
      <c r="Y41" s="250"/>
      <c r="Z41" s="250"/>
      <c r="AA41" s="250"/>
      <c r="AB41" s="250"/>
      <c r="AC41" s="250"/>
    </row>
    <row r="42" spans="1:29" ht="15.75" customHeight="1" x14ac:dyDescent="0.25">
      <c r="A42" s="97" t="s">
        <v>561</v>
      </c>
      <c r="B42" s="249">
        <v>46244</v>
      </c>
      <c r="C42" s="246">
        <v>0.29166666666666669</v>
      </c>
      <c r="D42" s="246">
        <v>0.33333333333333331</v>
      </c>
      <c r="E42" s="250">
        <v>81.842867231927812</v>
      </c>
      <c r="F42" s="250">
        <v>8.9922619048738852</v>
      </c>
      <c r="G42" s="250">
        <v>0</v>
      </c>
      <c r="H42" s="250">
        <v>0</v>
      </c>
      <c r="I42" s="250">
        <v>0</v>
      </c>
      <c r="J42" s="250"/>
      <c r="K42" s="250"/>
      <c r="L42" s="250"/>
      <c r="M42" s="250"/>
      <c r="N42" s="250"/>
      <c r="O42" s="250"/>
      <c r="P42" s="250"/>
      <c r="Q42" s="250"/>
      <c r="R42" s="250"/>
      <c r="S42" s="250"/>
      <c r="T42" s="250"/>
      <c r="U42" s="250"/>
      <c r="V42" s="250"/>
      <c r="W42" s="250"/>
      <c r="X42" s="250"/>
      <c r="Y42" s="250"/>
      <c r="Z42" s="250"/>
      <c r="AA42" s="250"/>
      <c r="AB42" s="250"/>
      <c r="AC42" s="250"/>
    </row>
    <row r="43" spans="1:29" ht="15.75" customHeight="1" x14ac:dyDescent="0.25">
      <c r="A43" s="97" t="s">
        <v>562</v>
      </c>
      <c r="B43" s="249">
        <v>46244</v>
      </c>
      <c r="C43" s="246">
        <v>0.33333333333333331</v>
      </c>
      <c r="D43" s="246">
        <v>0.375</v>
      </c>
      <c r="E43" s="250">
        <v>85.777966101653874</v>
      </c>
      <c r="F43" s="250">
        <v>11.329994192696176</v>
      </c>
      <c r="G43" s="250">
        <v>0</v>
      </c>
      <c r="H43" s="250">
        <v>0</v>
      </c>
      <c r="I43" s="250">
        <v>0</v>
      </c>
      <c r="J43" s="250"/>
      <c r="K43" s="250"/>
      <c r="L43" s="250"/>
      <c r="M43" s="250"/>
      <c r="N43" s="250"/>
      <c r="O43" s="250"/>
      <c r="P43" s="250"/>
      <c r="Q43" s="250"/>
      <c r="R43" s="250"/>
      <c r="S43" s="250"/>
      <c r="T43" s="250"/>
      <c r="U43" s="250"/>
      <c r="V43" s="250"/>
      <c r="W43" s="250"/>
      <c r="X43" s="250"/>
      <c r="Y43" s="250"/>
      <c r="Z43" s="250"/>
      <c r="AA43" s="250"/>
      <c r="AB43" s="250"/>
      <c r="AC43" s="250"/>
    </row>
    <row r="44" spans="1:29" ht="15.75" customHeight="1" x14ac:dyDescent="0.25">
      <c r="A44" s="97" t="s">
        <v>563</v>
      </c>
      <c r="B44" s="249">
        <v>46244</v>
      </c>
      <c r="C44" s="246">
        <v>0.375</v>
      </c>
      <c r="D44" s="246">
        <v>0.41666666666666669</v>
      </c>
      <c r="E44" s="250">
        <v>112.29999999981374</v>
      </c>
      <c r="F44" s="250">
        <v>10.423056402476504</v>
      </c>
      <c r="G44" s="250">
        <v>0</v>
      </c>
      <c r="H44" s="250">
        <v>0</v>
      </c>
      <c r="I44" s="250">
        <v>0</v>
      </c>
      <c r="J44" s="250"/>
      <c r="K44" s="250"/>
      <c r="L44" s="250"/>
      <c r="M44" s="250"/>
      <c r="N44" s="250"/>
      <c r="O44" s="250"/>
      <c r="P44" s="250"/>
      <c r="Q44" s="250"/>
      <c r="R44" s="250"/>
      <c r="S44" s="250"/>
      <c r="T44" s="250"/>
      <c r="U44" s="250"/>
      <c r="V44" s="250"/>
      <c r="W44" s="250"/>
      <c r="X44" s="250"/>
      <c r="Y44" s="250"/>
      <c r="Z44" s="250"/>
      <c r="AA44" s="250"/>
      <c r="AB44" s="250"/>
      <c r="AC44" s="250"/>
    </row>
    <row r="45" spans="1:29" ht="15.75" customHeight="1" x14ac:dyDescent="0.25">
      <c r="A45" s="97" t="s">
        <v>584</v>
      </c>
      <c r="B45" s="249">
        <v>46245</v>
      </c>
      <c r="C45" s="246">
        <v>0.25</v>
      </c>
      <c r="D45" s="246">
        <v>0.29166666666666669</v>
      </c>
      <c r="E45" s="250">
        <v>66.162500000093132</v>
      </c>
      <c r="F45" s="250">
        <v>16.034375000046566</v>
      </c>
      <c r="G45" s="250">
        <v>0</v>
      </c>
      <c r="H45" s="250">
        <v>0</v>
      </c>
      <c r="I45" s="250">
        <v>0</v>
      </c>
      <c r="J45" s="250"/>
      <c r="K45" s="250"/>
      <c r="L45" s="250"/>
      <c r="M45" s="250"/>
      <c r="N45" s="250"/>
      <c r="O45" s="250"/>
      <c r="P45" s="250"/>
      <c r="Q45" s="250"/>
      <c r="R45" s="250"/>
      <c r="S45" s="250"/>
      <c r="T45" s="250"/>
      <c r="U45" s="250"/>
      <c r="V45" s="250"/>
      <c r="W45" s="250"/>
      <c r="X45" s="250"/>
      <c r="Y45" s="250"/>
      <c r="Z45" s="250"/>
      <c r="AA45" s="250"/>
      <c r="AB45" s="250"/>
      <c r="AC45" s="250"/>
    </row>
    <row r="46" spans="1:29" ht="15.75" customHeight="1" x14ac:dyDescent="0.25">
      <c r="A46" s="97" t="s">
        <v>585</v>
      </c>
      <c r="B46" s="249">
        <v>46245</v>
      </c>
      <c r="C46" s="246">
        <v>0.29166666666666669</v>
      </c>
      <c r="D46" s="246">
        <v>0.33333333333333331</v>
      </c>
      <c r="E46" s="250">
        <v>84.622033898252994</v>
      </c>
      <c r="F46" s="250">
        <v>11.246874999953434</v>
      </c>
      <c r="G46" s="250">
        <v>0</v>
      </c>
      <c r="H46" s="250">
        <v>0</v>
      </c>
      <c r="I46" s="250">
        <v>0</v>
      </c>
      <c r="J46" s="250"/>
      <c r="K46" s="250"/>
      <c r="L46" s="250"/>
      <c r="M46" s="250"/>
      <c r="N46" s="250"/>
      <c r="O46" s="250"/>
      <c r="P46" s="250"/>
      <c r="Q46" s="250"/>
      <c r="R46" s="250"/>
      <c r="S46" s="250"/>
      <c r="T46" s="250"/>
      <c r="U46" s="250"/>
      <c r="V46" s="250"/>
      <c r="W46" s="250"/>
      <c r="X46" s="250"/>
      <c r="Y46" s="250"/>
      <c r="Z46" s="250"/>
      <c r="AA46" s="250"/>
      <c r="AB46" s="250"/>
      <c r="AC46" s="250"/>
    </row>
    <row r="47" spans="1:29" ht="15.75" customHeight="1" x14ac:dyDescent="0.25">
      <c r="A47" s="97" t="s">
        <v>586</v>
      </c>
      <c r="B47" s="249">
        <v>46245</v>
      </c>
      <c r="C47" s="246">
        <v>0.33333333333333331</v>
      </c>
      <c r="D47" s="246">
        <v>0.375</v>
      </c>
      <c r="E47" s="250">
        <v>85.327966101467609</v>
      </c>
      <c r="F47" s="250">
        <v>10.290625000023283</v>
      </c>
      <c r="G47" s="250">
        <v>0</v>
      </c>
      <c r="H47" s="250">
        <v>0</v>
      </c>
      <c r="I47" s="250">
        <v>0</v>
      </c>
      <c r="J47" s="250"/>
      <c r="K47" s="250"/>
      <c r="L47" s="250"/>
      <c r="M47" s="250"/>
      <c r="N47" s="250"/>
      <c r="O47" s="250"/>
      <c r="P47" s="250"/>
      <c r="Q47" s="250"/>
      <c r="R47" s="250"/>
      <c r="S47" s="250"/>
      <c r="T47" s="250"/>
      <c r="U47" s="250"/>
      <c r="V47" s="250"/>
      <c r="W47" s="250"/>
      <c r="X47" s="250"/>
      <c r="Y47" s="250"/>
      <c r="Z47" s="250"/>
      <c r="AA47" s="250"/>
      <c r="AB47" s="250"/>
      <c r="AC47" s="250"/>
    </row>
    <row r="48" spans="1:29" ht="15.75" customHeight="1" x14ac:dyDescent="0.25">
      <c r="A48" s="97" t="s">
        <v>587</v>
      </c>
      <c r="B48" s="249">
        <v>46245</v>
      </c>
      <c r="C48" s="246">
        <v>0.375</v>
      </c>
      <c r="D48" s="246">
        <v>0.41666666666666669</v>
      </c>
      <c r="E48" s="250">
        <v>126.93606557371095</v>
      </c>
      <c r="F48" s="250">
        <v>11.124009146355093</v>
      </c>
      <c r="G48" s="250">
        <v>0</v>
      </c>
      <c r="H48" s="250">
        <v>0</v>
      </c>
      <c r="I48" s="250">
        <v>0</v>
      </c>
      <c r="J48" s="250"/>
      <c r="K48" s="250"/>
      <c r="L48" s="250"/>
      <c r="M48" s="250"/>
      <c r="N48" s="250"/>
      <c r="O48" s="250"/>
      <c r="P48" s="250"/>
      <c r="Q48" s="250"/>
      <c r="R48" s="250"/>
      <c r="S48" s="250"/>
      <c r="T48" s="250"/>
      <c r="U48" s="250"/>
      <c r="V48" s="250"/>
      <c r="W48" s="250"/>
      <c r="X48" s="250"/>
      <c r="Y48" s="250"/>
      <c r="Z48" s="250"/>
      <c r="AA48" s="250"/>
      <c r="AB48" s="250"/>
      <c r="AC48" s="250"/>
    </row>
    <row r="49" spans="1:29" ht="15.75" customHeight="1" x14ac:dyDescent="0.25">
      <c r="A49" s="97" t="s">
        <v>608</v>
      </c>
      <c r="B49" s="249">
        <v>46246</v>
      </c>
      <c r="C49" s="246">
        <v>0.25</v>
      </c>
      <c r="D49" s="246">
        <v>0.29166666666666669</v>
      </c>
      <c r="E49" s="250">
        <v>70.470833333674818</v>
      </c>
      <c r="F49" s="250">
        <v>16.242987804929726</v>
      </c>
      <c r="G49" s="250">
        <v>0</v>
      </c>
      <c r="H49" s="250">
        <v>0</v>
      </c>
      <c r="I49" s="250">
        <v>0</v>
      </c>
      <c r="J49" s="250"/>
      <c r="K49" s="250"/>
      <c r="L49" s="250"/>
      <c r="M49" s="250"/>
      <c r="N49" s="250"/>
      <c r="O49" s="250"/>
      <c r="P49" s="250"/>
      <c r="Q49" s="250"/>
      <c r="R49" s="250"/>
      <c r="S49" s="250"/>
      <c r="T49" s="250"/>
      <c r="U49" s="250"/>
      <c r="V49" s="250"/>
      <c r="W49" s="250"/>
      <c r="X49" s="250"/>
      <c r="Y49" s="250"/>
      <c r="Z49" s="250"/>
      <c r="AA49" s="250"/>
      <c r="AB49" s="250"/>
      <c r="AC49" s="250"/>
    </row>
    <row r="50" spans="1:29" ht="15.75" customHeight="1" x14ac:dyDescent="0.25">
      <c r="A50" s="97" t="s">
        <v>609</v>
      </c>
      <c r="B50" s="249">
        <v>46246</v>
      </c>
      <c r="C50" s="246">
        <v>0.29166666666666669</v>
      </c>
      <c r="D50" s="246">
        <v>0.33333333333333331</v>
      </c>
      <c r="E50" s="250">
        <v>82.145833333022892</v>
      </c>
      <c r="F50" s="250">
        <v>8.3936925230082124</v>
      </c>
      <c r="G50" s="250">
        <v>0</v>
      </c>
      <c r="H50" s="250">
        <v>0</v>
      </c>
      <c r="I50" s="250">
        <v>0</v>
      </c>
      <c r="J50" s="250"/>
      <c r="K50" s="250"/>
      <c r="L50" s="250"/>
      <c r="M50" s="250"/>
      <c r="N50" s="250"/>
      <c r="O50" s="250"/>
      <c r="P50" s="250"/>
      <c r="Q50" s="250"/>
      <c r="R50" s="250"/>
      <c r="S50" s="250"/>
      <c r="T50" s="250"/>
      <c r="U50" s="250"/>
      <c r="V50" s="250"/>
      <c r="W50" s="250"/>
      <c r="X50" s="250"/>
      <c r="Y50" s="250"/>
      <c r="Z50" s="250"/>
      <c r="AA50" s="250"/>
      <c r="AB50" s="250"/>
      <c r="AC50" s="250"/>
    </row>
    <row r="51" spans="1:29" ht="15.75" customHeight="1" x14ac:dyDescent="0.25">
      <c r="A51" s="97" t="s">
        <v>610</v>
      </c>
      <c r="B51" s="249">
        <v>46246</v>
      </c>
      <c r="C51" s="246">
        <v>0.33333333333333331</v>
      </c>
      <c r="D51" s="246">
        <v>0.375</v>
      </c>
      <c r="E51" s="250">
        <v>96.791325136553496</v>
      </c>
      <c r="F51" s="250">
        <v>10.639882172108628</v>
      </c>
      <c r="G51" s="250">
        <v>0</v>
      </c>
      <c r="H51" s="250">
        <v>0</v>
      </c>
      <c r="I51" s="250">
        <v>0</v>
      </c>
      <c r="J51" s="250"/>
      <c r="K51" s="250"/>
      <c r="L51" s="250"/>
      <c r="M51" s="250"/>
      <c r="N51" s="250"/>
      <c r="O51" s="250"/>
      <c r="P51" s="250"/>
      <c r="Q51" s="250"/>
      <c r="R51" s="250"/>
      <c r="S51" s="250"/>
      <c r="T51" s="250"/>
      <c r="U51" s="250"/>
      <c r="V51" s="250"/>
      <c r="W51" s="250"/>
      <c r="X51" s="250"/>
      <c r="Y51" s="250"/>
      <c r="Z51" s="250"/>
      <c r="AA51" s="250"/>
      <c r="AB51" s="250"/>
      <c r="AC51" s="250"/>
    </row>
    <row r="52" spans="1:29" ht="15.75" customHeight="1" x14ac:dyDescent="0.25">
      <c r="A52" s="97" t="s">
        <v>611</v>
      </c>
      <c r="B52" s="249">
        <v>46246</v>
      </c>
      <c r="C52" s="246">
        <v>0.375</v>
      </c>
      <c r="D52" s="246">
        <v>0.41666666666666669</v>
      </c>
      <c r="E52" s="250">
        <v>118.77950819674879</v>
      </c>
      <c r="F52" s="250">
        <v>10.9140625</v>
      </c>
      <c r="G52" s="250">
        <v>0</v>
      </c>
      <c r="H52" s="250">
        <v>0</v>
      </c>
      <c r="I52" s="250">
        <v>0</v>
      </c>
      <c r="J52" s="250"/>
      <c r="K52" s="250"/>
      <c r="L52" s="250"/>
      <c r="M52" s="250"/>
      <c r="N52" s="250"/>
      <c r="O52" s="250"/>
      <c r="P52" s="250"/>
      <c r="Q52" s="250"/>
      <c r="R52" s="250"/>
      <c r="S52" s="250"/>
      <c r="T52" s="250"/>
      <c r="U52" s="250"/>
      <c r="V52" s="250"/>
      <c r="W52" s="250"/>
      <c r="X52" s="250"/>
      <c r="Y52" s="250"/>
      <c r="Z52" s="250"/>
      <c r="AA52" s="250"/>
      <c r="AB52" s="250"/>
      <c r="AC52" s="250"/>
    </row>
    <row r="53" spans="1:29" ht="15.75" customHeight="1" x14ac:dyDescent="0.25">
      <c r="A53" s="97" t="s">
        <v>632</v>
      </c>
      <c r="B53" s="249">
        <v>46247</v>
      </c>
      <c r="C53" s="246">
        <v>0.25</v>
      </c>
      <c r="D53" s="246">
        <v>0.29166666666666669</v>
      </c>
      <c r="E53" s="250">
        <v>68.805874316953123</v>
      </c>
      <c r="F53" s="250">
        <v>21.987500000046566</v>
      </c>
      <c r="G53" s="250">
        <v>0</v>
      </c>
      <c r="H53" s="250">
        <v>0</v>
      </c>
      <c r="I53" s="250">
        <v>0</v>
      </c>
      <c r="J53" s="250"/>
      <c r="K53" s="250"/>
      <c r="L53" s="250"/>
      <c r="M53" s="250"/>
      <c r="N53" s="250"/>
      <c r="O53" s="250"/>
      <c r="P53" s="250"/>
      <c r="Q53" s="250"/>
      <c r="R53" s="250"/>
      <c r="S53" s="250"/>
      <c r="T53" s="250"/>
      <c r="U53" s="250"/>
      <c r="V53" s="250"/>
      <c r="W53" s="250"/>
      <c r="X53" s="250"/>
      <c r="Y53" s="250"/>
      <c r="Z53" s="250"/>
      <c r="AA53" s="250"/>
      <c r="AB53" s="250"/>
      <c r="AC53" s="250"/>
    </row>
    <row r="54" spans="1:29" ht="15.75" customHeight="1" x14ac:dyDescent="0.25">
      <c r="A54" s="97" t="s">
        <v>633</v>
      </c>
      <c r="B54" s="249">
        <v>46247</v>
      </c>
      <c r="C54" s="246">
        <v>0.29166666666666669</v>
      </c>
      <c r="D54" s="246">
        <v>0.33333333333333331</v>
      </c>
      <c r="E54" s="250">
        <v>85.627049180213362</v>
      </c>
      <c r="F54" s="250">
        <v>14.606249999953434</v>
      </c>
      <c r="G54" s="250">
        <v>0</v>
      </c>
      <c r="H54" s="250">
        <v>0</v>
      </c>
      <c r="I54" s="250">
        <v>0</v>
      </c>
      <c r="J54" s="250"/>
      <c r="K54" s="250"/>
      <c r="L54" s="250"/>
      <c r="M54" s="250"/>
      <c r="N54" s="250"/>
      <c r="O54" s="250"/>
      <c r="P54" s="250"/>
      <c r="Q54" s="250"/>
      <c r="R54" s="250"/>
      <c r="S54" s="250"/>
      <c r="T54" s="250"/>
      <c r="U54" s="250"/>
      <c r="V54" s="250"/>
      <c r="W54" s="250"/>
      <c r="X54" s="250"/>
      <c r="Y54" s="250"/>
      <c r="Z54" s="250"/>
      <c r="AA54" s="250"/>
      <c r="AB54" s="250"/>
      <c r="AC54" s="250"/>
    </row>
    <row r="55" spans="1:29" ht="15.75" customHeight="1" x14ac:dyDescent="0.25">
      <c r="A55" s="97" t="s">
        <v>634</v>
      </c>
      <c r="B55" s="249">
        <v>46247</v>
      </c>
      <c r="C55" s="246">
        <v>0.33333333333333331</v>
      </c>
      <c r="D55" s="246">
        <v>0.375</v>
      </c>
      <c r="E55" s="250">
        <v>100.32957650255412</v>
      </c>
      <c r="F55" s="250">
        <v>10.454725609859452</v>
      </c>
      <c r="G55" s="250">
        <v>0</v>
      </c>
      <c r="H55" s="250">
        <v>0</v>
      </c>
      <c r="I55" s="250">
        <v>0</v>
      </c>
      <c r="J55" s="250"/>
      <c r="K55" s="250"/>
      <c r="L55" s="250"/>
      <c r="M55" s="250"/>
      <c r="N55" s="250"/>
      <c r="O55" s="250"/>
      <c r="P55" s="250"/>
      <c r="Q55" s="250"/>
      <c r="R55" s="250"/>
      <c r="S55" s="250"/>
      <c r="T55" s="250"/>
      <c r="U55" s="250"/>
      <c r="V55" s="250"/>
      <c r="W55" s="250"/>
      <c r="X55" s="250"/>
      <c r="Y55" s="250"/>
      <c r="Z55" s="250"/>
      <c r="AA55" s="250"/>
      <c r="AB55" s="250"/>
      <c r="AC55" s="250"/>
    </row>
    <row r="56" spans="1:29" ht="15.75" customHeight="1" x14ac:dyDescent="0.25">
      <c r="A56" s="97" t="s">
        <v>635</v>
      </c>
      <c r="B56" s="249">
        <v>46247</v>
      </c>
      <c r="C56" s="246">
        <v>0.375</v>
      </c>
      <c r="D56" s="246">
        <v>0.41666666666666669</v>
      </c>
      <c r="E56" s="250">
        <v>116.52083333348855</v>
      </c>
      <c r="F56" s="250">
        <v>11.642149390187114</v>
      </c>
      <c r="G56" s="250">
        <v>0</v>
      </c>
      <c r="H56" s="250">
        <v>0</v>
      </c>
      <c r="I56" s="250">
        <v>0</v>
      </c>
      <c r="J56" s="250"/>
      <c r="K56" s="250"/>
      <c r="L56" s="250"/>
      <c r="M56" s="250"/>
      <c r="N56" s="250"/>
      <c r="O56" s="250"/>
      <c r="P56" s="250"/>
      <c r="Q56" s="250"/>
      <c r="R56" s="250"/>
      <c r="S56" s="250"/>
      <c r="T56" s="250"/>
      <c r="U56" s="250"/>
      <c r="V56" s="250"/>
      <c r="W56" s="250"/>
      <c r="X56" s="250"/>
      <c r="Y56" s="250"/>
      <c r="Z56" s="250"/>
      <c r="AA56" s="250"/>
      <c r="AB56" s="250"/>
      <c r="AC56" s="250"/>
    </row>
    <row r="57" spans="1:29" ht="15.75" customHeight="1" x14ac:dyDescent="0.25">
      <c r="A57" s="97" t="s">
        <v>656</v>
      </c>
      <c r="B57" s="249">
        <v>46248</v>
      </c>
      <c r="C57" s="246">
        <v>0.25</v>
      </c>
      <c r="D57" s="246">
        <v>0.29166666666666669</v>
      </c>
      <c r="E57" s="250">
        <v>74.225706214550883</v>
      </c>
      <c r="F57" s="250">
        <v>14.162417763262056</v>
      </c>
      <c r="G57" s="250">
        <v>0</v>
      </c>
      <c r="H57" s="250">
        <v>0</v>
      </c>
      <c r="I57" s="250">
        <v>0</v>
      </c>
      <c r="J57" s="250"/>
      <c r="K57" s="250"/>
      <c r="L57" s="250"/>
      <c r="M57" s="250"/>
      <c r="N57" s="250"/>
      <c r="O57" s="250"/>
      <c r="P57" s="250"/>
      <c r="Q57" s="250"/>
      <c r="R57" s="250"/>
      <c r="S57" s="250"/>
      <c r="T57" s="250"/>
      <c r="U57" s="250"/>
      <c r="V57" s="250"/>
      <c r="W57" s="250"/>
      <c r="X57" s="250"/>
      <c r="Y57" s="250"/>
      <c r="Z57" s="250"/>
      <c r="AA57" s="250"/>
      <c r="AB57" s="250"/>
      <c r="AC57" s="250"/>
    </row>
    <row r="58" spans="1:29" ht="15.75" customHeight="1" x14ac:dyDescent="0.25">
      <c r="A58" s="97" t="s">
        <v>657</v>
      </c>
      <c r="B58" s="249">
        <v>46248</v>
      </c>
      <c r="C58" s="246">
        <v>0.29166666666666669</v>
      </c>
      <c r="D58" s="246">
        <v>0.33333333333333331</v>
      </c>
      <c r="E58" s="250">
        <v>92.657627118751407</v>
      </c>
      <c r="F58" s="250">
        <v>11.776484480244108</v>
      </c>
      <c r="G58" s="250">
        <v>0</v>
      </c>
      <c r="H58" s="250">
        <v>0</v>
      </c>
      <c r="I58" s="250">
        <v>0</v>
      </c>
      <c r="J58" s="250"/>
      <c r="K58" s="250"/>
      <c r="L58" s="250"/>
      <c r="M58" s="250"/>
      <c r="N58" s="250"/>
      <c r="O58" s="250"/>
      <c r="P58" s="250"/>
      <c r="Q58" s="250"/>
      <c r="R58" s="250"/>
      <c r="S58" s="250"/>
      <c r="T58" s="250"/>
      <c r="U58" s="250"/>
      <c r="V58" s="250"/>
      <c r="W58" s="250"/>
      <c r="X58" s="250"/>
      <c r="Y58" s="250"/>
      <c r="Z58" s="250"/>
      <c r="AA58" s="250"/>
      <c r="AB58" s="250"/>
      <c r="AC58" s="250"/>
    </row>
    <row r="59" spans="1:29" ht="15.75" customHeight="1" x14ac:dyDescent="0.25">
      <c r="A59" s="97" t="s">
        <v>658</v>
      </c>
      <c r="B59" s="249">
        <v>46248</v>
      </c>
      <c r="C59" s="246">
        <v>0.33333333333333331</v>
      </c>
      <c r="D59" s="246">
        <v>0.375</v>
      </c>
      <c r="E59" s="250">
        <v>103.56666666641831</v>
      </c>
      <c r="F59" s="250">
        <v>9.1470352564938366</v>
      </c>
      <c r="G59" s="250">
        <v>0</v>
      </c>
      <c r="H59" s="250">
        <v>0</v>
      </c>
      <c r="I59" s="250">
        <v>0</v>
      </c>
      <c r="J59" s="250"/>
      <c r="K59" s="250"/>
      <c r="L59" s="250"/>
      <c r="M59" s="250"/>
      <c r="N59" s="250"/>
      <c r="O59" s="250"/>
      <c r="P59" s="250"/>
      <c r="Q59" s="250"/>
      <c r="R59" s="250"/>
      <c r="S59" s="250"/>
      <c r="T59" s="250"/>
      <c r="U59" s="250"/>
      <c r="V59" s="250"/>
      <c r="W59" s="250"/>
      <c r="X59" s="250"/>
      <c r="Y59" s="250"/>
      <c r="Z59" s="250"/>
      <c r="AA59" s="250"/>
      <c r="AB59" s="250"/>
      <c r="AC59" s="250"/>
    </row>
    <row r="60" spans="1:29" ht="15.75" customHeight="1" x14ac:dyDescent="0.25">
      <c r="A60" s="97" t="s">
        <v>659</v>
      </c>
      <c r="B60" s="249">
        <v>46248</v>
      </c>
      <c r="C60" s="246">
        <v>0.375</v>
      </c>
      <c r="D60" s="246">
        <v>0.41666666666666669</v>
      </c>
      <c r="E60" s="250">
        <v>122.54999999981374</v>
      </c>
      <c r="F60" s="250">
        <v>10.206249999930151</v>
      </c>
      <c r="G60" s="250">
        <v>0</v>
      </c>
      <c r="H60" s="250">
        <v>0</v>
      </c>
      <c r="I60" s="250">
        <v>0</v>
      </c>
      <c r="J60" s="250"/>
      <c r="K60" s="250"/>
      <c r="L60" s="250"/>
      <c r="M60" s="250"/>
      <c r="N60" s="250"/>
      <c r="O60" s="250"/>
      <c r="P60" s="250"/>
      <c r="Q60" s="250"/>
      <c r="R60" s="250"/>
      <c r="S60" s="250"/>
      <c r="T60" s="250"/>
      <c r="U60" s="250"/>
      <c r="V60" s="250"/>
      <c r="W60" s="250"/>
      <c r="X60" s="250"/>
      <c r="Y60" s="250"/>
      <c r="Z60" s="250"/>
      <c r="AA60" s="250"/>
      <c r="AB60" s="250"/>
      <c r="AC60" s="250"/>
    </row>
    <row r="61" spans="1:29" ht="15.75" customHeight="1" x14ac:dyDescent="0.25">
      <c r="A61" s="97" t="s">
        <v>680</v>
      </c>
      <c r="B61" s="249">
        <v>46249</v>
      </c>
      <c r="C61" s="246">
        <v>0.25</v>
      </c>
      <c r="D61" s="246">
        <v>0.29166666666666669</v>
      </c>
      <c r="E61" s="250">
        <v>41.578415300231427</v>
      </c>
      <c r="F61" s="250">
        <v>4.1615853658877313</v>
      </c>
      <c r="G61" s="250">
        <v>0</v>
      </c>
      <c r="H61" s="250">
        <v>0</v>
      </c>
      <c r="I61" s="250">
        <v>0</v>
      </c>
      <c r="J61" s="250"/>
      <c r="K61" s="250"/>
      <c r="L61" s="250"/>
      <c r="M61" s="250"/>
      <c r="N61" s="250"/>
      <c r="O61" s="250"/>
      <c r="P61" s="250"/>
      <c r="Q61" s="250"/>
      <c r="R61" s="250"/>
      <c r="S61" s="250"/>
      <c r="T61" s="250"/>
      <c r="U61" s="250"/>
      <c r="V61" s="250"/>
      <c r="W61" s="250"/>
      <c r="X61" s="250"/>
      <c r="Y61" s="250"/>
      <c r="Z61" s="250"/>
      <c r="AA61" s="250"/>
      <c r="AB61" s="250"/>
      <c r="AC61" s="250"/>
    </row>
    <row r="62" spans="1:29" ht="15.75" customHeight="1" x14ac:dyDescent="0.25">
      <c r="A62" s="97" t="s">
        <v>681</v>
      </c>
      <c r="B62" s="249">
        <v>46249</v>
      </c>
      <c r="C62" s="246">
        <v>0.29166666666666669</v>
      </c>
      <c r="D62" s="246">
        <v>0.33333333333333331</v>
      </c>
      <c r="E62" s="250">
        <v>60.016393442638218</v>
      </c>
      <c r="F62" s="250">
        <v>3.0437499999534339</v>
      </c>
      <c r="G62" s="250">
        <v>0</v>
      </c>
      <c r="H62" s="250">
        <v>0</v>
      </c>
      <c r="I62" s="250">
        <v>0</v>
      </c>
      <c r="J62" s="250"/>
      <c r="K62" s="250"/>
      <c r="L62" s="250"/>
      <c r="M62" s="250"/>
      <c r="N62" s="250"/>
      <c r="O62" s="250"/>
      <c r="P62" s="250"/>
      <c r="Q62" s="250"/>
      <c r="R62" s="250"/>
      <c r="S62" s="250"/>
      <c r="T62" s="250"/>
      <c r="U62" s="250"/>
      <c r="V62" s="250"/>
      <c r="W62" s="250"/>
      <c r="X62" s="250"/>
      <c r="Y62" s="250"/>
      <c r="Z62" s="250"/>
      <c r="AA62" s="250"/>
      <c r="AB62" s="250"/>
      <c r="AC62" s="250"/>
    </row>
    <row r="63" spans="1:29" ht="15.75" customHeight="1" x14ac:dyDescent="0.25">
      <c r="A63" s="97" t="s">
        <v>682</v>
      </c>
      <c r="B63" s="249">
        <v>46249</v>
      </c>
      <c r="C63" s="246">
        <v>0.33333333333333331</v>
      </c>
      <c r="D63" s="246">
        <v>0.375</v>
      </c>
      <c r="E63" s="250">
        <v>50.34836065582931</v>
      </c>
      <c r="F63" s="250">
        <v>2.4562500000465661</v>
      </c>
      <c r="G63" s="250">
        <v>0</v>
      </c>
      <c r="H63" s="250">
        <v>0</v>
      </c>
      <c r="I63" s="250">
        <v>0</v>
      </c>
      <c r="J63" s="250"/>
      <c r="K63" s="250"/>
      <c r="L63" s="250"/>
      <c r="M63" s="250"/>
      <c r="N63" s="250"/>
      <c r="O63" s="250"/>
      <c r="P63" s="250"/>
      <c r="Q63" s="250"/>
      <c r="R63" s="250"/>
      <c r="S63" s="250"/>
      <c r="T63" s="250"/>
      <c r="U63" s="250"/>
      <c r="V63" s="250"/>
      <c r="W63" s="250"/>
      <c r="X63" s="250"/>
      <c r="Y63" s="250"/>
      <c r="Z63" s="250"/>
      <c r="AA63" s="250"/>
      <c r="AB63" s="250"/>
      <c r="AC63" s="250"/>
    </row>
    <row r="64" spans="1:29" ht="15.75" customHeight="1" x14ac:dyDescent="0.25">
      <c r="A64" s="97" t="s">
        <v>683</v>
      </c>
      <c r="B64" s="249">
        <v>46249</v>
      </c>
      <c r="C64" s="246">
        <v>0.375</v>
      </c>
      <c r="D64" s="246">
        <v>0.41666666666666669</v>
      </c>
      <c r="E64" s="250">
        <v>47.440163934603333</v>
      </c>
      <c r="F64" s="250">
        <v>2.6890243901871145</v>
      </c>
      <c r="G64" s="250">
        <v>0</v>
      </c>
      <c r="H64" s="250">
        <v>0</v>
      </c>
      <c r="I64" s="250">
        <v>0</v>
      </c>
      <c r="J64" s="250"/>
      <c r="K64" s="250"/>
      <c r="L64" s="250"/>
      <c r="M64" s="250"/>
      <c r="N64" s="250"/>
      <c r="O64" s="250"/>
      <c r="P64" s="250"/>
      <c r="Q64" s="250"/>
      <c r="R64" s="250"/>
      <c r="S64" s="250"/>
      <c r="T64" s="250"/>
      <c r="U64" s="250"/>
      <c r="V64" s="250"/>
      <c r="W64" s="250"/>
      <c r="X64" s="250"/>
      <c r="Y64" s="250"/>
      <c r="Z64" s="250"/>
      <c r="AA64" s="250"/>
      <c r="AB64" s="250"/>
      <c r="AC64" s="250"/>
    </row>
    <row r="65" spans="1:29" ht="15.75" customHeight="1" x14ac:dyDescent="0.25">
      <c r="A65" s="97" t="s">
        <v>704</v>
      </c>
      <c r="B65" s="249">
        <v>46250</v>
      </c>
      <c r="C65" s="246">
        <v>0.25</v>
      </c>
      <c r="D65" s="246">
        <v>0.29166666666666669</v>
      </c>
      <c r="E65" s="250">
        <v>41.858333333395422</v>
      </c>
      <c r="F65" s="250">
        <v>11.783935830462724</v>
      </c>
      <c r="G65" s="250">
        <v>0</v>
      </c>
      <c r="H65" s="250">
        <v>0</v>
      </c>
      <c r="I65" s="250">
        <v>0</v>
      </c>
      <c r="J65" s="250"/>
      <c r="K65" s="250"/>
      <c r="L65" s="250"/>
      <c r="M65" s="250"/>
      <c r="N65" s="250"/>
      <c r="O65" s="250"/>
      <c r="P65" s="250"/>
      <c r="Q65" s="250"/>
      <c r="R65" s="250"/>
      <c r="S65" s="250"/>
      <c r="T65" s="250"/>
      <c r="U65" s="250"/>
      <c r="V65" s="250"/>
      <c r="W65" s="250"/>
      <c r="X65" s="250"/>
      <c r="Y65" s="250"/>
      <c r="Z65" s="250"/>
      <c r="AA65" s="250"/>
      <c r="AB65" s="250"/>
      <c r="AC65" s="250"/>
    </row>
    <row r="66" spans="1:29" ht="15.75" customHeight="1" x14ac:dyDescent="0.25">
      <c r="A66" s="97" t="s">
        <v>705</v>
      </c>
      <c r="B66" s="249">
        <v>46250</v>
      </c>
      <c r="C66" s="246">
        <v>0.29166666666666669</v>
      </c>
      <c r="D66" s="246">
        <v>0.33333333333333331</v>
      </c>
      <c r="E66" s="250">
        <v>37.761021505575627</v>
      </c>
      <c r="F66" s="250">
        <v>6.3599515322130173</v>
      </c>
      <c r="G66" s="250">
        <v>0</v>
      </c>
      <c r="H66" s="250">
        <v>0</v>
      </c>
      <c r="I66" s="250">
        <v>0</v>
      </c>
      <c r="J66" s="250"/>
      <c r="K66" s="250"/>
      <c r="L66" s="250"/>
      <c r="M66" s="250"/>
      <c r="N66" s="250"/>
      <c r="O66" s="250"/>
      <c r="P66" s="250"/>
      <c r="Q66" s="250"/>
      <c r="R66" s="250"/>
      <c r="S66" s="250"/>
      <c r="T66" s="250"/>
      <c r="U66" s="250"/>
      <c r="V66" s="250"/>
      <c r="W66" s="250"/>
      <c r="X66" s="250"/>
      <c r="Y66" s="250"/>
      <c r="Z66" s="250"/>
      <c r="AA66" s="250"/>
      <c r="AB66" s="250"/>
      <c r="AC66" s="250"/>
    </row>
    <row r="67" spans="1:29" ht="15.75" customHeight="1" x14ac:dyDescent="0.25">
      <c r="A67" s="97" t="s">
        <v>706</v>
      </c>
      <c r="B67" s="249">
        <v>46250</v>
      </c>
      <c r="C67" s="246">
        <v>0.33333333333333331</v>
      </c>
      <c r="D67" s="246">
        <v>0.375</v>
      </c>
      <c r="E67" s="250">
        <v>36.40564516140148</v>
      </c>
      <c r="F67" s="250">
        <v>4.9788060897262767</v>
      </c>
      <c r="G67" s="250">
        <v>0</v>
      </c>
      <c r="H67" s="250">
        <v>0</v>
      </c>
      <c r="I67" s="250">
        <v>0</v>
      </c>
      <c r="J67" s="250"/>
      <c r="K67" s="250"/>
      <c r="L67" s="250"/>
      <c r="M67" s="250"/>
      <c r="N67" s="250"/>
      <c r="O67" s="250"/>
      <c r="P67" s="250"/>
      <c r="Q67" s="250"/>
      <c r="R67" s="250"/>
      <c r="S67" s="250"/>
      <c r="T67" s="250"/>
      <c r="U67" s="250"/>
      <c r="V67" s="250"/>
      <c r="W67" s="250"/>
      <c r="X67" s="250"/>
      <c r="Y67" s="250"/>
      <c r="Z67" s="250"/>
      <c r="AA67" s="250"/>
      <c r="AB67" s="250"/>
      <c r="AC67" s="250"/>
    </row>
    <row r="68" spans="1:29" ht="15.75" customHeight="1" x14ac:dyDescent="0.25">
      <c r="A68" s="97" t="s">
        <v>707</v>
      </c>
      <c r="B68" s="249">
        <v>46250</v>
      </c>
      <c r="C68" s="246">
        <v>0.375</v>
      </c>
      <c r="D68" s="246">
        <v>0.41666666666666669</v>
      </c>
      <c r="E68" s="250">
        <v>36.474999999627471</v>
      </c>
      <c r="F68" s="250">
        <v>5.2281250000232831</v>
      </c>
      <c r="G68" s="250">
        <v>0</v>
      </c>
      <c r="H68" s="250">
        <v>0</v>
      </c>
      <c r="I68" s="250">
        <v>0</v>
      </c>
      <c r="J68" s="250"/>
      <c r="K68" s="250"/>
      <c r="L68" s="250"/>
      <c r="M68" s="250"/>
      <c r="N68" s="250"/>
      <c r="O68" s="250"/>
      <c r="P68" s="250"/>
      <c r="Q68" s="250"/>
      <c r="R68" s="250"/>
      <c r="S68" s="250"/>
      <c r="T68" s="250"/>
      <c r="U68" s="250"/>
      <c r="V68" s="250"/>
      <c r="W68" s="250"/>
      <c r="X68" s="250"/>
      <c r="Y68" s="250"/>
      <c r="Z68" s="250"/>
      <c r="AA68" s="250"/>
      <c r="AB68" s="250"/>
      <c r="AC68" s="250"/>
    </row>
    <row r="69" spans="1:29" ht="15.75" customHeight="1" x14ac:dyDescent="0.25">
      <c r="A69" s="97" t="s">
        <v>728</v>
      </c>
      <c r="B69" s="249">
        <v>46251</v>
      </c>
      <c r="C69" s="246">
        <v>0.25</v>
      </c>
      <c r="D69" s="246">
        <v>0.29166666666666669</v>
      </c>
      <c r="E69" s="250">
        <v>69.470286885276437</v>
      </c>
      <c r="F69" s="250">
        <v>11.210937500116415</v>
      </c>
      <c r="G69" s="250">
        <v>0</v>
      </c>
      <c r="H69" s="250">
        <v>0</v>
      </c>
      <c r="I69" s="250">
        <v>0</v>
      </c>
      <c r="J69" s="250"/>
      <c r="K69" s="250"/>
      <c r="L69" s="250"/>
      <c r="M69" s="250"/>
      <c r="N69" s="250"/>
      <c r="O69" s="250"/>
      <c r="P69" s="250"/>
      <c r="Q69" s="250"/>
      <c r="R69" s="250"/>
      <c r="S69" s="250"/>
      <c r="T69" s="250"/>
      <c r="U69" s="250"/>
      <c r="V69" s="250"/>
      <c r="W69" s="250"/>
      <c r="X69" s="250"/>
      <c r="Y69" s="250"/>
      <c r="Z69" s="250"/>
      <c r="AA69" s="250"/>
      <c r="AB69" s="250"/>
      <c r="AC69" s="250"/>
    </row>
    <row r="70" spans="1:29" ht="15.75" customHeight="1" x14ac:dyDescent="0.25">
      <c r="A70" s="97" t="s">
        <v>729</v>
      </c>
      <c r="B70" s="249">
        <v>46251</v>
      </c>
      <c r="C70" s="246">
        <v>0.29166666666666669</v>
      </c>
      <c r="D70" s="246">
        <v>0.33333333333333331</v>
      </c>
      <c r="E70" s="250">
        <v>80.751024590339512</v>
      </c>
      <c r="F70" s="250">
        <v>13.708155487780459</v>
      </c>
      <c r="G70" s="250">
        <v>0</v>
      </c>
      <c r="H70" s="250">
        <v>0</v>
      </c>
      <c r="I70" s="250">
        <v>0</v>
      </c>
      <c r="J70" s="250"/>
      <c r="K70" s="250"/>
      <c r="L70" s="250"/>
      <c r="M70" s="250"/>
      <c r="N70" s="250"/>
      <c r="O70" s="250"/>
      <c r="P70" s="250"/>
      <c r="Q70" s="250"/>
      <c r="R70" s="250"/>
      <c r="S70" s="250"/>
      <c r="T70" s="250"/>
      <c r="U70" s="250"/>
      <c r="V70" s="250"/>
      <c r="W70" s="250"/>
      <c r="X70" s="250"/>
      <c r="Y70" s="250"/>
      <c r="Z70" s="250"/>
      <c r="AA70" s="250"/>
      <c r="AB70" s="250"/>
      <c r="AC70" s="250"/>
    </row>
    <row r="71" spans="1:29" ht="15.75" customHeight="1" x14ac:dyDescent="0.25">
      <c r="A71" s="97" t="s">
        <v>730</v>
      </c>
      <c r="B71" s="249">
        <v>46251</v>
      </c>
      <c r="C71" s="246">
        <v>0.33333333333333331</v>
      </c>
      <c r="D71" s="246">
        <v>0.375</v>
      </c>
      <c r="E71" s="250">
        <v>86.636475409846753</v>
      </c>
      <c r="F71" s="250">
        <v>10.138719512149692</v>
      </c>
      <c r="G71" s="250">
        <v>0</v>
      </c>
      <c r="H71" s="250">
        <v>0</v>
      </c>
      <c r="I71" s="250">
        <v>0</v>
      </c>
      <c r="J71" s="250"/>
      <c r="K71" s="250"/>
      <c r="L71" s="250"/>
      <c r="M71" s="250"/>
      <c r="N71" s="250"/>
      <c r="O71" s="250"/>
      <c r="P71" s="250"/>
      <c r="Q71" s="250"/>
      <c r="R71" s="250"/>
      <c r="S71" s="250"/>
      <c r="T71" s="250"/>
      <c r="U71" s="250"/>
      <c r="V71" s="250"/>
      <c r="W71" s="250"/>
      <c r="X71" s="250"/>
      <c r="Y71" s="250"/>
      <c r="Z71" s="250"/>
      <c r="AA71" s="250"/>
      <c r="AB71" s="250"/>
      <c r="AC71" s="250"/>
    </row>
    <row r="72" spans="1:29" ht="15.75" customHeight="1" x14ac:dyDescent="0.25">
      <c r="A72" s="97" t="s">
        <v>731</v>
      </c>
      <c r="B72" s="249">
        <v>46251</v>
      </c>
      <c r="C72" s="246">
        <v>0.375</v>
      </c>
      <c r="D72" s="246">
        <v>0.41666666666666669</v>
      </c>
      <c r="E72" s="250">
        <v>119.72916666651145</v>
      </c>
      <c r="F72" s="250">
        <v>23.00961538462434</v>
      </c>
      <c r="G72" s="250">
        <v>0</v>
      </c>
      <c r="H72" s="250">
        <v>0</v>
      </c>
      <c r="I72" s="250">
        <v>0</v>
      </c>
      <c r="J72" s="250"/>
      <c r="K72" s="250"/>
      <c r="L72" s="250"/>
      <c r="M72" s="250"/>
      <c r="N72" s="250"/>
      <c r="O72" s="250"/>
      <c r="P72" s="250"/>
      <c r="Q72" s="250"/>
      <c r="R72" s="250"/>
      <c r="S72" s="250"/>
      <c r="T72" s="250"/>
      <c r="U72" s="250"/>
      <c r="V72" s="250"/>
      <c r="W72" s="250"/>
      <c r="X72" s="250"/>
      <c r="Y72" s="250"/>
      <c r="Z72" s="250"/>
      <c r="AA72" s="250"/>
      <c r="AB72" s="250"/>
      <c r="AC72" s="250"/>
    </row>
    <row r="73" spans="1:29" ht="15.75" customHeight="1" x14ac:dyDescent="0.25">
      <c r="A73" s="97" t="s">
        <v>752</v>
      </c>
      <c r="B73" s="249">
        <v>46252</v>
      </c>
      <c r="C73" s="246">
        <v>0.25</v>
      </c>
      <c r="D73" s="246">
        <v>0.29166666666666669</v>
      </c>
      <c r="E73" s="250">
        <v>0</v>
      </c>
      <c r="F73" s="250">
        <v>0</v>
      </c>
      <c r="G73" s="250">
        <v>0</v>
      </c>
      <c r="H73" s="250">
        <v>0</v>
      </c>
      <c r="I73" s="250">
        <v>0</v>
      </c>
      <c r="J73" s="250"/>
      <c r="K73" s="250"/>
      <c r="L73" s="250"/>
      <c r="M73" s="250"/>
      <c r="N73" s="250"/>
      <c r="O73" s="250"/>
      <c r="P73" s="250"/>
      <c r="Q73" s="250"/>
      <c r="R73" s="250"/>
      <c r="S73" s="250"/>
      <c r="T73" s="250"/>
      <c r="U73" s="250"/>
      <c r="V73" s="250"/>
      <c r="W73" s="250"/>
      <c r="X73" s="250"/>
      <c r="Y73" s="250"/>
      <c r="Z73" s="250"/>
      <c r="AA73" s="250"/>
      <c r="AB73" s="250"/>
      <c r="AC73" s="250"/>
    </row>
    <row r="74" spans="1:29" ht="15.75" customHeight="1" x14ac:dyDescent="0.25">
      <c r="A74" s="97" t="s">
        <v>753</v>
      </c>
      <c r="B74" s="249">
        <v>46252</v>
      </c>
      <c r="C74" s="246">
        <v>0.29166666666666669</v>
      </c>
      <c r="D74" s="246">
        <v>0.33333333333333331</v>
      </c>
      <c r="E74" s="250">
        <v>0</v>
      </c>
      <c r="F74" s="250">
        <v>0</v>
      </c>
      <c r="G74" s="250">
        <v>0</v>
      </c>
      <c r="H74" s="250">
        <v>0</v>
      </c>
      <c r="I74" s="250">
        <v>0</v>
      </c>
      <c r="J74" s="250"/>
      <c r="K74" s="250"/>
      <c r="L74" s="250"/>
      <c r="M74" s="250"/>
      <c r="N74" s="250"/>
      <c r="O74" s="250"/>
      <c r="P74" s="250"/>
      <c r="Q74" s="250"/>
      <c r="R74" s="250"/>
      <c r="S74" s="250"/>
      <c r="T74" s="250"/>
      <c r="U74" s="250"/>
      <c r="V74" s="250"/>
      <c r="W74" s="250"/>
      <c r="X74" s="250"/>
      <c r="Y74" s="250"/>
      <c r="Z74" s="250"/>
      <c r="AA74" s="250"/>
      <c r="AB74" s="250"/>
      <c r="AC74" s="250"/>
    </row>
    <row r="75" spans="1:29" ht="15.75" customHeight="1" x14ac:dyDescent="0.25">
      <c r="A75" s="97" t="s">
        <v>754</v>
      </c>
      <c r="B75" s="249">
        <v>46252</v>
      </c>
      <c r="C75" s="246">
        <v>0.33333333333333331</v>
      </c>
      <c r="D75" s="246">
        <v>0.375</v>
      </c>
      <c r="E75" s="250">
        <v>0</v>
      </c>
      <c r="F75" s="250">
        <v>0</v>
      </c>
      <c r="G75" s="250">
        <v>0</v>
      </c>
      <c r="H75" s="250">
        <v>0</v>
      </c>
      <c r="I75" s="250">
        <v>0</v>
      </c>
      <c r="J75" s="250"/>
      <c r="K75" s="250"/>
      <c r="L75" s="250"/>
      <c r="M75" s="250"/>
      <c r="N75" s="250"/>
      <c r="O75" s="250"/>
      <c r="P75" s="250"/>
      <c r="Q75" s="250"/>
      <c r="R75" s="250"/>
      <c r="S75" s="250"/>
      <c r="T75" s="250"/>
      <c r="U75" s="250"/>
      <c r="V75" s="250"/>
      <c r="W75" s="250"/>
      <c r="X75" s="250"/>
      <c r="Y75" s="250"/>
      <c r="Z75" s="250"/>
      <c r="AA75" s="250"/>
      <c r="AB75" s="250"/>
      <c r="AC75" s="250"/>
    </row>
    <row r="76" spans="1:29" ht="15.75" customHeight="1" x14ac:dyDescent="0.25">
      <c r="A76" s="97" t="s">
        <v>755</v>
      </c>
      <c r="B76" s="249">
        <v>46252</v>
      </c>
      <c r="C76" s="246">
        <v>0.375</v>
      </c>
      <c r="D76" s="246">
        <v>0.41666666666666669</v>
      </c>
      <c r="E76" s="250">
        <v>0</v>
      </c>
      <c r="F76" s="250">
        <v>0</v>
      </c>
      <c r="G76" s="250">
        <v>0</v>
      </c>
      <c r="H76" s="250">
        <v>0</v>
      </c>
      <c r="I76" s="250">
        <v>0</v>
      </c>
      <c r="J76" s="250"/>
      <c r="K76" s="250"/>
      <c r="L76" s="250"/>
      <c r="M76" s="250"/>
      <c r="N76" s="250"/>
      <c r="O76" s="250"/>
      <c r="P76" s="250"/>
      <c r="Q76" s="250"/>
      <c r="R76" s="250"/>
      <c r="S76" s="250"/>
      <c r="T76" s="250"/>
      <c r="U76" s="250"/>
      <c r="V76" s="250"/>
      <c r="W76" s="250"/>
      <c r="X76" s="250"/>
      <c r="Y76" s="250"/>
      <c r="Z76" s="250"/>
      <c r="AA76" s="250"/>
      <c r="AB76" s="250"/>
      <c r="AC76" s="250"/>
    </row>
    <row r="77" spans="1:29" ht="15.75" customHeight="1" x14ac:dyDescent="0.25">
      <c r="A77" s="97" t="s">
        <v>776</v>
      </c>
      <c r="B77" s="249">
        <v>46253</v>
      </c>
      <c r="C77" s="246">
        <v>0.25</v>
      </c>
      <c r="D77" s="246">
        <v>0.29166666666666669</v>
      </c>
      <c r="E77" s="250">
        <v>0</v>
      </c>
      <c r="F77" s="250">
        <v>0</v>
      </c>
      <c r="G77" s="250">
        <v>0</v>
      </c>
      <c r="H77" s="250">
        <v>0</v>
      </c>
      <c r="I77" s="250">
        <v>0</v>
      </c>
      <c r="J77" s="250"/>
      <c r="K77" s="250"/>
      <c r="L77" s="250"/>
      <c r="M77" s="250"/>
      <c r="N77" s="250"/>
      <c r="O77" s="250"/>
      <c r="P77" s="250"/>
      <c r="Q77" s="250"/>
      <c r="R77" s="250"/>
      <c r="S77" s="250"/>
      <c r="T77" s="250"/>
      <c r="U77" s="250"/>
      <c r="V77" s="250"/>
      <c r="W77" s="250"/>
      <c r="X77" s="250"/>
      <c r="Y77" s="250"/>
      <c r="Z77" s="250"/>
      <c r="AA77" s="250"/>
      <c r="AB77" s="250"/>
      <c r="AC77" s="250"/>
    </row>
    <row r="78" spans="1:29" ht="15.75" customHeight="1" x14ac:dyDescent="0.25">
      <c r="A78" s="97" t="s">
        <v>777</v>
      </c>
      <c r="B78" s="249">
        <v>46253</v>
      </c>
      <c r="C78" s="246">
        <v>0.29166666666666669</v>
      </c>
      <c r="D78" s="246">
        <v>0.33333333333333331</v>
      </c>
      <c r="E78" s="250">
        <v>0</v>
      </c>
      <c r="F78" s="250">
        <v>0</v>
      </c>
      <c r="G78" s="250">
        <v>0</v>
      </c>
      <c r="H78" s="250">
        <v>0</v>
      </c>
      <c r="I78" s="250">
        <v>0</v>
      </c>
      <c r="J78" s="250"/>
      <c r="K78" s="250"/>
      <c r="L78" s="250"/>
      <c r="M78" s="250"/>
      <c r="N78" s="250"/>
      <c r="O78" s="250"/>
      <c r="P78" s="250"/>
      <c r="Q78" s="250"/>
      <c r="R78" s="250"/>
      <c r="S78" s="250"/>
      <c r="T78" s="250"/>
      <c r="U78" s="250"/>
      <c r="V78" s="250"/>
      <c r="W78" s="250"/>
      <c r="X78" s="250"/>
      <c r="Y78" s="250"/>
      <c r="Z78" s="250"/>
      <c r="AA78" s="250"/>
      <c r="AB78" s="250"/>
      <c r="AC78" s="250"/>
    </row>
    <row r="79" spans="1:29" ht="15.75" customHeight="1" x14ac:dyDescent="0.25">
      <c r="A79" s="97" t="s">
        <v>778</v>
      </c>
      <c r="B79" s="249">
        <v>46253</v>
      </c>
      <c r="C79" s="246">
        <v>0.33333333333333331</v>
      </c>
      <c r="D79" s="246">
        <v>0.375</v>
      </c>
      <c r="E79" s="250">
        <v>0</v>
      </c>
      <c r="F79" s="250">
        <v>0</v>
      </c>
      <c r="G79" s="250">
        <v>0</v>
      </c>
      <c r="H79" s="250">
        <v>0</v>
      </c>
      <c r="I79" s="250">
        <v>0</v>
      </c>
      <c r="J79" s="250"/>
      <c r="K79" s="250"/>
      <c r="L79" s="250"/>
      <c r="M79" s="250"/>
      <c r="N79" s="250"/>
      <c r="O79" s="250"/>
      <c r="P79" s="250"/>
      <c r="Q79" s="250"/>
      <c r="R79" s="250"/>
      <c r="S79" s="250"/>
      <c r="T79" s="250"/>
      <c r="U79" s="250"/>
      <c r="V79" s="250"/>
      <c r="W79" s="250"/>
      <c r="X79" s="250"/>
      <c r="Y79" s="250"/>
      <c r="Z79" s="250"/>
      <c r="AA79" s="250"/>
      <c r="AB79" s="250"/>
      <c r="AC79" s="250"/>
    </row>
    <row r="80" spans="1:29" ht="15.75" customHeight="1" x14ac:dyDescent="0.25">
      <c r="A80" s="97" t="s">
        <v>779</v>
      </c>
      <c r="B80" s="249">
        <v>46253</v>
      </c>
      <c r="C80" s="246">
        <v>0.375</v>
      </c>
      <c r="D80" s="246">
        <v>0.41666666666666669</v>
      </c>
      <c r="E80" s="250">
        <v>0</v>
      </c>
      <c r="F80" s="250">
        <v>0</v>
      </c>
      <c r="G80" s="250">
        <v>0</v>
      </c>
      <c r="H80" s="250">
        <v>0</v>
      </c>
      <c r="I80" s="250">
        <v>0</v>
      </c>
      <c r="J80" s="250"/>
      <c r="K80" s="250"/>
      <c r="L80" s="250"/>
      <c r="M80" s="250"/>
      <c r="N80" s="250"/>
      <c r="O80" s="250"/>
      <c r="P80" s="250"/>
      <c r="Q80" s="250"/>
      <c r="R80" s="250"/>
      <c r="S80" s="250"/>
      <c r="T80" s="250"/>
      <c r="U80" s="250"/>
      <c r="V80" s="250"/>
      <c r="W80" s="250"/>
      <c r="X80" s="250"/>
      <c r="Y80" s="250"/>
      <c r="Z80" s="250"/>
      <c r="AA80" s="250"/>
      <c r="AB80" s="250"/>
      <c r="AC80" s="250"/>
    </row>
    <row r="81" spans="1:29" ht="15.75" customHeight="1" x14ac:dyDescent="0.25">
      <c r="A81" s="97" t="s">
        <v>800</v>
      </c>
      <c r="B81" s="249">
        <v>46254</v>
      </c>
      <c r="C81" s="246">
        <v>0.25</v>
      </c>
      <c r="D81" s="246">
        <v>0.29166666666666669</v>
      </c>
      <c r="E81" s="250">
        <v>0</v>
      </c>
      <c r="F81" s="250">
        <v>0</v>
      </c>
      <c r="G81" s="250">
        <v>0</v>
      </c>
      <c r="H81" s="250">
        <v>0</v>
      </c>
      <c r="I81" s="250">
        <v>0</v>
      </c>
      <c r="J81" s="250"/>
      <c r="K81" s="250"/>
      <c r="L81" s="250"/>
      <c r="M81" s="250"/>
      <c r="N81" s="250"/>
      <c r="O81" s="250"/>
      <c r="P81" s="250"/>
      <c r="Q81" s="250"/>
      <c r="R81" s="250"/>
      <c r="S81" s="250"/>
      <c r="T81" s="250"/>
      <c r="U81" s="250"/>
      <c r="V81" s="250"/>
      <c r="W81" s="250"/>
      <c r="X81" s="250"/>
      <c r="Y81" s="250"/>
      <c r="Z81" s="250"/>
      <c r="AA81" s="250"/>
      <c r="AB81" s="250"/>
      <c r="AC81" s="250"/>
    </row>
    <row r="82" spans="1:29" ht="15.75" customHeight="1" x14ac:dyDescent="0.25">
      <c r="A82" s="97" t="s">
        <v>801</v>
      </c>
      <c r="B82" s="249">
        <v>46254</v>
      </c>
      <c r="C82" s="246">
        <v>0.29166666666666669</v>
      </c>
      <c r="D82" s="246">
        <v>0.33333333333333331</v>
      </c>
      <c r="E82" s="250">
        <v>0</v>
      </c>
      <c r="F82" s="250">
        <v>0</v>
      </c>
      <c r="G82" s="250">
        <v>0</v>
      </c>
      <c r="H82" s="250">
        <v>0</v>
      </c>
      <c r="I82" s="250">
        <v>0</v>
      </c>
      <c r="J82" s="250"/>
      <c r="K82" s="250"/>
      <c r="L82" s="250"/>
      <c r="M82" s="250"/>
      <c r="N82" s="250"/>
      <c r="O82" s="250"/>
      <c r="P82" s="250"/>
      <c r="Q82" s="250"/>
      <c r="R82" s="250"/>
      <c r="S82" s="250"/>
      <c r="T82" s="250"/>
      <c r="U82" s="250"/>
      <c r="V82" s="250"/>
      <c r="W82" s="250"/>
      <c r="X82" s="250"/>
      <c r="Y82" s="250"/>
      <c r="Z82" s="250"/>
      <c r="AA82" s="250"/>
      <c r="AB82" s="250"/>
      <c r="AC82" s="250"/>
    </row>
    <row r="83" spans="1:29" ht="15.75" customHeight="1" x14ac:dyDescent="0.25">
      <c r="A83" s="97" t="s">
        <v>802</v>
      </c>
      <c r="B83" s="249">
        <v>46254</v>
      </c>
      <c r="C83" s="246">
        <v>0.33333333333333331</v>
      </c>
      <c r="D83" s="246">
        <v>0.375</v>
      </c>
      <c r="E83" s="250">
        <v>0</v>
      </c>
      <c r="F83" s="250">
        <v>0</v>
      </c>
      <c r="G83" s="250">
        <v>0</v>
      </c>
      <c r="H83" s="250">
        <v>0</v>
      </c>
      <c r="I83" s="250">
        <v>0</v>
      </c>
      <c r="J83" s="250"/>
      <c r="K83" s="250"/>
      <c r="L83" s="250"/>
      <c r="M83" s="250"/>
      <c r="N83" s="250"/>
      <c r="O83" s="250"/>
      <c r="P83" s="250"/>
      <c r="Q83" s="250"/>
      <c r="R83" s="250"/>
      <c r="S83" s="250"/>
      <c r="T83" s="250"/>
      <c r="U83" s="250"/>
      <c r="V83" s="250"/>
      <c r="W83" s="250"/>
      <c r="X83" s="250"/>
      <c r="Y83" s="250"/>
      <c r="Z83" s="250"/>
      <c r="AA83" s="250"/>
      <c r="AB83" s="250"/>
      <c r="AC83" s="250"/>
    </row>
    <row r="84" spans="1:29" ht="15.75" customHeight="1" x14ac:dyDescent="0.25">
      <c r="A84" s="97" t="s">
        <v>803</v>
      </c>
      <c r="B84" s="249">
        <v>46254</v>
      </c>
      <c r="C84" s="246">
        <v>0.375</v>
      </c>
      <c r="D84" s="246">
        <v>0.41666666666666669</v>
      </c>
      <c r="E84" s="250">
        <v>0</v>
      </c>
      <c r="F84" s="250">
        <v>0</v>
      </c>
      <c r="G84" s="250">
        <v>0</v>
      </c>
      <c r="H84" s="250">
        <v>0</v>
      </c>
      <c r="I84" s="250">
        <v>0</v>
      </c>
      <c r="J84" s="250"/>
      <c r="K84" s="250"/>
      <c r="L84" s="250"/>
      <c r="M84" s="250"/>
      <c r="N84" s="250"/>
      <c r="O84" s="250"/>
      <c r="P84" s="250"/>
      <c r="Q84" s="250"/>
      <c r="R84" s="250"/>
      <c r="S84" s="250"/>
      <c r="T84" s="250"/>
      <c r="U84" s="250"/>
      <c r="V84" s="250"/>
      <c r="W84" s="250"/>
      <c r="X84" s="250"/>
      <c r="Y84" s="250"/>
      <c r="Z84" s="250"/>
      <c r="AA84" s="250"/>
      <c r="AB84" s="250"/>
      <c r="AC84" s="250"/>
    </row>
    <row r="85" spans="1:29" ht="15.75" customHeight="1" x14ac:dyDescent="0.25">
      <c r="A85" s="97" t="s">
        <v>824</v>
      </c>
      <c r="B85" s="249">
        <v>46255</v>
      </c>
      <c r="C85" s="246">
        <v>0.25</v>
      </c>
      <c r="D85" s="246">
        <v>0.29166666666666669</v>
      </c>
      <c r="E85" s="250">
        <v>0</v>
      </c>
      <c r="F85" s="250">
        <v>0</v>
      </c>
      <c r="G85" s="250">
        <v>0</v>
      </c>
      <c r="H85" s="250">
        <v>0</v>
      </c>
      <c r="I85" s="250">
        <v>0</v>
      </c>
      <c r="J85" s="250"/>
      <c r="K85" s="250"/>
      <c r="L85" s="250"/>
      <c r="M85" s="250"/>
      <c r="N85" s="250"/>
      <c r="O85" s="250"/>
      <c r="P85" s="250"/>
      <c r="Q85" s="250"/>
      <c r="R85" s="250"/>
      <c r="S85" s="250"/>
      <c r="T85" s="250"/>
      <c r="U85" s="250"/>
      <c r="V85" s="250"/>
      <c r="W85" s="250"/>
      <c r="X85" s="250"/>
      <c r="Y85" s="250"/>
      <c r="Z85" s="250"/>
      <c r="AA85" s="250"/>
      <c r="AB85" s="250"/>
      <c r="AC85" s="250"/>
    </row>
    <row r="86" spans="1:29" ht="15.75" customHeight="1" x14ac:dyDescent="0.25">
      <c r="A86" s="97" t="s">
        <v>825</v>
      </c>
      <c r="B86" s="249">
        <v>46255</v>
      </c>
      <c r="C86" s="246">
        <v>0.29166666666666669</v>
      </c>
      <c r="D86" s="246">
        <v>0.33333333333333331</v>
      </c>
      <c r="E86" s="250">
        <v>0</v>
      </c>
      <c r="F86" s="250">
        <v>0</v>
      </c>
      <c r="G86" s="250">
        <v>0</v>
      </c>
      <c r="H86" s="250">
        <v>0</v>
      </c>
      <c r="I86" s="250">
        <v>0</v>
      </c>
      <c r="J86" s="250"/>
      <c r="K86" s="250"/>
      <c r="L86" s="250"/>
      <c r="M86" s="250"/>
      <c r="N86" s="250"/>
      <c r="O86" s="250"/>
      <c r="P86" s="250"/>
      <c r="Q86" s="250"/>
      <c r="R86" s="250"/>
      <c r="S86" s="250"/>
      <c r="T86" s="250"/>
      <c r="U86" s="250"/>
      <c r="V86" s="250"/>
      <c r="W86" s="250"/>
      <c r="X86" s="250"/>
      <c r="Y86" s="250"/>
      <c r="Z86" s="250"/>
      <c r="AA86" s="250"/>
      <c r="AB86" s="250"/>
      <c r="AC86" s="250"/>
    </row>
    <row r="87" spans="1:29" ht="15.75" customHeight="1" x14ac:dyDescent="0.25">
      <c r="A87" s="97" t="s">
        <v>826</v>
      </c>
      <c r="B87" s="249">
        <v>46255</v>
      </c>
      <c r="C87" s="246">
        <v>0.33333333333333331</v>
      </c>
      <c r="D87" s="246">
        <v>0.375</v>
      </c>
      <c r="E87" s="250">
        <v>0</v>
      </c>
      <c r="F87" s="250">
        <v>0</v>
      </c>
      <c r="G87" s="250">
        <v>0</v>
      </c>
      <c r="H87" s="250">
        <v>0</v>
      </c>
      <c r="I87" s="250">
        <v>0</v>
      </c>
      <c r="J87" s="250"/>
      <c r="K87" s="250"/>
      <c r="L87" s="250"/>
      <c r="M87" s="250"/>
      <c r="N87" s="250"/>
      <c r="O87" s="250"/>
      <c r="P87" s="250"/>
      <c r="Q87" s="250"/>
      <c r="R87" s="250"/>
      <c r="S87" s="250"/>
      <c r="T87" s="250"/>
      <c r="U87" s="250"/>
      <c r="V87" s="250"/>
      <c r="W87" s="250"/>
      <c r="X87" s="250"/>
      <c r="Y87" s="250"/>
      <c r="Z87" s="250"/>
      <c r="AA87" s="250"/>
      <c r="AB87" s="250"/>
      <c r="AC87" s="250"/>
    </row>
    <row r="88" spans="1:29" ht="15.75" customHeight="1" x14ac:dyDescent="0.25">
      <c r="A88" s="97" t="s">
        <v>827</v>
      </c>
      <c r="B88" s="249">
        <v>46255</v>
      </c>
      <c r="C88" s="246">
        <v>0.375</v>
      </c>
      <c r="D88" s="246">
        <v>0.41666666666666669</v>
      </c>
      <c r="E88" s="250">
        <v>0</v>
      </c>
      <c r="F88" s="250">
        <v>0</v>
      </c>
      <c r="G88" s="250">
        <v>0</v>
      </c>
      <c r="H88" s="250">
        <v>0</v>
      </c>
      <c r="I88" s="250">
        <v>0</v>
      </c>
      <c r="J88" s="250"/>
      <c r="K88" s="250"/>
      <c r="L88" s="250"/>
      <c r="M88" s="250"/>
      <c r="N88" s="250"/>
      <c r="O88" s="250"/>
      <c r="P88" s="250"/>
      <c r="Q88" s="250"/>
      <c r="R88" s="250"/>
      <c r="S88" s="250"/>
      <c r="T88" s="250"/>
      <c r="U88" s="250"/>
      <c r="V88" s="250"/>
      <c r="W88" s="250"/>
      <c r="X88" s="250"/>
      <c r="Y88" s="250"/>
      <c r="Z88" s="250"/>
      <c r="AA88" s="250"/>
      <c r="AB88" s="250"/>
      <c r="AC88" s="250"/>
    </row>
    <row r="89" spans="1:29" ht="15.75" customHeight="1" x14ac:dyDescent="0.25">
      <c r="A89" s="97" t="s">
        <v>848</v>
      </c>
      <c r="B89" s="249">
        <v>46256</v>
      </c>
      <c r="C89" s="246">
        <v>0.25</v>
      </c>
      <c r="D89" s="246">
        <v>0.29166666666666669</v>
      </c>
      <c r="E89" s="250">
        <v>0</v>
      </c>
      <c r="F89" s="250">
        <v>0</v>
      </c>
      <c r="G89" s="250">
        <v>0</v>
      </c>
      <c r="H89" s="250">
        <v>0</v>
      </c>
      <c r="I89" s="250">
        <v>0</v>
      </c>
      <c r="J89" s="250"/>
      <c r="K89" s="250"/>
      <c r="L89" s="250"/>
      <c r="M89" s="250"/>
      <c r="N89" s="250"/>
      <c r="O89" s="250"/>
      <c r="P89" s="250"/>
      <c r="Q89" s="250"/>
      <c r="R89" s="250"/>
      <c r="S89" s="250"/>
      <c r="T89" s="250"/>
      <c r="U89" s="250"/>
      <c r="V89" s="250"/>
      <c r="W89" s="250"/>
      <c r="X89" s="250"/>
      <c r="Y89" s="250"/>
      <c r="Z89" s="250"/>
      <c r="AA89" s="250"/>
      <c r="AB89" s="250"/>
      <c r="AC89" s="250"/>
    </row>
    <row r="90" spans="1:29" ht="15.75" customHeight="1" x14ac:dyDescent="0.25">
      <c r="A90" s="97" t="s">
        <v>849</v>
      </c>
      <c r="B90" s="249">
        <v>46256</v>
      </c>
      <c r="C90" s="246">
        <v>0.29166666666666669</v>
      </c>
      <c r="D90" s="246">
        <v>0.33333333333333331</v>
      </c>
      <c r="E90" s="250">
        <v>0</v>
      </c>
      <c r="F90" s="250">
        <v>0</v>
      </c>
      <c r="G90" s="250">
        <v>0</v>
      </c>
      <c r="H90" s="250">
        <v>0</v>
      </c>
      <c r="I90" s="250">
        <v>0</v>
      </c>
      <c r="J90" s="250"/>
      <c r="K90" s="250"/>
      <c r="L90" s="250"/>
      <c r="M90" s="250"/>
      <c r="N90" s="250"/>
      <c r="O90" s="250"/>
      <c r="P90" s="250"/>
      <c r="Q90" s="250"/>
      <c r="R90" s="250"/>
      <c r="S90" s="250"/>
      <c r="T90" s="250"/>
      <c r="U90" s="250"/>
      <c r="V90" s="250"/>
      <c r="W90" s="250"/>
      <c r="X90" s="250"/>
      <c r="Y90" s="250"/>
      <c r="Z90" s="250"/>
      <c r="AA90" s="250"/>
      <c r="AB90" s="250"/>
      <c r="AC90" s="250"/>
    </row>
    <row r="91" spans="1:29" ht="15.75" customHeight="1" x14ac:dyDescent="0.25">
      <c r="A91" s="97" t="s">
        <v>850</v>
      </c>
      <c r="B91" s="249">
        <v>46256</v>
      </c>
      <c r="C91" s="246">
        <v>0.33333333333333331</v>
      </c>
      <c r="D91" s="246">
        <v>0.375</v>
      </c>
      <c r="E91" s="250">
        <v>0</v>
      </c>
      <c r="F91" s="250">
        <v>0</v>
      </c>
      <c r="G91" s="250">
        <v>0</v>
      </c>
      <c r="H91" s="250">
        <v>0</v>
      </c>
      <c r="I91" s="250">
        <v>0</v>
      </c>
      <c r="J91" s="250"/>
      <c r="K91" s="250"/>
      <c r="L91" s="250"/>
      <c r="M91" s="250"/>
      <c r="N91" s="250"/>
      <c r="O91" s="250"/>
      <c r="P91" s="250"/>
      <c r="Q91" s="250"/>
      <c r="R91" s="250"/>
      <c r="S91" s="250"/>
      <c r="T91" s="250"/>
      <c r="U91" s="250"/>
      <c r="V91" s="250"/>
      <c r="W91" s="250"/>
      <c r="X91" s="250"/>
      <c r="Y91" s="250"/>
      <c r="Z91" s="250"/>
      <c r="AA91" s="250"/>
      <c r="AB91" s="250"/>
      <c r="AC91" s="250"/>
    </row>
    <row r="92" spans="1:29" ht="15.75" customHeight="1" x14ac:dyDescent="0.25">
      <c r="A92" s="97" t="s">
        <v>851</v>
      </c>
      <c r="B92" s="249">
        <v>46256</v>
      </c>
      <c r="C92" s="246">
        <v>0.375</v>
      </c>
      <c r="D92" s="246">
        <v>0.41666666666666669</v>
      </c>
      <c r="E92" s="250">
        <v>0</v>
      </c>
      <c r="F92" s="250">
        <v>0</v>
      </c>
      <c r="G92" s="250">
        <v>0</v>
      </c>
      <c r="H92" s="250">
        <v>0</v>
      </c>
      <c r="I92" s="250">
        <v>0</v>
      </c>
      <c r="J92" s="250"/>
      <c r="K92" s="250"/>
      <c r="L92" s="250"/>
      <c r="M92" s="250"/>
      <c r="N92" s="250"/>
      <c r="O92" s="250"/>
      <c r="P92" s="250"/>
      <c r="Q92" s="250"/>
      <c r="R92" s="250"/>
      <c r="S92" s="250"/>
      <c r="T92" s="250"/>
      <c r="U92" s="250"/>
      <c r="V92" s="250"/>
      <c r="W92" s="250"/>
      <c r="X92" s="250"/>
      <c r="Y92" s="250"/>
      <c r="Z92" s="250"/>
      <c r="AA92" s="250"/>
      <c r="AB92" s="250"/>
      <c r="AC92" s="250"/>
    </row>
    <row r="93" spans="1:29" ht="15.75" customHeight="1" x14ac:dyDescent="0.25">
      <c r="A93" s="97" t="s">
        <v>872</v>
      </c>
      <c r="B93" s="249">
        <v>46257</v>
      </c>
      <c r="C93" s="246">
        <v>0.25</v>
      </c>
      <c r="D93" s="246">
        <v>0.29166666666666669</v>
      </c>
      <c r="E93" s="250">
        <v>0</v>
      </c>
      <c r="F93" s="250">
        <v>0</v>
      </c>
      <c r="G93" s="250">
        <v>0</v>
      </c>
      <c r="H93" s="250">
        <v>0</v>
      </c>
      <c r="I93" s="250">
        <v>0</v>
      </c>
      <c r="J93" s="250"/>
      <c r="K93" s="250"/>
      <c r="L93" s="250"/>
      <c r="M93" s="250"/>
      <c r="N93" s="250"/>
      <c r="O93" s="250"/>
      <c r="P93" s="250"/>
      <c r="Q93" s="250"/>
      <c r="R93" s="250"/>
      <c r="S93" s="250"/>
      <c r="T93" s="250"/>
      <c r="U93" s="250"/>
      <c r="V93" s="250"/>
      <c r="W93" s="250"/>
      <c r="X93" s="250"/>
      <c r="Y93" s="250"/>
      <c r="Z93" s="250"/>
      <c r="AA93" s="250"/>
      <c r="AB93" s="250"/>
      <c r="AC93" s="250"/>
    </row>
    <row r="94" spans="1:29" ht="15.75" customHeight="1" x14ac:dyDescent="0.25">
      <c r="A94" s="97" t="s">
        <v>873</v>
      </c>
      <c r="B94" s="249">
        <v>46257</v>
      </c>
      <c r="C94" s="246">
        <v>0.29166666666666669</v>
      </c>
      <c r="D94" s="246">
        <v>0.33333333333333331</v>
      </c>
      <c r="E94" s="250">
        <v>0</v>
      </c>
      <c r="F94" s="250">
        <v>0</v>
      </c>
      <c r="G94" s="250">
        <v>0</v>
      </c>
      <c r="H94" s="250">
        <v>0</v>
      </c>
      <c r="I94" s="250">
        <v>0</v>
      </c>
      <c r="J94" s="250"/>
      <c r="K94" s="250"/>
      <c r="L94" s="250"/>
      <c r="M94" s="250"/>
      <c r="N94" s="250"/>
      <c r="O94" s="250"/>
      <c r="P94" s="250"/>
      <c r="Q94" s="250"/>
      <c r="R94" s="250"/>
      <c r="S94" s="250"/>
      <c r="T94" s="250"/>
      <c r="U94" s="250"/>
      <c r="V94" s="250"/>
      <c r="W94" s="250"/>
      <c r="X94" s="250"/>
      <c r="Y94" s="250"/>
      <c r="Z94" s="250"/>
      <c r="AA94" s="250"/>
      <c r="AB94" s="250"/>
      <c r="AC94" s="250"/>
    </row>
    <row r="95" spans="1:29" ht="15.75" customHeight="1" x14ac:dyDescent="0.25">
      <c r="A95" s="97" t="s">
        <v>874</v>
      </c>
      <c r="B95" s="249">
        <v>46257</v>
      </c>
      <c r="C95" s="246">
        <v>0.33333333333333331</v>
      </c>
      <c r="D95" s="246">
        <v>0.375</v>
      </c>
      <c r="E95" s="250">
        <v>0</v>
      </c>
      <c r="F95" s="250">
        <v>0</v>
      </c>
      <c r="G95" s="250">
        <v>0</v>
      </c>
      <c r="H95" s="250">
        <v>0</v>
      </c>
      <c r="I95" s="250">
        <v>0</v>
      </c>
      <c r="J95" s="250"/>
      <c r="K95" s="250"/>
      <c r="L95" s="250"/>
      <c r="M95" s="250"/>
      <c r="N95" s="250"/>
      <c r="O95" s="250"/>
      <c r="P95" s="250"/>
      <c r="Q95" s="250"/>
      <c r="R95" s="250"/>
      <c r="S95" s="250"/>
      <c r="T95" s="250"/>
      <c r="U95" s="250"/>
      <c r="V95" s="250"/>
      <c r="W95" s="250"/>
      <c r="X95" s="250"/>
      <c r="Y95" s="250"/>
      <c r="Z95" s="250"/>
      <c r="AA95" s="250"/>
      <c r="AB95" s="250"/>
      <c r="AC95" s="250"/>
    </row>
    <row r="96" spans="1:29" ht="15.75" customHeight="1" x14ac:dyDescent="0.25">
      <c r="A96" s="97" t="s">
        <v>875</v>
      </c>
      <c r="B96" s="249">
        <v>46257</v>
      </c>
      <c r="C96" s="246">
        <v>0.375</v>
      </c>
      <c r="D96" s="246">
        <v>0.41666666666666669</v>
      </c>
      <c r="E96" s="250">
        <v>0</v>
      </c>
      <c r="F96" s="250">
        <v>0</v>
      </c>
      <c r="G96" s="250">
        <v>0</v>
      </c>
      <c r="H96" s="250">
        <v>0</v>
      </c>
      <c r="I96" s="250">
        <v>0</v>
      </c>
      <c r="J96" s="250"/>
      <c r="K96" s="250"/>
      <c r="L96" s="250"/>
      <c r="M96" s="250"/>
      <c r="N96" s="250"/>
      <c r="O96" s="250"/>
      <c r="P96" s="250"/>
      <c r="Q96" s="250"/>
      <c r="R96" s="250"/>
      <c r="S96" s="250"/>
      <c r="T96" s="250"/>
      <c r="U96" s="250"/>
      <c r="V96" s="250"/>
      <c r="W96" s="250"/>
      <c r="X96" s="250"/>
      <c r="Y96" s="250"/>
      <c r="Z96" s="250"/>
      <c r="AA96" s="250"/>
      <c r="AB96" s="250"/>
      <c r="AC96" s="250"/>
    </row>
    <row r="97" spans="1:29" ht="15.75" customHeight="1" x14ac:dyDescent="0.25">
      <c r="A97" s="97" t="s">
        <v>896</v>
      </c>
      <c r="B97" s="249">
        <v>46258</v>
      </c>
      <c r="C97" s="246">
        <v>0.25</v>
      </c>
      <c r="D97" s="246">
        <v>0.29166666666666669</v>
      </c>
      <c r="E97" s="250">
        <v>0</v>
      </c>
      <c r="F97" s="250">
        <v>0</v>
      </c>
      <c r="G97" s="250">
        <v>0</v>
      </c>
      <c r="H97" s="250">
        <v>0</v>
      </c>
      <c r="I97" s="250">
        <v>0</v>
      </c>
      <c r="J97" s="250"/>
      <c r="K97" s="250"/>
      <c r="L97" s="250"/>
      <c r="M97" s="250"/>
      <c r="N97" s="250"/>
      <c r="O97" s="250"/>
      <c r="P97" s="250"/>
      <c r="Q97" s="250"/>
      <c r="R97" s="250"/>
      <c r="S97" s="250"/>
      <c r="T97" s="250"/>
      <c r="U97" s="250"/>
      <c r="V97" s="250"/>
      <c r="W97" s="250"/>
      <c r="X97" s="250"/>
      <c r="Y97" s="250"/>
      <c r="Z97" s="250"/>
      <c r="AA97" s="250"/>
      <c r="AB97" s="250"/>
      <c r="AC97" s="250"/>
    </row>
    <row r="98" spans="1:29" ht="15.75" customHeight="1" x14ac:dyDescent="0.25">
      <c r="A98" s="97" t="s">
        <v>897</v>
      </c>
      <c r="B98" s="249">
        <v>46258</v>
      </c>
      <c r="C98" s="246">
        <v>0.29166666666666669</v>
      </c>
      <c r="D98" s="246">
        <v>0.33333333333333331</v>
      </c>
      <c r="E98" s="250">
        <v>0</v>
      </c>
      <c r="F98" s="250">
        <v>0</v>
      </c>
      <c r="G98" s="250">
        <v>0</v>
      </c>
      <c r="H98" s="250">
        <v>0</v>
      </c>
      <c r="I98" s="250">
        <v>0</v>
      </c>
      <c r="J98" s="250"/>
      <c r="K98" s="250"/>
      <c r="L98" s="250"/>
      <c r="M98" s="250"/>
      <c r="N98" s="250"/>
      <c r="O98" s="250"/>
      <c r="P98" s="250"/>
      <c r="Q98" s="250"/>
      <c r="R98" s="250"/>
      <c r="S98" s="250"/>
      <c r="T98" s="250"/>
      <c r="U98" s="250"/>
      <c r="V98" s="250"/>
      <c r="W98" s="250"/>
      <c r="X98" s="250"/>
      <c r="Y98" s="250"/>
      <c r="Z98" s="250"/>
      <c r="AA98" s="250"/>
      <c r="AB98" s="250"/>
      <c r="AC98" s="250"/>
    </row>
    <row r="99" spans="1:29" ht="15.75" customHeight="1" x14ac:dyDescent="0.25">
      <c r="A99" s="97" t="s">
        <v>898</v>
      </c>
      <c r="B99" s="249">
        <v>46258</v>
      </c>
      <c r="C99" s="246">
        <v>0.33333333333333331</v>
      </c>
      <c r="D99" s="246">
        <v>0.375</v>
      </c>
      <c r="E99" s="250">
        <v>0</v>
      </c>
      <c r="F99" s="250">
        <v>0</v>
      </c>
      <c r="G99" s="250">
        <v>0</v>
      </c>
      <c r="H99" s="250">
        <v>0</v>
      </c>
      <c r="I99" s="250">
        <v>0</v>
      </c>
      <c r="J99" s="250"/>
      <c r="K99" s="250"/>
      <c r="L99" s="250"/>
      <c r="M99" s="250"/>
      <c r="N99" s="250"/>
      <c r="O99" s="250"/>
      <c r="P99" s="250"/>
      <c r="Q99" s="250"/>
      <c r="R99" s="250"/>
      <c r="S99" s="250"/>
      <c r="T99" s="250"/>
      <c r="U99" s="250"/>
      <c r="V99" s="250"/>
      <c r="W99" s="250"/>
      <c r="X99" s="250"/>
      <c r="Y99" s="250"/>
      <c r="Z99" s="250"/>
      <c r="AA99" s="250"/>
      <c r="AB99" s="250"/>
      <c r="AC99" s="250"/>
    </row>
    <row r="100" spans="1:29" ht="15.75" customHeight="1" x14ac:dyDescent="0.25">
      <c r="A100" s="97" t="s">
        <v>899</v>
      </c>
      <c r="B100" s="249">
        <v>46258</v>
      </c>
      <c r="C100" s="246">
        <v>0.375</v>
      </c>
      <c r="D100" s="246">
        <v>0.41666666666666669</v>
      </c>
      <c r="E100" s="250">
        <v>0</v>
      </c>
      <c r="F100" s="250">
        <v>0</v>
      </c>
      <c r="G100" s="250">
        <v>0</v>
      </c>
      <c r="H100" s="250">
        <v>0</v>
      </c>
      <c r="I100" s="250">
        <v>0</v>
      </c>
      <c r="J100" s="250"/>
      <c r="K100" s="250"/>
      <c r="L100" s="250"/>
      <c r="M100" s="250"/>
      <c r="N100" s="250"/>
      <c r="O100" s="250"/>
      <c r="P100" s="250"/>
      <c r="Q100" s="250"/>
      <c r="R100" s="250"/>
      <c r="S100" s="250"/>
      <c r="T100" s="250"/>
      <c r="U100" s="250"/>
      <c r="V100" s="250"/>
      <c r="W100" s="250"/>
      <c r="X100" s="250"/>
      <c r="Y100" s="250"/>
      <c r="Z100" s="250"/>
      <c r="AA100" s="250"/>
      <c r="AB100" s="250"/>
      <c r="AC100" s="250"/>
    </row>
    <row r="101" spans="1:29" ht="15.75" customHeight="1" x14ac:dyDescent="0.25">
      <c r="A101" s="97" t="s">
        <v>920</v>
      </c>
      <c r="B101" s="249">
        <v>46259</v>
      </c>
      <c r="C101" s="246">
        <v>0.25</v>
      </c>
      <c r="D101" s="246">
        <v>0.29166666666666669</v>
      </c>
      <c r="E101" s="250">
        <v>0</v>
      </c>
      <c r="F101" s="250">
        <v>0</v>
      </c>
      <c r="G101" s="250">
        <v>0</v>
      </c>
      <c r="H101" s="250">
        <v>0</v>
      </c>
      <c r="I101" s="250">
        <v>0</v>
      </c>
      <c r="J101" s="250"/>
      <c r="K101" s="250"/>
      <c r="L101" s="250"/>
      <c r="M101" s="250"/>
      <c r="N101" s="250"/>
      <c r="O101" s="250"/>
      <c r="P101" s="250"/>
      <c r="Q101" s="250"/>
      <c r="R101" s="250"/>
      <c r="S101" s="250"/>
      <c r="T101" s="250"/>
      <c r="U101" s="250"/>
      <c r="V101" s="250"/>
      <c r="W101" s="250"/>
      <c r="X101" s="250"/>
      <c r="Y101" s="250"/>
      <c r="Z101" s="250"/>
      <c r="AA101" s="250"/>
      <c r="AB101" s="250"/>
      <c r="AC101" s="250"/>
    </row>
    <row r="102" spans="1:29" ht="15.75" customHeight="1" x14ac:dyDescent="0.25">
      <c r="A102" s="97" t="s">
        <v>921</v>
      </c>
      <c r="B102" s="249">
        <v>46259</v>
      </c>
      <c r="C102" s="246">
        <v>0.29166666666666669</v>
      </c>
      <c r="D102" s="246">
        <v>0.33333333333333331</v>
      </c>
      <c r="E102" s="250">
        <v>0</v>
      </c>
      <c r="F102" s="250">
        <v>0</v>
      </c>
      <c r="G102" s="250">
        <v>0</v>
      </c>
      <c r="H102" s="250">
        <v>0</v>
      </c>
      <c r="I102" s="250">
        <v>0</v>
      </c>
      <c r="J102" s="250"/>
      <c r="K102" s="250"/>
      <c r="L102" s="250"/>
      <c r="M102" s="250"/>
      <c r="N102" s="250"/>
      <c r="O102" s="250"/>
      <c r="P102" s="250"/>
      <c r="Q102" s="250"/>
      <c r="R102" s="250"/>
      <c r="S102" s="250"/>
      <c r="T102" s="250"/>
      <c r="U102" s="250"/>
      <c r="V102" s="250"/>
      <c r="W102" s="250"/>
      <c r="X102" s="250"/>
      <c r="Y102" s="250"/>
      <c r="Z102" s="250"/>
      <c r="AA102" s="250"/>
      <c r="AB102" s="250"/>
      <c r="AC102" s="250"/>
    </row>
    <row r="103" spans="1:29" ht="15.75" customHeight="1" x14ac:dyDescent="0.25">
      <c r="A103" s="97" t="s">
        <v>922</v>
      </c>
      <c r="B103" s="249">
        <v>46259</v>
      </c>
      <c r="C103" s="246">
        <v>0.33333333333333331</v>
      </c>
      <c r="D103" s="246">
        <v>0.375</v>
      </c>
      <c r="E103" s="250">
        <v>0</v>
      </c>
      <c r="F103" s="250">
        <v>0</v>
      </c>
      <c r="G103" s="250">
        <v>0</v>
      </c>
      <c r="H103" s="250">
        <v>0</v>
      </c>
      <c r="I103" s="250">
        <v>0</v>
      </c>
      <c r="J103" s="250"/>
      <c r="K103" s="250"/>
      <c r="L103" s="250"/>
      <c r="M103" s="250"/>
      <c r="N103" s="250"/>
      <c r="O103" s="250"/>
      <c r="P103" s="250"/>
      <c r="Q103" s="250"/>
      <c r="R103" s="250"/>
      <c r="S103" s="250"/>
      <c r="T103" s="250"/>
      <c r="U103" s="250"/>
      <c r="V103" s="250"/>
      <c r="W103" s="250"/>
      <c r="X103" s="250"/>
      <c r="Y103" s="250"/>
      <c r="Z103" s="250"/>
      <c r="AA103" s="250"/>
      <c r="AB103" s="250"/>
      <c r="AC103" s="250"/>
    </row>
    <row r="104" spans="1:29" ht="15.75" customHeight="1" x14ac:dyDescent="0.25">
      <c r="A104" s="97" t="s">
        <v>923</v>
      </c>
      <c r="B104" s="249">
        <v>46259</v>
      </c>
      <c r="C104" s="246">
        <v>0.375</v>
      </c>
      <c r="D104" s="246">
        <v>0.41666666666666669</v>
      </c>
      <c r="E104" s="250">
        <v>0</v>
      </c>
      <c r="F104" s="250">
        <v>0</v>
      </c>
      <c r="G104" s="250">
        <v>0</v>
      </c>
      <c r="H104" s="250">
        <v>0</v>
      </c>
      <c r="I104" s="250">
        <v>0</v>
      </c>
      <c r="J104" s="250"/>
      <c r="K104" s="250"/>
      <c r="L104" s="250"/>
      <c r="M104" s="250"/>
      <c r="N104" s="250"/>
      <c r="O104" s="250"/>
      <c r="P104" s="250"/>
      <c r="Q104" s="250"/>
      <c r="R104" s="250"/>
      <c r="S104" s="250"/>
      <c r="T104" s="250"/>
      <c r="U104" s="250"/>
      <c r="V104" s="250"/>
      <c r="W104" s="250"/>
      <c r="X104" s="250"/>
      <c r="Y104" s="250"/>
      <c r="Z104" s="250"/>
      <c r="AA104" s="250"/>
      <c r="AB104" s="250"/>
      <c r="AC104" s="250"/>
    </row>
    <row r="105" spans="1:29" ht="15.75" customHeight="1" x14ac:dyDescent="0.25">
      <c r="A105" s="97" t="s">
        <v>944</v>
      </c>
      <c r="B105" s="249">
        <v>46260</v>
      </c>
      <c r="C105" s="246">
        <v>0.25</v>
      </c>
      <c r="D105" s="246">
        <v>0.29166666666666669</v>
      </c>
      <c r="E105" s="250">
        <v>0</v>
      </c>
      <c r="F105" s="250">
        <v>0</v>
      </c>
      <c r="G105" s="250">
        <v>0</v>
      </c>
      <c r="H105" s="250">
        <v>0</v>
      </c>
      <c r="I105" s="250">
        <v>0</v>
      </c>
      <c r="J105" s="250"/>
      <c r="K105" s="250"/>
      <c r="L105" s="250"/>
      <c r="M105" s="250"/>
      <c r="N105" s="250"/>
      <c r="O105" s="250"/>
      <c r="P105" s="250"/>
      <c r="Q105" s="250"/>
      <c r="R105" s="250"/>
      <c r="S105" s="250"/>
      <c r="T105" s="250"/>
      <c r="U105" s="250"/>
      <c r="V105" s="250"/>
      <c r="W105" s="250"/>
      <c r="X105" s="250"/>
      <c r="Y105" s="250"/>
      <c r="Z105" s="250"/>
      <c r="AA105" s="250"/>
      <c r="AB105" s="250"/>
      <c r="AC105" s="250"/>
    </row>
    <row r="106" spans="1:29" ht="15.75" customHeight="1" x14ac:dyDescent="0.25">
      <c r="A106" s="97" t="s">
        <v>945</v>
      </c>
      <c r="B106" s="249">
        <v>46260</v>
      </c>
      <c r="C106" s="246">
        <v>0.29166666666666669</v>
      </c>
      <c r="D106" s="246">
        <v>0.33333333333333331</v>
      </c>
      <c r="E106" s="250">
        <v>0</v>
      </c>
      <c r="F106" s="250">
        <v>0</v>
      </c>
      <c r="G106" s="250">
        <v>0</v>
      </c>
      <c r="H106" s="250">
        <v>0</v>
      </c>
      <c r="I106" s="250">
        <v>0</v>
      </c>
      <c r="J106" s="250"/>
      <c r="K106" s="250"/>
      <c r="L106" s="250"/>
      <c r="M106" s="250"/>
      <c r="N106" s="250"/>
      <c r="O106" s="250"/>
      <c r="P106" s="250"/>
      <c r="Q106" s="250"/>
      <c r="R106" s="250"/>
      <c r="S106" s="250"/>
      <c r="T106" s="250"/>
      <c r="U106" s="250"/>
      <c r="V106" s="250"/>
      <c r="W106" s="250"/>
      <c r="X106" s="250"/>
      <c r="Y106" s="250"/>
      <c r="Z106" s="250"/>
      <c r="AA106" s="250"/>
      <c r="AB106" s="250"/>
      <c r="AC106" s="250"/>
    </row>
    <row r="107" spans="1:29" ht="15.75" customHeight="1" x14ac:dyDescent="0.25">
      <c r="A107" s="97" t="s">
        <v>946</v>
      </c>
      <c r="B107" s="249">
        <v>46260</v>
      </c>
      <c r="C107" s="246">
        <v>0.33333333333333331</v>
      </c>
      <c r="D107" s="246">
        <v>0.375</v>
      </c>
      <c r="E107" s="250">
        <v>0</v>
      </c>
      <c r="F107" s="250">
        <v>0</v>
      </c>
      <c r="G107" s="250">
        <v>0</v>
      </c>
      <c r="H107" s="250">
        <v>0</v>
      </c>
      <c r="I107" s="250">
        <v>0</v>
      </c>
      <c r="J107" s="250"/>
      <c r="K107" s="250"/>
      <c r="L107" s="250"/>
      <c r="M107" s="250"/>
      <c r="N107" s="250"/>
      <c r="O107" s="250"/>
      <c r="P107" s="250"/>
      <c r="Q107" s="250"/>
      <c r="R107" s="250"/>
      <c r="S107" s="250"/>
      <c r="T107" s="250"/>
      <c r="U107" s="250"/>
      <c r="V107" s="250"/>
      <c r="W107" s="250"/>
      <c r="X107" s="250"/>
      <c r="Y107" s="250"/>
      <c r="Z107" s="250"/>
      <c r="AA107" s="250"/>
      <c r="AB107" s="250"/>
      <c r="AC107" s="250"/>
    </row>
    <row r="108" spans="1:29" ht="15.75" customHeight="1" x14ac:dyDescent="0.25">
      <c r="A108" s="97" t="s">
        <v>947</v>
      </c>
      <c r="B108" s="249">
        <v>46260</v>
      </c>
      <c r="C108" s="246">
        <v>0.375</v>
      </c>
      <c r="D108" s="246">
        <v>0.41666666666666669</v>
      </c>
      <c r="E108" s="250">
        <v>0</v>
      </c>
      <c r="F108" s="250">
        <v>0</v>
      </c>
      <c r="G108" s="250">
        <v>0</v>
      </c>
      <c r="H108" s="250">
        <v>0</v>
      </c>
      <c r="I108" s="250">
        <v>0</v>
      </c>
      <c r="J108" s="250"/>
      <c r="K108" s="250"/>
      <c r="L108" s="250"/>
      <c r="M108" s="250"/>
      <c r="N108" s="250"/>
      <c r="O108" s="250"/>
      <c r="P108" s="250"/>
      <c r="Q108" s="250"/>
      <c r="R108" s="250"/>
      <c r="S108" s="250"/>
      <c r="T108" s="250"/>
      <c r="U108" s="250"/>
      <c r="V108" s="250"/>
      <c r="W108" s="250"/>
      <c r="X108" s="250"/>
      <c r="Y108" s="250"/>
      <c r="Z108" s="250"/>
      <c r="AA108" s="250"/>
      <c r="AB108" s="250"/>
      <c r="AC108" s="250"/>
    </row>
    <row r="109" spans="1:29" ht="15.75" customHeight="1" x14ac:dyDescent="0.25">
      <c r="A109" s="97" t="s">
        <v>968</v>
      </c>
      <c r="B109" s="249">
        <v>46261</v>
      </c>
      <c r="C109" s="246">
        <v>0.25</v>
      </c>
      <c r="D109" s="246">
        <v>0.29166666666666669</v>
      </c>
      <c r="E109" s="250">
        <v>0</v>
      </c>
      <c r="F109" s="250">
        <v>0</v>
      </c>
      <c r="G109" s="250">
        <v>0</v>
      </c>
      <c r="H109" s="250">
        <v>0</v>
      </c>
      <c r="I109" s="250">
        <v>0</v>
      </c>
      <c r="J109" s="250"/>
      <c r="K109" s="250"/>
      <c r="L109" s="250"/>
      <c r="M109" s="250"/>
      <c r="N109" s="250"/>
      <c r="O109" s="250"/>
      <c r="P109" s="250"/>
      <c r="Q109" s="250"/>
      <c r="R109" s="250"/>
      <c r="S109" s="250"/>
      <c r="T109" s="250"/>
      <c r="U109" s="250"/>
      <c r="V109" s="250"/>
      <c r="W109" s="250"/>
      <c r="X109" s="250"/>
      <c r="Y109" s="250"/>
      <c r="Z109" s="250"/>
      <c r="AA109" s="250"/>
      <c r="AB109" s="250"/>
      <c r="AC109" s="250"/>
    </row>
    <row r="110" spans="1:29" ht="15.75" customHeight="1" x14ac:dyDescent="0.25">
      <c r="A110" s="97" t="s">
        <v>969</v>
      </c>
      <c r="B110" s="249">
        <v>46261</v>
      </c>
      <c r="C110" s="246">
        <v>0.29166666666666669</v>
      </c>
      <c r="D110" s="246">
        <v>0.33333333333333331</v>
      </c>
      <c r="E110" s="250">
        <v>0</v>
      </c>
      <c r="F110" s="250">
        <v>0</v>
      </c>
      <c r="G110" s="250">
        <v>0</v>
      </c>
      <c r="H110" s="250">
        <v>0</v>
      </c>
      <c r="I110" s="250">
        <v>0</v>
      </c>
      <c r="J110" s="250"/>
      <c r="K110" s="250"/>
      <c r="L110" s="250"/>
      <c r="M110" s="250"/>
      <c r="N110" s="250"/>
      <c r="O110" s="250"/>
      <c r="P110" s="250"/>
      <c r="Q110" s="250"/>
      <c r="R110" s="250"/>
      <c r="S110" s="250"/>
      <c r="T110" s="250"/>
      <c r="U110" s="250"/>
      <c r="V110" s="250"/>
      <c r="W110" s="250"/>
      <c r="X110" s="250"/>
      <c r="Y110" s="250"/>
      <c r="Z110" s="250"/>
      <c r="AA110" s="250"/>
      <c r="AB110" s="250"/>
      <c r="AC110" s="250"/>
    </row>
    <row r="111" spans="1:29" ht="15.75" customHeight="1" x14ac:dyDescent="0.25">
      <c r="A111" s="97" t="s">
        <v>970</v>
      </c>
      <c r="B111" s="249">
        <v>46261</v>
      </c>
      <c r="C111" s="246">
        <v>0.33333333333333331</v>
      </c>
      <c r="D111" s="246">
        <v>0.375</v>
      </c>
      <c r="E111" s="250">
        <v>0</v>
      </c>
      <c r="F111" s="250">
        <v>0</v>
      </c>
      <c r="G111" s="250">
        <v>0</v>
      </c>
      <c r="H111" s="250">
        <v>0</v>
      </c>
      <c r="I111" s="250">
        <v>0</v>
      </c>
      <c r="J111" s="250"/>
      <c r="K111" s="250"/>
      <c r="L111" s="250"/>
      <c r="M111" s="250"/>
      <c r="N111" s="250"/>
      <c r="O111" s="250"/>
      <c r="P111" s="250"/>
      <c r="Q111" s="250"/>
      <c r="R111" s="250"/>
      <c r="S111" s="250"/>
      <c r="T111" s="250"/>
      <c r="U111" s="250"/>
      <c r="V111" s="250"/>
      <c r="W111" s="250"/>
      <c r="X111" s="250"/>
      <c r="Y111" s="250"/>
      <c r="Z111" s="250"/>
      <c r="AA111" s="250"/>
      <c r="AB111" s="250"/>
      <c r="AC111" s="250"/>
    </row>
    <row r="112" spans="1:29" ht="15.75" customHeight="1" x14ac:dyDescent="0.25">
      <c r="A112" s="97" t="s">
        <v>971</v>
      </c>
      <c r="B112" s="249">
        <v>46261</v>
      </c>
      <c r="C112" s="246">
        <v>0.375</v>
      </c>
      <c r="D112" s="246">
        <v>0.41666666666666669</v>
      </c>
      <c r="E112" s="250">
        <v>0</v>
      </c>
      <c r="F112" s="250">
        <v>0</v>
      </c>
      <c r="G112" s="250">
        <v>0</v>
      </c>
      <c r="H112" s="250">
        <v>0</v>
      </c>
      <c r="I112" s="250">
        <v>0</v>
      </c>
      <c r="J112" s="250"/>
      <c r="K112" s="250"/>
      <c r="L112" s="250"/>
      <c r="M112" s="250"/>
      <c r="N112" s="250"/>
      <c r="O112" s="250"/>
      <c r="P112" s="250"/>
      <c r="Q112" s="250"/>
      <c r="R112" s="250"/>
      <c r="S112" s="250"/>
      <c r="T112" s="250"/>
      <c r="U112" s="250"/>
      <c r="V112" s="250"/>
      <c r="W112" s="250"/>
      <c r="X112" s="250"/>
      <c r="Y112" s="250"/>
      <c r="Z112" s="250"/>
      <c r="AA112" s="250"/>
      <c r="AB112" s="250"/>
      <c r="AC112" s="250"/>
    </row>
    <row r="113" spans="1:29" ht="15.75" customHeight="1" x14ac:dyDescent="0.25">
      <c r="A113" s="97" t="s">
        <v>992</v>
      </c>
      <c r="B113" s="249">
        <v>46262</v>
      </c>
      <c r="C113" s="246">
        <v>0.25</v>
      </c>
      <c r="D113" s="246">
        <v>0.29166666666666669</v>
      </c>
      <c r="E113" s="250">
        <v>0</v>
      </c>
      <c r="F113" s="250">
        <v>0</v>
      </c>
      <c r="G113" s="250">
        <v>0</v>
      </c>
      <c r="H113" s="250">
        <v>0</v>
      </c>
      <c r="I113" s="250">
        <v>0</v>
      </c>
      <c r="J113" s="250"/>
      <c r="K113" s="250"/>
      <c r="L113" s="250"/>
      <c r="M113" s="250"/>
      <c r="N113" s="250"/>
      <c r="O113" s="250"/>
      <c r="P113" s="250"/>
      <c r="Q113" s="250"/>
      <c r="R113" s="250"/>
      <c r="S113" s="250"/>
      <c r="T113" s="250"/>
      <c r="U113" s="250"/>
      <c r="V113" s="250"/>
      <c r="W113" s="250"/>
      <c r="X113" s="250"/>
      <c r="Y113" s="250"/>
      <c r="Z113" s="250"/>
      <c r="AA113" s="250"/>
      <c r="AB113" s="250"/>
      <c r="AC113" s="250"/>
    </row>
    <row r="114" spans="1:29" ht="15.75" customHeight="1" x14ac:dyDescent="0.25">
      <c r="A114" s="97" t="s">
        <v>993</v>
      </c>
      <c r="B114" s="249">
        <v>46262</v>
      </c>
      <c r="C114" s="246">
        <v>0.29166666666666669</v>
      </c>
      <c r="D114" s="246">
        <v>0.33333333333333331</v>
      </c>
      <c r="E114" s="250">
        <v>0</v>
      </c>
      <c r="F114" s="250">
        <v>0</v>
      </c>
      <c r="G114" s="250">
        <v>0</v>
      </c>
      <c r="H114" s="250">
        <v>0</v>
      </c>
      <c r="I114" s="250">
        <v>0</v>
      </c>
      <c r="J114" s="250"/>
      <c r="K114" s="250"/>
      <c r="L114" s="250"/>
      <c r="M114" s="250"/>
      <c r="N114" s="250"/>
      <c r="O114" s="250"/>
      <c r="P114" s="250"/>
      <c r="Q114" s="250"/>
      <c r="R114" s="250"/>
      <c r="S114" s="250"/>
      <c r="T114" s="250"/>
      <c r="U114" s="250"/>
      <c r="V114" s="250"/>
      <c r="W114" s="250"/>
      <c r="X114" s="250"/>
      <c r="Y114" s="250"/>
      <c r="Z114" s="250"/>
      <c r="AA114" s="250"/>
      <c r="AB114" s="250"/>
      <c r="AC114" s="250"/>
    </row>
    <row r="115" spans="1:29" ht="15.75" customHeight="1" x14ac:dyDescent="0.25">
      <c r="A115" s="97" t="s">
        <v>994</v>
      </c>
      <c r="B115" s="249">
        <v>46262</v>
      </c>
      <c r="C115" s="246">
        <v>0.33333333333333331</v>
      </c>
      <c r="D115" s="246">
        <v>0.375</v>
      </c>
      <c r="E115" s="250">
        <v>0</v>
      </c>
      <c r="F115" s="250">
        <v>0</v>
      </c>
      <c r="G115" s="250">
        <v>0</v>
      </c>
      <c r="H115" s="250">
        <v>0</v>
      </c>
      <c r="I115" s="250">
        <v>0</v>
      </c>
      <c r="J115" s="250"/>
      <c r="K115" s="250"/>
      <c r="L115" s="250"/>
      <c r="M115" s="250"/>
      <c r="N115" s="250"/>
      <c r="O115" s="250"/>
      <c r="P115" s="250"/>
      <c r="Q115" s="250"/>
      <c r="R115" s="250"/>
      <c r="S115" s="250"/>
      <c r="T115" s="250"/>
      <c r="U115" s="250"/>
      <c r="V115" s="250"/>
      <c r="W115" s="250"/>
      <c r="X115" s="250"/>
      <c r="Y115" s="250"/>
      <c r="Z115" s="250"/>
      <c r="AA115" s="250"/>
      <c r="AB115" s="250"/>
      <c r="AC115" s="250"/>
    </row>
    <row r="116" spans="1:29" ht="15.75" customHeight="1" x14ac:dyDescent="0.25">
      <c r="A116" s="97" t="s">
        <v>995</v>
      </c>
      <c r="B116" s="249">
        <v>46262</v>
      </c>
      <c r="C116" s="246">
        <v>0.375</v>
      </c>
      <c r="D116" s="246">
        <v>0.41666666666666669</v>
      </c>
      <c r="E116" s="250">
        <v>0</v>
      </c>
      <c r="F116" s="250">
        <v>0</v>
      </c>
      <c r="G116" s="250">
        <v>0</v>
      </c>
      <c r="H116" s="250">
        <v>0</v>
      </c>
      <c r="I116" s="250">
        <v>0</v>
      </c>
      <c r="J116" s="250"/>
      <c r="K116" s="250"/>
      <c r="L116" s="250"/>
      <c r="M116" s="250"/>
      <c r="N116" s="250"/>
      <c r="O116" s="250"/>
      <c r="P116" s="250"/>
      <c r="Q116" s="250"/>
      <c r="R116" s="250"/>
      <c r="S116" s="250"/>
      <c r="T116" s="250"/>
      <c r="U116" s="250"/>
      <c r="V116" s="250"/>
      <c r="W116" s="250"/>
      <c r="X116" s="250"/>
      <c r="Y116" s="250"/>
      <c r="Z116" s="250"/>
      <c r="AA116" s="250"/>
      <c r="AB116" s="250"/>
      <c r="AC116" s="250"/>
    </row>
    <row r="117" spans="1:29" ht="15.75" customHeight="1" x14ac:dyDescent="0.25">
      <c r="A117" s="97" t="s">
        <v>1016</v>
      </c>
      <c r="B117" s="249">
        <v>46263</v>
      </c>
      <c r="C117" s="246">
        <v>0.25</v>
      </c>
      <c r="D117" s="246">
        <v>0.29166666666666669</v>
      </c>
      <c r="E117" s="250">
        <v>0</v>
      </c>
      <c r="F117" s="250">
        <v>0</v>
      </c>
      <c r="G117" s="250">
        <v>0</v>
      </c>
      <c r="H117" s="250">
        <v>0</v>
      </c>
      <c r="I117" s="250">
        <v>0</v>
      </c>
      <c r="J117" s="250"/>
      <c r="K117" s="250"/>
      <c r="L117" s="250"/>
      <c r="M117" s="250"/>
      <c r="N117" s="250"/>
      <c r="O117" s="250"/>
      <c r="P117" s="250"/>
      <c r="Q117" s="250"/>
      <c r="R117" s="250"/>
      <c r="S117" s="250"/>
      <c r="T117" s="250"/>
      <c r="U117" s="250"/>
      <c r="V117" s="250"/>
      <c r="W117" s="250"/>
      <c r="X117" s="250"/>
      <c r="Y117" s="250"/>
      <c r="Z117" s="250"/>
      <c r="AA117" s="250"/>
      <c r="AB117" s="250"/>
      <c r="AC117" s="250"/>
    </row>
    <row r="118" spans="1:29" ht="15.75" customHeight="1" x14ac:dyDescent="0.25">
      <c r="A118" s="97" t="s">
        <v>1017</v>
      </c>
      <c r="B118" s="249">
        <v>46263</v>
      </c>
      <c r="C118" s="246">
        <v>0.29166666666666669</v>
      </c>
      <c r="D118" s="246">
        <v>0.33333333333333331</v>
      </c>
      <c r="E118" s="250">
        <v>0</v>
      </c>
      <c r="F118" s="250">
        <v>0</v>
      </c>
      <c r="G118" s="250">
        <v>0</v>
      </c>
      <c r="H118" s="250">
        <v>0</v>
      </c>
      <c r="I118" s="250">
        <v>0</v>
      </c>
      <c r="J118" s="250"/>
      <c r="K118" s="250"/>
      <c r="L118" s="250"/>
      <c r="M118" s="250"/>
      <c r="N118" s="250"/>
      <c r="O118" s="250"/>
      <c r="P118" s="250"/>
      <c r="Q118" s="250"/>
      <c r="R118" s="250"/>
      <c r="S118" s="250"/>
      <c r="T118" s="250"/>
      <c r="U118" s="250"/>
      <c r="V118" s="250"/>
      <c r="W118" s="250"/>
      <c r="X118" s="250"/>
      <c r="Y118" s="250"/>
      <c r="Z118" s="250"/>
      <c r="AA118" s="250"/>
      <c r="AB118" s="250"/>
      <c r="AC118" s="250"/>
    </row>
    <row r="119" spans="1:29" ht="15.75" customHeight="1" x14ac:dyDescent="0.25">
      <c r="A119" s="97" t="s">
        <v>1018</v>
      </c>
      <c r="B119" s="249">
        <v>46263</v>
      </c>
      <c r="C119" s="246">
        <v>0.33333333333333331</v>
      </c>
      <c r="D119" s="246">
        <v>0.375</v>
      </c>
      <c r="E119" s="250">
        <v>0</v>
      </c>
      <c r="F119" s="250">
        <v>0</v>
      </c>
      <c r="G119" s="250">
        <v>0</v>
      </c>
      <c r="H119" s="250">
        <v>0</v>
      </c>
      <c r="I119" s="250">
        <v>0</v>
      </c>
      <c r="J119" s="250"/>
      <c r="K119" s="250"/>
      <c r="L119" s="250"/>
      <c r="M119" s="250"/>
      <c r="N119" s="250"/>
      <c r="O119" s="250"/>
      <c r="P119" s="250"/>
      <c r="Q119" s="250"/>
      <c r="R119" s="250"/>
      <c r="S119" s="250"/>
      <c r="T119" s="250"/>
      <c r="U119" s="250"/>
      <c r="V119" s="250"/>
      <c r="W119" s="250"/>
      <c r="X119" s="250"/>
      <c r="Y119" s="250"/>
      <c r="Z119" s="250"/>
      <c r="AA119" s="250"/>
      <c r="AB119" s="250"/>
      <c r="AC119" s="250"/>
    </row>
    <row r="120" spans="1:29" ht="15.75" customHeight="1" x14ac:dyDescent="0.25">
      <c r="A120" s="97" t="s">
        <v>1019</v>
      </c>
      <c r="B120" s="249">
        <v>46263</v>
      </c>
      <c r="C120" s="246">
        <v>0.375</v>
      </c>
      <c r="D120" s="246">
        <v>0.41666666666666669</v>
      </c>
      <c r="E120" s="250">
        <v>0</v>
      </c>
      <c r="F120" s="250">
        <v>0</v>
      </c>
      <c r="G120" s="250">
        <v>0</v>
      </c>
      <c r="H120" s="250">
        <v>0</v>
      </c>
      <c r="I120" s="250">
        <v>0</v>
      </c>
      <c r="J120" s="250"/>
      <c r="K120" s="250"/>
      <c r="L120" s="250"/>
      <c r="M120" s="250"/>
      <c r="N120" s="250"/>
      <c r="O120" s="250"/>
      <c r="P120" s="250"/>
      <c r="Q120" s="250"/>
      <c r="R120" s="250"/>
      <c r="S120" s="250"/>
      <c r="T120" s="250"/>
      <c r="U120" s="250"/>
      <c r="V120" s="250"/>
      <c r="W120" s="250"/>
      <c r="X120" s="250"/>
      <c r="Y120" s="250"/>
      <c r="Z120" s="250"/>
      <c r="AA120" s="250"/>
      <c r="AB120" s="250"/>
      <c r="AC120" s="250"/>
    </row>
    <row r="121" spans="1:29" ht="15.75" customHeight="1" x14ac:dyDescent="0.25">
      <c r="A121" s="97" t="s">
        <v>1040</v>
      </c>
      <c r="B121" s="249">
        <v>46264</v>
      </c>
      <c r="C121" s="246">
        <v>0.25</v>
      </c>
      <c r="D121" s="246">
        <v>0.29166666666666669</v>
      </c>
      <c r="E121" s="250">
        <v>0</v>
      </c>
      <c r="F121" s="250">
        <v>0</v>
      </c>
      <c r="G121" s="250">
        <v>0</v>
      </c>
      <c r="H121" s="250">
        <v>0</v>
      </c>
      <c r="I121" s="250">
        <v>0</v>
      </c>
      <c r="J121" s="250"/>
      <c r="K121" s="250"/>
      <c r="L121" s="250"/>
      <c r="M121" s="250"/>
      <c r="N121" s="250"/>
      <c r="O121" s="250"/>
      <c r="P121" s="250"/>
      <c r="Q121" s="250"/>
      <c r="R121" s="250"/>
      <c r="S121" s="250"/>
      <c r="T121" s="250"/>
      <c r="U121" s="250"/>
      <c r="V121" s="250"/>
      <c r="W121" s="250"/>
      <c r="X121" s="250"/>
      <c r="Y121" s="250"/>
      <c r="Z121" s="250"/>
      <c r="AA121" s="250"/>
      <c r="AB121" s="250"/>
      <c r="AC121" s="250"/>
    </row>
    <row r="122" spans="1:29" ht="15.75" customHeight="1" x14ac:dyDescent="0.25">
      <c r="A122" s="97" t="s">
        <v>1041</v>
      </c>
      <c r="B122" s="249">
        <v>46264</v>
      </c>
      <c r="C122" s="246">
        <v>0.29166666666666669</v>
      </c>
      <c r="D122" s="246">
        <v>0.33333333333333331</v>
      </c>
      <c r="E122" s="250">
        <v>0</v>
      </c>
      <c r="F122" s="250">
        <v>0</v>
      </c>
      <c r="G122" s="250">
        <v>0</v>
      </c>
      <c r="H122" s="250">
        <v>0</v>
      </c>
      <c r="I122" s="250">
        <v>0</v>
      </c>
      <c r="J122" s="250"/>
      <c r="K122" s="250"/>
      <c r="L122" s="250"/>
      <c r="M122" s="250"/>
      <c r="N122" s="250"/>
      <c r="O122" s="250"/>
      <c r="P122" s="250"/>
      <c r="Q122" s="250"/>
      <c r="R122" s="250"/>
      <c r="S122" s="250"/>
      <c r="T122" s="250"/>
      <c r="U122" s="250"/>
      <c r="V122" s="250"/>
      <c r="W122" s="250"/>
      <c r="X122" s="250"/>
      <c r="Y122" s="250"/>
      <c r="Z122" s="250"/>
      <c r="AA122" s="250"/>
      <c r="AB122" s="250"/>
      <c r="AC122" s="250"/>
    </row>
    <row r="123" spans="1:29" ht="15.75" customHeight="1" x14ac:dyDescent="0.25">
      <c r="A123" s="97" t="s">
        <v>1042</v>
      </c>
      <c r="B123" s="249">
        <v>46264</v>
      </c>
      <c r="C123" s="246">
        <v>0.33333333333333331</v>
      </c>
      <c r="D123" s="246">
        <v>0.375</v>
      </c>
      <c r="E123" s="250">
        <v>0</v>
      </c>
      <c r="F123" s="250">
        <v>0</v>
      </c>
      <c r="G123" s="250">
        <v>0</v>
      </c>
      <c r="H123" s="250">
        <v>0</v>
      </c>
      <c r="I123" s="250">
        <v>0</v>
      </c>
      <c r="J123" s="250"/>
      <c r="K123" s="250"/>
      <c r="L123" s="250"/>
      <c r="M123" s="250"/>
      <c r="N123" s="250"/>
      <c r="O123" s="250"/>
      <c r="P123" s="250"/>
      <c r="Q123" s="250"/>
      <c r="R123" s="250"/>
      <c r="S123" s="250"/>
      <c r="T123" s="250"/>
      <c r="U123" s="250"/>
      <c r="V123" s="250"/>
      <c r="W123" s="250"/>
      <c r="X123" s="250"/>
      <c r="Y123" s="250"/>
      <c r="Z123" s="250"/>
      <c r="AA123" s="250"/>
      <c r="AB123" s="250"/>
      <c r="AC123" s="250"/>
    </row>
    <row r="124" spans="1:29" ht="15.75" customHeight="1" x14ac:dyDescent="0.25">
      <c r="A124" s="97" t="s">
        <v>1043</v>
      </c>
      <c r="B124" s="249">
        <v>46264</v>
      </c>
      <c r="C124" s="246">
        <v>0.375</v>
      </c>
      <c r="D124" s="246">
        <v>0.41666666666666669</v>
      </c>
      <c r="E124" s="250">
        <v>0</v>
      </c>
      <c r="F124" s="250">
        <v>0</v>
      </c>
      <c r="G124" s="250">
        <v>0</v>
      </c>
      <c r="H124" s="250">
        <v>0</v>
      </c>
      <c r="I124" s="250">
        <v>0</v>
      </c>
      <c r="J124" s="250"/>
      <c r="K124" s="250"/>
      <c r="L124" s="250"/>
      <c r="M124" s="250"/>
      <c r="N124" s="250"/>
      <c r="O124" s="250"/>
      <c r="P124" s="250"/>
      <c r="Q124" s="250"/>
      <c r="R124" s="250"/>
      <c r="S124" s="250"/>
      <c r="T124" s="250"/>
      <c r="U124" s="250"/>
      <c r="V124" s="250"/>
      <c r="W124" s="250"/>
      <c r="X124" s="250"/>
      <c r="Y124" s="250"/>
      <c r="Z124" s="250"/>
      <c r="AA124" s="250"/>
      <c r="AB124" s="250"/>
      <c r="AC124" s="250"/>
    </row>
    <row r="125" spans="1:29" ht="15.75" customHeight="1" x14ac:dyDescent="0.25">
      <c r="A125" s="97" t="s">
        <v>1064</v>
      </c>
      <c r="B125" s="249">
        <v>46265</v>
      </c>
      <c r="C125" s="246">
        <v>0.25</v>
      </c>
      <c r="D125" s="246">
        <v>0.29166666666666669</v>
      </c>
      <c r="E125" s="250">
        <v>0</v>
      </c>
      <c r="F125" s="250">
        <v>0</v>
      </c>
      <c r="G125" s="250">
        <v>0</v>
      </c>
      <c r="H125" s="250">
        <v>0</v>
      </c>
      <c r="I125" s="250">
        <v>0</v>
      </c>
      <c r="J125" s="250"/>
      <c r="K125" s="250"/>
      <c r="L125" s="250"/>
      <c r="M125" s="250"/>
      <c r="N125" s="250"/>
      <c r="O125" s="250"/>
      <c r="P125" s="250"/>
      <c r="Q125" s="250"/>
      <c r="R125" s="250"/>
      <c r="S125" s="250"/>
      <c r="T125" s="250"/>
      <c r="U125" s="250"/>
      <c r="V125" s="250"/>
      <c r="W125" s="250"/>
      <c r="X125" s="250"/>
      <c r="Y125" s="250"/>
      <c r="Z125" s="250"/>
      <c r="AA125" s="250"/>
      <c r="AB125" s="250"/>
      <c r="AC125" s="250"/>
    </row>
    <row r="126" spans="1:29" ht="15.75" customHeight="1" x14ac:dyDescent="0.25">
      <c r="A126" s="97" t="s">
        <v>1065</v>
      </c>
      <c r="B126" s="249">
        <v>46265</v>
      </c>
      <c r="C126" s="246">
        <v>0.29166666666666669</v>
      </c>
      <c r="D126" s="246">
        <v>0.33333333333333331</v>
      </c>
      <c r="E126" s="250">
        <v>0</v>
      </c>
      <c r="F126" s="250">
        <v>0</v>
      </c>
      <c r="G126" s="250">
        <v>0</v>
      </c>
      <c r="H126" s="250">
        <v>0</v>
      </c>
      <c r="I126" s="250">
        <v>0</v>
      </c>
      <c r="J126" s="250"/>
      <c r="K126" s="250"/>
      <c r="L126" s="250"/>
      <c r="M126" s="250"/>
      <c r="N126" s="250"/>
      <c r="O126" s="250"/>
      <c r="P126" s="250"/>
      <c r="Q126" s="250"/>
      <c r="R126" s="250"/>
      <c r="S126" s="250"/>
      <c r="T126" s="250"/>
      <c r="U126" s="250"/>
      <c r="V126" s="250"/>
      <c r="W126" s="250"/>
      <c r="X126" s="250"/>
      <c r="Y126" s="250"/>
      <c r="Z126" s="250"/>
      <c r="AA126" s="250"/>
      <c r="AB126" s="250"/>
      <c r="AC126" s="250"/>
    </row>
    <row r="127" spans="1:29" ht="15.75" customHeight="1" x14ac:dyDescent="0.25">
      <c r="A127" s="97" t="s">
        <v>1066</v>
      </c>
      <c r="B127" s="249">
        <v>46265</v>
      </c>
      <c r="C127" s="246">
        <v>0.33333333333333331</v>
      </c>
      <c r="D127" s="246">
        <v>0.375</v>
      </c>
      <c r="E127" s="250">
        <v>0</v>
      </c>
      <c r="F127" s="250">
        <v>0</v>
      </c>
      <c r="G127" s="250">
        <v>0</v>
      </c>
      <c r="H127" s="250">
        <v>0</v>
      </c>
      <c r="I127" s="250">
        <v>0</v>
      </c>
      <c r="J127" s="250"/>
      <c r="K127" s="250"/>
      <c r="L127" s="250"/>
      <c r="M127" s="250"/>
      <c r="N127" s="250"/>
      <c r="O127" s="250"/>
      <c r="P127" s="250"/>
      <c r="Q127" s="250"/>
      <c r="R127" s="250"/>
      <c r="S127" s="250"/>
      <c r="T127" s="250"/>
      <c r="U127" s="250"/>
      <c r="V127" s="250"/>
      <c r="W127" s="250"/>
      <c r="X127" s="250"/>
      <c r="Y127" s="250"/>
      <c r="Z127" s="250"/>
      <c r="AA127" s="250"/>
      <c r="AB127" s="250"/>
      <c r="AC127" s="250"/>
    </row>
    <row r="128" spans="1:29" ht="15.75" customHeight="1" x14ac:dyDescent="0.25">
      <c r="A128" s="97" t="s">
        <v>1067</v>
      </c>
      <c r="B128" s="249">
        <v>46265</v>
      </c>
      <c r="C128" s="246">
        <v>0.375</v>
      </c>
      <c r="D128" s="246">
        <v>0.41666666666666669</v>
      </c>
      <c r="E128" s="250">
        <v>0</v>
      </c>
      <c r="F128" s="250">
        <v>0</v>
      </c>
      <c r="G128" s="250">
        <v>0</v>
      </c>
      <c r="H128" s="250">
        <v>0</v>
      </c>
      <c r="I128" s="250">
        <v>0</v>
      </c>
      <c r="J128" s="250"/>
      <c r="K128" s="250"/>
      <c r="L128" s="250"/>
      <c r="M128" s="250"/>
      <c r="N128" s="250"/>
      <c r="O128" s="250"/>
      <c r="P128" s="250"/>
      <c r="Q128" s="250"/>
      <c r="R128" s="250"/>
      <c r="S128" s="250"/>
      <c r="T128" s="250"/>
      <c r="U128" s="250"/>
      <c r="V128" s="250"/>
      <c r="W128" s="250"/>
      <c r="X128" s="250"/>
      <c r="Y128" s="250"/>
      <c r="Z128" s="250"/>
      <c r="AA128" s="250"/>
      <c r="AB128" s="250"/>
      <c r="AC128" s="250"/>
    </row>
    <row r="129" spans="1:29" ht="15.75" customHeight="1" x14ac:dyDescent="0.25">
      <c r="A129" s="97"/>
      <c r="B129" s="249"/>
      <c r="C129" s="249"/>
      <c r="D129" s="249"/>
      <c r="E129" s="246"/>
      <c r="F129" s="246"/>
      <c r="G129" s="97"/>
      <c r="H129" s="97"/>
      <c r="I129" s="97"/>
      <c r="J129" s="97"/>
      <c r="K129" s="97"/>
      <c r="L129" s="97"/>
      <c r="M129" s="97"/>
      <c r="N129" s="97"/>
      <c r="O129" s="97"/>
      <c r="P129" s="97"/>
      <c r="Q129" s="97"/>
      <c r="R129" s="97"/>
      <c r="S129" s="97"/>
      <c r="T129" s="97"/>
      <c r="U129" s="97"/>
      <c r="V129" s="97"/>
      <c r="W129" s="97"/>
      <c r="X129" s="97"/>
      <c r="Y129" s="97"/>
      <c r="Z129" s="97"/>
      <c r="AA129" s="97"/>
      <c r="AB129" s="97"/>
      <c r="AC129" s="97"/>
    </row>
    <row r="130" spans="1:29" ht="15.75" customHeight="1" x14ac:dyDescent="0.25">
      <c r="A130" s="97"/>
      <c r="B130" s="249"/>
      <c r="C130" s="249"/>
      <c r="D130" s="249"/>
      <c r="E130" s="246"/>
      <c r="F130" s="246"/>
      <c r="G130" s="97"/>
      <c r="H130" s="97"/>
      <c r="I130" s="97"/>
      <c r="J130" s="97"/>
      <c r="K130" s="97"/>
      <c r="L130" s="97"/>
      <c r="M130" s="97"/>
      <c r="N130" s="97"/>
      <c r="O130" s="97"/>
      <c r="P130" s="97"/>
      <c r="Q130" s="97"/>
      <c r="R130" s="97"/>
      <c r="S130" s="97"/>
      <c r="T130" s="97"/>
      <c r="U130" s="97"/>
      <c r="V130" s="97"/>
      <c r="W130" s="97"/>
      <c r="X130" s="97"/>
      <c r="Y130" s="97"/>
      <c r="Z130" s="97"/>
      <c r="AA130" s="97"/>
      <c r="AB130" s="97"/>
      <c r="AC130" s="97"/>
    </row>
    <row r="131" spans="1:29" ht="15.75" customHeight="1" x14ac:dyDescent="0.25">
      <c r="A131" s="97"/>
      <c r="B131" s="249"/>
      <c r="C131" s="249"/>
      <c r="D131" s="249"/>
      <c r="E131" s="246"/>
      <c r="F131" s="246"/>
      <c r="G131" s="97"/>
      <c r="H131" s="97"/>
      <c r="I131" s="97"/>
      <c r="J131" s="97"/>
      <c r="K131" s="97"/>
      <c r="L131" s="97"/>
      <c r="M131" s="97"/>
      <c r="N131" s="97"/>
      <c r="O131" s="97"/>
      <c r="P131" s="97"/>
      <c r="Q131" s="97"/>
      <c r="R131" s="97"/>
      <c r="S131" s="97"/>
      <c r="T131" s="97"/>
      <c r="U131" s="97"/>
      <c r="V131" s="97"/>
      <c r="W131" s="97"/>
      <c r="X131" s="97"/>
      <c r="Y131" s="97"/>
      <c r="Z131" s="97"/>
      <c r="AA131" s="97"/>
      <c r="AB131" s="97"/>
      <c r="AC131" s="97"/>
    </row>
    <row r="132" spans="1:29" ht="15.75" customHeight="1" x14ac:dyDescent="0.25">
      <c r="A132" s="97"/>
      <c r="B132" s="249"/>
      <c r="C132" s="249"/>
      <c r="D132" s="249"/>
      <c r="E132" s="246"/>
      <c r="F132" s="246"/>
      <c r="G132" s="97"/>
      <c r="H132" s="97"/>
      <c r="I132" s="97"/>
      <c r="J132" s="97"/>
      <c r="K132" s="97"/>
      <c r="L132" s="97"/>
      <c r="M132" s="97"/>
      <c r="N132" s="97"/>
      <c r="O132" s="97"/>
      <c r="P132" s="97"/>
      <c r="Q132" s="97"/>
      <c r="R132" s="97"/>
      <c r="S132" s="97"/>
      <c r="T132" s="97"/>
      <c r="U132" s="97"/>
      <c r="V132" s="97"/>
      <c r="W132" s="97"/>
      <c r="X132" s="97"/>
      <c r="Y132" s="97"/>
      <c r="Z132" s="97"/>
      <c r="AA132" s="97"/>
      <c r="AB132" s="97"/>
      <c r="AC132" s="97"/>
    </row>
    <row r="133" spans="1:29" ht="15.75" customHeight="1" x14ac:dyDescent="0.2"/>
    <row r="134" spans="1:29" ht="15.75" customHeight="1" x14ac:dyDescent="0.2"/>
    <row r="135" spans="1:29" ht="15.75" customHeight="1" x14ac:dyDescent="0.2"/>
    <row r="136" spans="1:29" ht="15.75" customHeight="1" x14ac:dyDescent="0.2"/>
    <row r="137" spans="1:29" ht="15.75" customHeight="1" x14ac:dyDescent="0.2"/>
    <row r="138" spans="1:29" ht="15.75" customHeight="1" x14ac:dyDescent="0.2"/>
    <row r="139" spans="1:29" ht="15.75" customHeight="1" x14ac:dyDescent="0.2"/>
    <row r="140" spans="1:29" ht="15.75" customHeight="1" x14ac:dyDescent="0.2"/>
    <row r="141" spans="1:29" ht="15.75" customHeight="1" x14ac:dyDescent="0.2"/>
    <row r="142" spans="1:29" ht="15.75" customHeight="1" x14ac:dyDescent="0.2"/>
    <row r="143" spans="1:29" ht="15.75" customHeight="1" x14ac:dyDescent="0.2"/>
    <row r="144" spans="1:29"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outlinePr summaryBelow="0" summaryRight="0"/>
  </sheetPr>
  <dimension ref="A1:AC1000"/>
  <sheetViews>
    <sheetView workbookViewId="0">
      <selection sqref="A1:AC1000"/>
    </sheetView>
  </sheetViews>
  <sheetFormatPr defaultColWidth="12.5703125" defaultRowHeight="15" customHeight="1" x14ac:dyDescent="0.2"/>
  <cols>
    <col min="1" max="6" width="12.5703125" customWidth="1"/>
  </cols>
  <sheetData>
    <row r="1" spans="1:29" ht="15.75" customHeight="1" x14ac:dyDescent="0.2"/>
    <row r="2" spans="1:29" ht="15.75" customHeight="1" x14ac:dyDescent="0.2"/>
    <row r="3" spans="1:29" ht="15.75" customHeight="1" x14ac:dyDescent="0.25">
      <c r="A3" s="97"/>
      <c r="B3" s="97"/>
      <c r="C3" s="97"/>
      <c r="D3" s="97"/>
      <c r="E3" s="177" t="s">
        <v>6</v>
      </c>
      <c r="F3" s="181" t="s">
        <v>11</v>
      </c>
      <c r="G3" s="185" t="s">
        <v>7</v>
      </c>
      <c r="H3" s="188" t="s">
        <v>8</v>
      </c>
      <c r="I3" s="181" t="s">
        <v>12</v>
      </c>
      <c r="J3" s="171"/>
      <c r="K3" s="171"/>
      <c r="L3" s="171"/>
      <c r="M3" s="171"/>
      <c r="N3" s="171"/>
      <c r="O3" s="171"/>
      <c r="P3" s="171"/>
      <c r="Q3" s="171"/>
      <c r="R3" s="171"/>
      <c r="S3" s="171"/>
      <c r="T3" s="171"/>
      <c r="U3" s="171"/>
      <c r="V3" s="171"/>
      <c r="W3" s="171"/>
      <c r="X3" s="171"/>
      <c r="Y3" s="171"/>
      <c r="Z3" s="171"/>
      <c r="AA3" s="171"/>
      <c r="AB3" s="171"/>
      <c r="AC3" s="171"/>
    </row>
    <row r="4" spans="1:29" ht="15.75" customHeight="1" x14ac:dyDescent="0.25">
      <c r="A4" s="97"/>
      <c r="C4" s="97"/>
      <c r="D4" s="97"/>
      <c r="E4" s="234">
        <v>12819</v>
      </c>
      <c r="F4" s="182">
        <v>13578</v>
      </c>
      <c r="G4" s="37">
        <v>12817</v>
      </c>
      <c r="H4" s="189">
        <v>12818</v>
      </c>
      <c r="I4" s="182">
        <v>13579</v>
      </c>
      <c r="J4" s="171"/>
      <c r="K4" s="171"/>
      <c r="L4" s="171"/>
      <c r="M4" s="171"/>
      <c r="N4" s="171"/>
      <c r="O4" s="171"/>
      <c r="P4" s="171"/>
      <c r="Q4" s="171"/>
      <c r="R4" s="171"/>
      <c r="S4" s="171"/>
      <c r="T4" s="171"/>
      <c r="U4" s="171"/>
      <c r="V4" s="171"/>
      <c r="W4" s="171"/>
      <c r="X4" s="171"/>
      <c r="Y4" s="171"/>
      <c r="Z4" s="171"/>
      <c r="AA4" s="171"/>
      <c r="AB4" s="171"/>
      <c r="AC4" s="171"/>
    </row>
    <row r="5" spans="1:29" ht="15.75" customHeight="1" x14ac:dyDescent="0.25">
      <c r="A5" s="251" t="s">
        <v>356</v>
      </c>
      <c r="B5" s="249">
        <v>46235</v>
      </c>
      <c r="C5" s="246">
        <v>0.75</v>
      </c>
      <c r="D5" s="246">
        <v>0.79166666666666663</v>
      </c>
      <c r="E5" s="171">
        <v>59.998907103668898</v>
      </c>
      <c r="F5" s="171">
        <v>15.806250000023283</v>
      </c>
      <c r="G5" s="171">
        <v>0</v>
      </c>
      <c r="H5" s="171">
        <v>0</v>
      </c>
      <c r="I5" s="171">
        <v>0</v>
      </c>
      <c r="J5" s="171"/>
      <c r="K5" s="171"/>
      <c r="L5" s="171"/>
      <c r="M5" s="171"/>
      <c r="N5" s="171"/>
      <c r="O5" s="171"/>
      <c r="P5" s="171"/>
      <c r="Q5" s="171"/>
      <c r="R5" s="171"/>
      <c r="S5" s="171"/>
      <c r="T5" s="171"/>
      <c r="U5" s="171"/>
      <c r="V5" s="171"/>
      <c r="W5" s="171"/>
      <c r="X5" s="171"/>
      <c r="Y5" s="171"/>
      <c r="Z5" s="171"/>
      <c r="AA5" s="171"/>
      <c r="AB5" s="171"/>
      <c r="AC5" s="171"/>
    </row>
    <row r="6" spans="1:29" ht="15.75" customHeight="1" x14ac:dyDescent="0.25">
      <c r="A6" s="252" t="s">
        <v>357</v>
      </c>
      <c r="B6" s="249">
        <v>46235</v>
      </c>
      <c r="C6" s="246">
        <v>0.79166666666666663</v>
      </c>
      <c r="D6" s="246">
        <v>0.83333333333333337</v>
      </c>
      <c r="E6" s="171">
        <v>55.433333333581686</v>
      </c>
      <c r="F6" s="171">
        <v>19.103125000023283</v>
      </c>
      <c r="G6" s="171">
        <v>0</v>
      </c>
      <c r="H6" s="171">
        <v>0</v>
      </c>
      <c r="I6" s="171">
        <v>0</v>
      </c>
      <c r="J6" s="171"/>
      <c r="K6" s="171"/>
      <c r="L6" s="171"/>
      <c r="M6" s="171"/>
      <c r="N6" s="171"/>
      <c r="O6" s="171"/>
      <c r="P6" s="171"/>
      <c r="Q6" s="171"/>
      <c r="R6" s="171"/>
      <c r="S6" s="171"/>
      <c r="T6" s="171"/>
      <c r="U6" s="171"/>
      <c r="V6" s="171"/>
      <c r="W6" s="171"/>
      <c r="X6" s="171"/>
      <c r="Y6" s="171"/>
      <c r="Z6" s="171"/>
      <c r="AA6" s="171"/>
      <c r="AB6" s="171"/>
      <c r="AC6" s="171"/>
    </row>
    <row r="7" spans="1:29" ht="15.75" customHeight="1" x14ac:dyDescent="0.25">
      <c r="A7" s="252" t="s">
        <v>358</v>
      </c>
      <c r="B7" s="249">
        <v>46235</v>
      </c>
      <c r="C7" s="246">
        <v>0.83333333333333337</v>
      </c>
      <c r="D7" s="246">
        <v>0.875</v>
      </c>
      <c r="E7" s="171">
        <v>51.466666666790843</v>
      </c>
      <c r="F7" s="171">
        <v>31.942187499953434</v>
      </c>
      <c r="G7" s="171">
        <v>0</v>
      </c>
      <c r="H7" s="171">
        <v>0</v>
      </c>
      <c r="I7" s="171">
        <v>0</v>
      </c>
      <c r="J7" s="171"/>
      <c r="K7" s="171"/>
      <c r="L7" s="171"/>
      <c r="M7" s="171"/>
      <c r="N7" s="171"/>
      <c r="O7" s="171"/>
      <c r="P7" s="171"/>
      <c r="Q7" s="171"/>
      <c r="R7" s="171"/>
      <c r="S7" s="171"/>
      <c r="T7" s="171"/>
      <c r="U7" s="171"/>
      <c r="V7" s="171"/>
      <c r="W7" s="171"/>
      <c r="X7" s="171"/>
      <c r="Y7" s="171"/>
      <c r="Z7" s="171"/>
      <c r="AA7" s="171"/>
      <c r="AB7" s="171"/>
      <c r="AC7" s="171"/>
    </row>
    <row r="8" spans="1:29" ht="15.75" customHeight="1" x14ac:dyDescent="0.25">
      <c r="A8" s="252" t="s">
        <v>359</v>
      </c>
      <c r="B8" s="249">
        <v>46235</v>
      </c>
      <c r="C8" s="246">
        <v>0.875</v>
      </c>
      <c r="D8" s="246">
        <v>0.91666666666666663</v>
      </c>
      <c r="E8" s="171">
        <v>50.916666666511446</v>
      </c>
      <c r="F8" s="171">
        <v>29.385937500046566</v>
      </c>
      <c r="G8" s="171">
        <v>0</v>
      </c>
      <c r="H8" s="171">
        <v>0</v>
      </c>
      <c r="I8" s="171">
        <v>0</v>
      </c>
      <c r="J8" s="171"/>
      <c r="K8" s="171"/>
      <c r="L8" s="171"/>
      <c r="M8" s="171"/>
      <c r="N8" s="171"/>
      <c r="O8" s="171"/>
      <c r="P8" s="171"/>
      <c r="Q8" s="171"/>
      <c r="R8" s="171"/>
      <c r="S8" s="171"/>
      <c r="T8" s="171"/>
      <c r="U8" s="171"/>
      <c r="V8" s="171"/>
      <c r="W8" s="171"/>
      <c r="X8" s="171"/>
      <c r="Y8" s="171"/>
      <c r="Z8" s="171"/>
      <c r="AA8" s="171"/>
      <c r="AB8" s="171"/>
      <c r="AC8" s="171"/>
    </row>
    <row r="9" spans="1:29" ht="15.75" customHeight="1" x14ac:dyDescent="0.25">
      <c r="A9" s="252" t="s">
        <v>380</v>
      </c>
      <c r="B9" s="249">
        <v>46236</v>
      </c>
      <c r="C9" s="246">
        <v>0.75</v>
      </c>
      <c r="D9" s="246">
        <v>0.79166666666666663</v>
      </c>
      <c r="E9" s="171">
        <v>65.83032786892727</v>
      </c>
      <c r="F9" s="171">
        <v>3.7921874999301508</v>
      </c>
      <c r="G9" s="171">
        <v>0</v>
      </c>
      <c r="H9" s="171">
        <v>0</v>
      </c>
      <c r="I9" s="171">
        <v>0</v>
      </c>
      <c r="J9" s="171"/>
      <c r="K9" s="171"/>
      <c r="L9" s="171"/>
      <c r="M9" s="171"/>
      <c r="N9" s="171"/>
      <c r="O9" s="171"/>
      <c r="P9" s="171"/>
      <c r="Q9" s="171"/>
      <c r="R9" s="171"/>
      <c r="S9" s="171"/>
      <c r="T9" s="171"/>
      <c r="U9" s="171"/>
      <c r="V9" s="171"/>
      <c r="W9" s="171"/>
      <c r="X9" s="171"/>
      <c r="Y9" s="171"/>
      <c r="Z9" s="171"/>
      <c r="AA9" s="171"/>
      <c r="AB9" s="171"/>
      <c r="AC9" s="171"/>
    </row>
    <row r="10" spans="1:29" ht="15.75" customHeight="1" x14ac:dyDescent="0.25">
      <c r="A10" s="252" t="s">
        <v>381</v>
      </c>
      <c r="B10" s="249">
        <v>46236</v>
      </c>
      <c r="C10" s="246">
        <v>0.79166666666666663</v>
      </c>
      <c r="D10" s="246">
        <v>0.83333333333333337</v>
      </c>
      <c r="E10" s="171">
        <v>49.095901639666408</v>
      </c>
      <c r="F10" s="171">
        <v>5.4156250000232831</v>
      </c>
      <c r="G10" s="171">
        <v>0</v>
      </c>
      <c r="H10" s="171">
        <v>0</v>
      </c>
      <c r="I10" s="171">
        <v>0</v>
      </c>
      <c r="J10" s="171"/>
      <c r="K10" s="171"/>
      <c r="L10" s="171"/>
      <c r="M10" s="171"/>
      <c r="N10" s="171"/>
      <c r="O10" s="171"/>
      <c r="P10" s="171"/>
      <c r="Q10" s="171"/>
      <c r="R10" s="171"/>
      <c r="S10" s="171"/>
      <c r="T10" s="171"/>
      <c r="U10" s="171"/>
      <c r="V10" s="171"/>
      <c r="W10" s="171"/>
      <c r="X10" s="171"/>
      <c r="Y10" s="171"/>
      <c r="Z10" s="171"/>
      <c r="AA10" s="171"/>
      <c r="AB10" s="171"/>
      <c r="AC10" s="171"/>
    </row>
    <row r="11" spans="1:29" ht="15.75" customHeight="1" x14ac:dyDescent="0.25">
      <c r="A11" s="252" t="s">
        <v>382</v>
      </c>
      <c r="B11" s="249">
        <v>46236</v>
      </c>
      <c r="C11" s="246">
        <v>0.83333333333333337</v>
      </c>
      <c r="D11" s="246">
        <v>0.875</v>
      </c>
      <c r="E11" s="171">
        <v>10.295988703612238</v>
      </c>
      <c r="F11" s="171">
        <v>5.3531250000232831</v>
      </c>
      <c r="G11" s="171">
        <v>34.468098958328483</v>
      </c>
      <c r="H11" s="171">
        <v>0</v>
      </c>
      <c r="I11" s="171">
        <v>0</v>
      </c>
      <c r="J11" s="171"/>
      <c r="K11" s="171"/>
      <c r="L11" s="171"/>
      <c r="M11" s="171"/>
      <c r="N11" s="171"/>
      <c r="O11" s="171"/>
      <c r="P11" s="171"/>
      <c r="Q11" s="171"/>
      <c r="R11" s="171"/>
      <c r="S11" s="171"/>
      <c r="T11" s="171"/>
      <c r="U11" s="171"/>
      <c r="V11" s="171"/>
      <c r="W11" s="171"/>
      <c r="X11" s="171"/>
      <c r="Y11" s="171"/>
      <c r="Z11" s="171"/>
      <c r="AA11" s="171"/>
      <c r="AB11" s="171"/>
      <c r="AC11" s="171"/>
    </row>
    <row r="12" spans="1:29" ht="15.75" customHeight="1" x14ac:dyDescent="0.25">
      <c r="A12" s="252" t="s">
        <v>383</v>
      </c>
      <c r="B12" s="249">
        <v>46236</v>
      </c>
      <c r="C12" s="246">
        <v>0.875</v>
      </c>
      <c r="D12" s="246">
        <v>0.91666666666666663</v>
      </c>
      <c r="E12" s="171">
        <v>5.4285542108118534E-2</v>
      </c>
      <c r="F12" s="171">
        <v>5.4721798780374229</v>
      </c>
      <c r="G12" s="171">
        <v>46.832291666665697</v>
      </c>
      <c r="H12" s="171">
        <v>0</v>
      </c>
      <c r="I12" s="171">
        <v>0</v>
      </c>
      <c r="J12" s="171"/>
      <c r="K12" s="171"/>
      <c r="L12" s="171"/>
      <c r="M12" s="171"/>
      <c r="N12" s="171"/>
      <c r="O12" s="171"/>
      <c r="P12" s="171"/>
      <c r="Q12" s="171"/>
      <c r="R12" s="171"/>
      <c r="S12" s="171"/>
      <c r="T12" s="171"/>
      <c r="U12" s="171"/>
      <c r="V12" s="171"/>
      <c r="W12" s="171"/>
      <c r="X12" s="171"/>
      <c r="Y12" s="171"/>
      <c r="Z12" s="171"/>
      <c r="AA12" s="171"/>
      <c r="AB12" s="171"/>
      <c r="AC12" s="171"/>
    </row>
    <row r="13" spans="1:29" ht="15.75" customHeight="1" x14ac:dyDescent="0.25">
      <c r="A13" s="97" t="s">
        <v>404</v>
      </c>
      <c r="B13" s="249">
        <v>46237</v>
      </c>
      <c r="C13" s="246">
        <v>0.75</v>
      </c>
      <c r="D13" s="246">
        <v>0.79166666666666663</v>
      </c>
      <c r="E13" s="171">
        <v>94.297988506034017</v>
      </c>
      <c r="F13" s="171">
        <v>13.86538461537566</v>
      </c>
      <c r="G13" s="171">
        <v>0</v>
      </c>
      <c r="H13" s="171">
        <v>0</v>
      </c>
      <c r="I13" s="171">
        <v>0</v>
      </c>
      <c r="J13" s="171"/>
      <c r="K13" s="171"/>
      <c r="L13" s="171"/>
      <c r="M13" s="171"/>
      <c r="N13" s="171"/>
      <c r="O13" s="171"/>
      <c r="P13" s="171"/>
      <c r="Q13" s="171"/>
      <c r="R13" s="171"/>
      <c r="S13" s="171"/>
      <c r="T13" s="171"/>
      <c r="U13" s="171"/>
      <c r="V13" s="171"/>
      <c r="W13" s="171"/>
      <c r="X13" s="171"/>
      <c r="Y13" s="171"/>
      <c r="Z13" s="171"/>
      <c r="AA13" s="171"/>
      <c r="AB13" s="171"/>
      <c r="AC13" s="171"/>
    </row>
    <row r="14" spans="1:29" ht="15.75" customHeight="1" x14ac:dyDescent="0.25">
      <c r="A14" s="97" t="s">
        <v>405</v>
      </c>
      <c r="B14" s="249">
        <v>46237</v>
      </c>
      <c r="C14" s="246">
        <v>0.79166666666666663</v>
      </c>
      <c r="D14" s="246">
        <v>0.83333333333333337</v>
      </c>
      <c r="E14" s="171">
        <v>76.100000000093132</v>
      </c>
      <c r="F14" s="171">
        <v>17.642187500023283</v>
      </c>
      <c r="G14" s="171">
        <v>0</v>
      </c>
      <c r="H14" s="171">
        <v>0</v>
      </c>
      <c r="I14" s="171">
        <v>0</v>
      </c>
      <c r="J14" s="171"/>
      <c r="K14" s="171"/>
      <c r="L14" s="171"/>
      <c r="M14" s="171"/>
      <c r="N14" s="171"/>
      <c r="O14" s="171"/>
      <c r="P14" s="171"/>
      <c r="Q14" s="171"/>
      <c r="R14" s="171"/>
      <c r="S14" s="171"/>
      <c r="T14" s="171"/>
      <c r="U14" s="171"/>
      <c r="V14" s="171"/>
      <c r="W14" s="171"/>
      <c r="X14" s="171"/>
      <c r="Y14" s="171"/>
      <c r="Z14" s="171"/>
      <c r="AA14" s="171"/>
      <c r="AB14" s="171"/>
      <c r="AC14" s="171"/>
    </row>
    <row r="15" spans="1:29" ht="15.75" customHeight="1" x14ac:dyDescent="0.25">
      <c r="A15" s="97" t="s">
        <v>406</v>
      </c>
      <c r="B15" s="249">
        <v>46237</v>
      </c>
      <c r="C15" s="246">
        <v>0.83333333333333337</v>
      </c>
      <c r="D15" s="246">
        <v>0.875</v>
      </c>
      <c r="E15" s="171">
        <v>61.404166666325182</v>
      </c>
      <c r="F15" s="171">
        <v>28.519397865864448</v>
      </c>
      <c r="G15" s="171">
        <v>0</v>
      </c>
      <c r="H15" s="171">
        <v>0</v>
      </c>
      <c r="I15" s="171">
        <v>0</v>
      </c>
      <c r="J15" s="171"/>
      <c r="K15" s="171"/>
      <c r="L15" s="171"/>
      <c r="M15" s="171"/>
      <c r="N15" s="171"/>
      <c r="O15" s="171"/>
      <c r="P15" s="171"/>
      <c r="Q15" s="171"/>
      <c r="R15" s="171"/>
      <c r="S15" s="171"/>
      <c r="T15" s="171"/>
      <c r="U15" s="171"/>
      <c r="V15" s="171"/>
      <c r="W15" s="171"/>
      <c r="X15" s="171"/>
      <c r="Y15" s="171"/>
      <c r="Z15" s="171"/>
      <c r="AA15" s="171"/>
      <c r="AB15" s="171"/>
      <c r="AC15" s="171"/>
    </row>
    <row r="16" spans="1:29" ht="15.75" customHeight="1" x14ac:dyDescent="0.25">
      <c r="A16" s="97" t="s">
        <v>407</v>
      </c>
      <c r="B16" s="249">
        <v>46237</v>
      </c>
      <c r="C16" s="246">
        <v>0.875</v>
      </c>
      <c r="D16" s="246">
        <v>0.91666666666666663</v>
      </c>
      <c r="E16" s="171">
        <v>47.6875</v>
      </c>
      <c r="F16" s="171">
        <v>33.244664634112269</v>
      </c>
      <c r="G16" s="171">
        <v>0</v>
      </c>
      <c r="H16" s="171">
        <v>0</v>
      </c>
      <c r="I16" s="171">
        <v>0</v>
      </c>
      <c r="J16" s="171"/>
      <c r="K16" s="171"/>
      <c r="L16" s="171"/>
      <c r="M16" s="171"/>
      <c r="N16" s="171"/>
      <c r="O16" s="171"/>
      <c r="P16" s="171"/>
      <c r="Q16" s="171"/>
      <c r="R16" s="171"/>
      <c r="S16" s="171"/>
      <c r="T16" s="171"/>
      <c r="U16" s="171"/>
      <c r="V16" s="171"/>
      <c r="W16" s="171"/>
      <c r="X16" s="171"/>
      <c r="Y16" s="171"/>
      <c r="Z16" s="171"/>
      <c r="AA16" s="171"/>
      <c r="AB16" s="171"/>
      <c r="AC16" s="171"/>
    </row>
    <row r="17" spans="1:29" ht="15.75" customHeight="1" x14ac:dyDescent="0.25">
      <c r="A17" s="97" t="s">
        <v>428</v>
      </c>
      <c r="B17" s="249">
        <v>46238</v>
      </c>
      <c r="C17" s="246">
        <v>0.75</v>
      </c>
      <c r="D17" s="246">
        <v>0.79166666666666663</v>
      </c>
      <c r="E17" s="171">
        <v>86.608333333395422</v>
      </c>
      <c r="F17" s="171">
        <v>15.349999999976717</v>
      </c>
      <c r="G17" s="171">
        <v>0</v>
      </c>
      <c r="H17" s="171">
        <v>0</v>
      </c>
      <c r="I17" s="171">
        <v>0</v>
      </c>
      <c r="J17" s="171"/>
      <c r="K17" s="171"/>
      <c r="L17" s="171"/>
      <c r="M17" s="171"/>
      <c r="N17" s="171"/>
      <c r="O17" s="171"/>
      <c r="P17" s="171"/>
      <c r="Q17" s="171"/>
      <c r="R17" s="171"/>
      <c r="S17" s="171"/>
      <c r="T17" s="171"/>
      <c r="U17" s="171"/>
      <c r="V17" s="171"/>
      <c r="W17" s="171"/>
      <c r="X17" s="171"/>
      <c r="Y17" s="171"/>
      <c r="Z17" s="171"/>
      <c r="AA17" s="171"/>
      <c r="AB17" s="171"/>
      <c r="AC17" s="171"/>
    </row>
    <row r="18" spans="1:29" ht="15.75" customHeight="1" x14ac:dyDescent="0.25">
      <c r="A18" s="97" t="s">
        <v>429</v>
      </c>
      <c r="B18" s="249">
        <v>46238</v>
      </c>
      <c r="C18" s="246">
        <v>0.79166666666666663</v>
      </c>
      <c r="D18" s="246">
        <v>0.83333333333333337</v>
      </c>
      <c r="E18" s="171">
        <v>75.901836158242077</v>
      </c>
      <c r="F18" s="171">
        <v>18.349999999976717</v>
      </c>
      <c r="G18" s="171">
        <v>0</v>
      </c>
      <c r="H18" s="171">
        <v>0</v>
      </c>
      <c r="I18" s="171">
        <v>0</v>
      </c>
      <c r="J18" s="171"/>
      <c r="K18" s="171"/>
      <c r="L18" s="171"/>
      <c r="M18" s="171"/>
      <c r="N18" s="171"/>
      <c r="O18" s="171"/>
      <c r="P18" s="171"/>
      <c r="Q18" s="171"/>
      <c r="R18" s="171"/>
      <c r="S18" s="171"/>
      <c r="T18" s="171"/>
      <c r="U18" s="171"/>
      <c r="V18" s="171"/>
      <c r="W18" s="171"/>
      <c r="X18" s="171"/>
      <c r="Y18" s="171"/>
      <c r="Z18" s="171"/>
      <c r="AA18" s="171"/>
      <c r="AB18" s="171"/>
      <c r="AC18" s="171"/>
    </row>
    <row r="19" spans="1:29" ht="15.75" customHeight="1" x14ac:dyDescent="0.25">
      <c r="A19" s="97" t="s">
        <v>430</v>
      </c>
      <c r="B19" s="249">
        <v>46238</v>
      </c>
      <c r="C19" s="246">
        <v>0.83333333333333337</v>
      </c>
      <c r="D19" s="246">
        <v>0.875</v>
      </c>
      <c r="E19" s="171">
        <v>62.373163841664791</v>
      </c>
      <c r="F19" s="171">
        <v>20.599107142887078</v>
      </c>
      <c r="G19" s="171">
        <v>0</v>
      </c>
      <c r="H19" s="171">
        <v>0</v>
      </c>
      <c r="I19" s="171">
        <v>0</v>
      </c>
      <c r="J19" s="171"/>
      <c r="K19" s="171"/>
      <c r="L19" s="171"/>
      <c r="M19" s="171"/>
      <c r="N19" s="171"/>
      <c r="O19" s="171"/>
      <c r="P19" s="171"/>
      <c r="Q19" s="171"/>
      <c r="R19" s="171"/>
      <c r="S19" s="171"/>
      <c r="T19" s="171"/>
      <c r="U19" s="171"/>
      <c r="V19" s="171"/>
      <c r="W19" s="171"/>
      <c r="X19" s="171"/>
      <c r="Y19" s="171"/>
      <c r="Z19" s="171"/>
      <c r="AA19" s="171"/>
      <c r="AB19" s="171"/>
      <c r="AC19" s="171"/>
    </row>
    <row r="20" spans="1:29" ht="15.75" customHeight="1" x14ac:dyDescent="0.25">
      <c r="A20" s="97" t="s">
        <v>431</v>
      </c>
      <c r="B20" s="249">
        <v>46238</v>
      </c>
      <c r="C20" s="246">
        <v>0.875</v>
      </c>
      <c r="D20" s="246">
        <v>0.91666666666666663</v>
      </c>
      <c r="E20" s="171">
        <v>49.891666666604578</v>
      </c>
      <c r="F20" s="171">
        <v>18.998969780281186</v>
      </c>
      <c r="G20" s="171">
        <v>0</v>
      </c>
      <c r="H20" s="171">
        <v>0</v>
      </c>
      <c r="I20" s="171">
        <v>0</v>
      </c>
      <c r="J20" s="171"/>
      <c r="K20" s="171"/>
      <c r="L20" s="171"/>
      <c r="M20" s="171"/>
      <c r="N20" s="171"/>
      <c r="O20" s="171"/>
      <c r="P20" s="171"/>
      <c r="Q20" s="171"/>
      <c r="R20" s="171"/>
      <c r="S20" s="171"/>
      <c r="T20" s="171"/>
      <c r="U20" s="171"/>
      <c r="V20" s="171"/>
      <c r="W20" s="171"/>
      <c r="X20" s="171"/>
      <c r="Y20" s="171"/>
      <c r="Z20" s="171"/>
      <c r="AA20" s="171"/>
      <c r="AB20" s="171"/>
      <c r="AC20" s="171"/>
    </row>
    <row r="21" spans="1:29" ht="15.75" customHeight="1" x14ac:dyDescent="0.25">
      <c r="A21" s="97" t="s">
        <v>452</v>
      </c>
      <c r="B21" s="249">
        <v>46239</v>
      </c>
      <c r="C21" s="246">
        <v>0.75</v>
      </c>
      <c r="D21" s="246">
        <v>0.79166666666666663</v>
      </c>
      <c r="E21" s="171">
        <v>44.450000000186265</v>
      </c>
      <c r="F21" s="171">
        <v>17.618749999906868</v>
      </c>
      <c r="G21" s="171">
        <v>36</v>
      </c>
      <c r="H21" s="171">
        <v>0</v>
      </c>
      <c r="I21" s="171">
        <v>0</v>
      </c>
      <c r="J21" s="171"/>
      <c r="K21" s="171"/>
      <c r="L21" s="171"/>
      <c r="M21" s="171"/>
      <c r="N21" s="171"/>
      <c r="O21" s="171"/>
      <c r="P21" s="171"/>
      <c r="Q21" s="171"/>
      <c r="R21" s="171"/>
      <c r="S21" s="171"/>
      <c r="T21" s="171"/>
      <c r="U21" s="171"/>
      <c r="V21" s="171"/>
      <c r="W21" s="171"/>
      <c r="X21" s="171"/>
      <c r="Y21" s="171"/>
      <c r="Z21" s="171"/>
      <c r="AA21" s="171"/>
      <c r="AB21" s="171"/>
      <c r="AC21" s="171"/>
    </row>
    <row r="22" spans="1:29" ht="15.75" customHeight="1" x14ac:dyDescent="0.25">
      <c r="A22" s="97" t="s">
        <v>453</v>
      </c>
      <c r="B22" s="249">
        <v>46239</v>
      </c>
      <c r="C22" s="246">
        <v>0.79166666666666663</v>
      </c>
      <c r="D22" s="246">
        <v>0.83333333333333337</v>
      </c>
      <c r="E22" s="171">
        <v>80.058333333116025</v>
      </c>
      <c r="F22" s="171">
        <v>21.106250000069849</v>
      </c>
      <c r="G22" s="171">
        <v>0</v>
      </c>
      <c r="H22" s="171">
        <v>0</v>
      </c>
      <c r="I22" s="171">
        <v>0</v>
      </c>
      <c r="J22" s="171"/>
      <c r="K22" s="171"/>
      <c r="L22" s="171"/>
      <c r="M22" s="171"/>
      <c r="N22" s="171"/>
      <c r="O22" s="171"/>
      <c r="P22" s="171"/>
      <c r="Q22" s="171"/>
      <c r="R22" s="171"/>
      <c r="S22" s="171"/>
      <c r="T22" s="171"/>
      <c r="U22" s="171"/>
      <c r="V22" s="171"/>
      <c r="W22" s="171"/>
      <c r="X22" s="171"/>
      <c r="Y22" s="171"/>
      <c r="Z22" s="171"/>
      <c r="AA22" s="171"/>
      <c r="AB22" s="171"/>
      <c r="AC22" s="171"/>
    </row>
    <row r="23" spans="1:29" ht="15.75" customHeight="1" x14ac:dyDescent="0.25">
      <c r="A23" s="97" t="s">
        <v>454</v>
      </c>
      <c r="B23" s="249">
        <v>46239</v>
      </c>
      <c r="C23" s="246">
        <v>0.83333333333333337</v>
      </c>
      <c r="D23" s="246">
        <v>0.875</v>
      </c>
      <c r="E23" s="171">
        <v>53.26666666707024</v>
      </c>
      <c r="F23" s="171">
        <v>20.514062499976717</v>
      </c>
      <c r="G23" s="171">
        <v>0</v>
      </c>
      <c r="H23" s="171">
        <v>0</v>
      </c>
      <c r="I23" s="171">
        <v>0</v>
      </c>
      <c r="J23" s="171"/>
      <c r="K23" s="171"/>
      <c r="L23" s="171"/>
      <c r="M23" s="171"/>
      <c r="N23" s="171"/>
      <c r="O23" s="171"/>
      <c r="P23" s="171"/>
      <c r="Q23" s="171"/>
      <c r="R23" s="171"/>
      <c r="S23" s="171"/>
      <c r="T23" s="171"/>
      <c r="U23" s="171"/>
      <c r="V23" s="171"/>
      <c r="W23" s="171"/>
      <c r="X23" s="171"/>
      <c r="Y23" s="171"/>
      <c r="Z23" s="171"/>
      <c r="AA23" s="171"/>
      <c r="AB23" s="171"/>
      <c r="AC23" s="171"/>
    </row>
    <row r="24" spans="1:29" ht="15.75" customHeight="1" x14ac:dyDescent="0.25">
      <c r="A24" s="97" t="s">
        <v>455</v>
      </c>
      <c r="B24" s="249">
        <v>46239</v>
      </c>
      <c r="C24" s="246">
        <v>0.875</v>
      </c>
      <c r="D24" s="246">
        <v>0.91666666666666663</v>
      </c>
      <c r="E24" s="171">
        <v>46.1875</v>
      </c>
      <c r="F24" s="171">
        <v>24.01352896343451</v>
      </c>
      <c r="G24" s="171">
        <v>0</v>
      </c>
      <c r="H24" s="171">
        <v>0</v>
      </c>
      <c r="I24" s="171">
        <v>0</v>
      </c>
      <c r="J24" s="171"/>
      <c r="K24" s="171"/>
      <c r="L24" s="171"/>
      <c r="M24" s="171"/>
      <c r="N24" s="171"/>
      <c r="O24" s="171"/>
      <c r="P24" s="171"/>
      <c r="Q24" s="171"/>
      <c r="R24" s="171"/>
      <c r="S24" s="171"/>
      <c r="T24" s="171"/>
      <c r="U24" s="171"/>
      <c r="V24" s="171"/>
      <c r="W24" s="171"/>
      <c r="X24" s="171"/>
      <c r="Y24" s="171"/>
      <c r="Z24" s="171"/>
      <c r="AA24" s="171"/>
      <c r="AB24" s="171"/>
      <c r="AC24" s="171"/>
    </row>
    <row r="25" spans="1:29" ht="15.75" customHeight="1" x14ac:dyDescent="0.25">
      <c r="A25" s="97" t="s">
        <v>476</v>
      </c>
      <c r="B25" s="249">
        <v>46240</v>
      </c>
      <c r="C25" s="246">
        <v>0.75</v>
      </c>
      <c r="D25" s="246">
        <v>0.79166666666666663</v>
      </c>
      <c r="E25" s="171">
        <v>96.774999999906868</v>
      </c>
      <c r="F25" s="171">
        <v>14.2890625</v>
      </c>
      <c r="G25" s="171">
        <v>0</v>
      </c>
      <c r="H25" s="171">
        <v>0</v>
      </c>
      <c r="I25" s="171">
        <v>0</v>
      </c>
      <c r="J25" s="171"/>
      <c r="K25" s="171"/>
      <c r="L25" s="171"/>
      <c r="M25" s="171"/>
      <c r="N25" s="171"/>
      <c r="O25" s="171"/>
      <c r="P25" s="171"/>
      <c r="Q25" s="171"/>
      <c r="R25" s="171"/>
      <c r="S25" s="171"/>
      <c r="T25" s="171"/>
      <c r="U25" s="171"/>
      <c r="V25" s="171"/>
      <c r="W25" s="171"/>
      <c r="X25" s="171"/>
      <c r="Y25" s="171"/>
      <c r="Z25" s="171"/>
      <c r="AA25" s="171"/>
      <c r="AB25" s="171"/>
      <c r="AC25" s="171"/>
    </row>
    <row r="26" spans="1:29" ht="15.75" customHeight="1" x14ac:dyDescent="0.25">
      <c r="A26" s="97" t="s">
        <v>477</v>
      </c>
      <c r="B26" s="249">
        <v>46240</v>
      </c>
      <c r="C26" s="246">
        <v>0.79166666666666663</v>
      </c>
      <c r="D26" s="246">
        <v>0.83333333333333337</v>
      </c>
      <c r="E26" s="171">
        <v>76.625</v>
      </c>
      <c r="F26" s="171">
        <v>27.384300595265813</v>
      </c>
      <c r="G26" s="171">
        <v>0</v>
      </c>
      <c r="H26" s="171">
        <v>0</v>
      </c>
      <c r="I26" s="171">
        <v>0</v>
      </c>
      <c r="J26" s="171"/>
      <c r="K26" s="171"/>
      <c r="L26" s="171"/>
      <c r="M26" s="171"/>
      <c r="N26" s="171"/>
      <c r="O26" s="171"/>
      <c r="P26" s="171"/>
      <c r="Q26" s="171"/>
      <c r="R26" s="171"/>
      <c r="S26" s="171"/>
      <c r="T26" s="171"/>
      <c r="U26" s="171"/>
      <c r="V26" s="171"/>
      <c r="W26" s="171"/>
      <c r="X26" s="171"/>
      <c r="Y26" s="171"/>
      <c r="Z26" s="171"/>
      <c r="AA26" s="171"/>
      <c r="AB26" s="171"/>
      <c r="AC26" s="171"/>
    </row>
    <row r="27" spans="1:29" ht="15.75" customHeight="1" x14ac:dyDescent="0.25">
      <c r="A27" s="97" t="s">
        <v>478</v>
      </c>
      <c r="B27" s="249">
        <v>46240</v>
      </c>
      <c r="C27" s="246">
        <v>0.83333333333333337</v>
      </c>
      <c r="D27" s="246">
        <v>0.875</v>
      </c>
      <c r="E27" s="171">
        <v>70.166666666511446</v>
      </c>
      <c r="F27" s="171">
        <v>20.440819596988149</v>
      </c>
      <c r="G27" s="171">
        <v>0</v>
      </c>
      <c r="H27" s="171">
        <v>0</v>
      </c>
      <c r="I27" s="171">
        <v>0</v>
      </c>
      <c r="J27" s="171"/>
      <c r="K27" s="171"/>
      <c r="L27" s="171"/>
      <c r="M27" s="171"/>
      <c r="N27" s="171"/>
      <c r="O27" s="171"/>
      <c r="P27" s="171"/>
      <c r="Q27" s="171"/>
      <c r="R27" s="171"/>
      <c r="S27" s="171"/>
      <c r="T27" s="171"/>
      <c r="U27" s="171"/>
      <c r="V27" s="171"/>
      <c r="W27" s="171"/>
      <c r="X27" s="171"/>
      <c r="Y27" s="171"/>
      <c r="Z27" s="171"/>
      <c r="AA27" s="171"/>
      <c r="AB27" s="171"/>
      <c r="AC27" s="171"/>
    </row>
    <row r="28" spans="1:29" ht="15.75" customHeight="1" x14ac:dyDescent="0.25">
      <c r="A28" s="97" t="s">
        <v>479</v>
      </c>
      <c r="B28" s="249">
        <v>46240</v>
      </c>
      <c r="C28" s="246">
        <v>0.875</v>
      </c>
      <c r="D28" s="246">
        <v>0.91666666666666663</v>
      </c>
      <c r="E28" s="171">
        <v>60.733333333395422</v>
      </c>
      <c r="F28" s="171">
        <v>18.121754807769321</v>
      </c>
      <c r="G28" s="171">
        <v>0</v>
      </c>
      <c r="H28" s="171">
        <v>0</v>
      </c>
      <c r="I28" s="171">
        <v>0</v>
      </c>
      <c r="J28" s="171"/>
      <c r="K28" s="171"/>
      <c r="L28" s="171"/>
      <c r="M28" s="171"/>
      <c r="N28" s="171"/>
      <c r="O28" s="171"/>
      <c r="P28" s="171"/>
      <c r="Q28" s="171"/>
      <c r="R28" s="171"/>
      <c r="S28" s="171"/>
      <c r="T28" s="171"/>
      <c r="U28" s="171"/>
      <c r="V28" s="171"/>
      <c r="W28" s="171"/>
      <c r="X28" s="171"/>
      <c r="Y28" s="171"/>
      <c r="Z28" s="171"/>
      <c r="AA28" s="171"/>
      <c r="AB28" s="171"/>
      <c r="AC28" s="171"/>
    </row>
    <row r="29" spans="1:29" ht="15.75" customHeight="1" x14ac:dyDescent="0.25">
      <c r="A29" s="97" t="s">
        <v>500</v>
      </c>
      <c r="B29" s="249">
        <v>46241</v>
      </c>
      <c r="C29" s="246">
        <v>0.75</v>
      </c>
      <c r="D29" s="246">
        <v>0.79166666666666663</v>
      </c>
      <c r="E29" s="171">
        <v>84.895833333488554</v>
      </c>
      <c r="F29" s="171">
        <v>14.845426829298958</v>
      </c>
      <c r="G29" s="171">
        <v>0</v>
      </c>
      <c r="H29" s="171">
        <v>0</v>
      </c>
      <c r="I29" s="171">
        <v>0</v>
      </c>
      <c r="J29" s="171"/>
      <c r="K29" s="171"/>
      <c r="L29" s="171"/>
      <c r="M29" s="171"/>
      <c r="N29" s="171"/>
      <c r="O29" s="171"/>
      <c r="P29" s="171"/>
      <c r="Q29" s="171"/>
      <c r="R29" s="171"/>
      <c r="S29" s="171"/>
      <c r="T29" s="171"/>
      <c r="U29" s="171"/>
      <c r="V29" s="171"/>
      <c r="W29" s="171"/>
      <c r="X29" s="171"/>
      <c r="Y29" s="171"/>
      <c r="Z29" s="171"/>
      <c r="AA29" s="171"/>
      <c r="AB29" s="171"/>
      <c r="AC29" s="171"/>
    </row>
    <row r="30" spans="1:29" ht="15.75" customHeight="1" x14ac:dyDescent="0.25">
      <c r="A30" s="97" t="s">
        <v>501</v>
      </c>
      <c r="B30" s="249">
        <v>46241</v>
      </c>
      <c r="C30" s="246">
        <v>0.79166666666666663</v>
      </c>
      <c r="D30" s="246">
        <v>0.83333333333333337</v>
      </c>
      <c r="E30" s="171">
        <v>70.179166666697711</v>
      </c>
      <c r="F30" s="171">
        <v>15.934260670677759</v>
      </c>
      <c r="G30" s="171">
        <v>0</v>
      </c>
      <c r="H30" s="171">
        <v>0</v>
      </c>
      <c r="I30" s="171">
        <v>0</v>
      </c>
      <c r="J30" s="171"/>
      <c r="K30" s="171"/>
      <c r="L30" s="171"/>
      <c r="M30" s="171"/>
      <c r="N30" s="171"/>
      <c r="O30" s="171"/>
      <c r="P30" s="171"/>
      <c r="Q30" s="171"/>
      <c r="R30" s="171"/>
      <c r="S30" s="171"/>
      <c r="T30" s="171"/>
      <c r="U30" s="171"/>
      <c r="V30" s="171"/>
      <c r="W30" s="171"/>
      <c r="X30" s="171"/>
      <c r="Y30" s="171"/>
      <c r="Z30" s="171"/>
      <c r="AA30" s="171"/>
      <c r="AB30" s="171"/>
      <c r="AC30" s="171"/>
    </row>
    <row r="31" spans="1:29" ht="15.75" customHeight="1" x14ac:dyDescent="0.25">
      <c r="A31" s="97" t="s">
        <v>502</v>
      </c>
      <c r="B31" s="249">
        <v>46241</v>
      </c>
      <c r="C31" s="246">
        <v>0.83333333333333337</v>
      </c>
      <c r="D31" s="246">
        <v>0.875</v>
      </c>
      <c r="E31" s="171">
        <v>53.416666666511446</v>
      </c>
      <c r="F31" s="171">
        <v>20.1953125</v>
      </c>
      <c r="G31" s="171">
        <v>0</v>
      </c>
      <c r="H31" s="171">
        <v>0</v>
      </c>
      <c r="I31" s="171">
        <v>0</v>
      </c>
      <c r="J31" s="171"/>
      <c r="K31" s="171"/>
      <c r="L31" s="171"/>
      <c r="M31" s="171"/>
      <c r="N31" s="171"/>
      <c r="O31" s="171"/>
      <c r="P31" s="171"/>
      <c r="Q31" s="171"/>
      <c r="R31" s="171"/>
      <c r="S31" s="171"/>
      <c r="T31" s="171"/>
      <c r="U31" s="171"/>
      <c r="V31" s="171"/>
      <c r="W31" s="171"/>
      <c r="X31" s="171"/>
      <c r="Y31" s="171"/>
      <c r="Z31" s="171"/>
      <c r="AA31" s="171"/>
      <c r="AB31" s="171"/>
      <c r="AC31" s="171"/>
    </row>
    <row r="32" spans="1:29" ht="15.75" customHeight="1" x14ac:dyDescent="0.25">
      <c r="A32" s="97" t="s">
        <v>503</v>
      </c>
      <c r="B32" s="249">
        <v>46241</v>
      </c>
      <c r="C32" s="246">
        <v>0.875</v>
      </c>
      <c r="D32" s="246">
        <v>0.91666666666666663</v>
      </c>
      <c r="E32" s="171">
        <v>52.987853107508272</v>
      </c>
      <c r="F32" s="171">
        <v>28.579268292640336</v>
      </c>
      <c r="G32" s="171">
        <v>0</v>
      </c>
      <c r="H32" s="171">
        <v>0</v>
      </c>
      <c r="I32" s="171">
        <v>0</v>
      </c>
      <c r="J32" s="171"/>
      <c r="K32" s="171"/>
      <c r="L32" s="171"/>
      <c r="M32" s="171"/>
      <c r="N32" s="171"/>
      <c r="O32" s="171"/>
      <c r="P32" s="171"/>
      <c r="Q32" s="171"/>
      <c r="R32" s="171"/>
      <c r="S32" s="171"/>
      <c r="T32" s="171"/>
      <c r="U32" s="171"/>
      <c r="V32" s="171"/>
      <c r="W32" s="171"/>
      <c r="X32" s="171"/>
      <c r="Y32" s="171"/>
      <c r="Z32" s="171"/>
      <c r="AA32" s="171"/>
      <c r="AB32" s="171"/>
      <c r="AC32" s="171"/>
    </row>
    <row r="33" spans="1:29" ht="15.75" customHeight="1" x14ac:dyDescent="0.25">
      <c r="A33" s="97" t="s">
        <v>524</v>
      </c>
      <c r="B33" s="249">
        <v>46242</v>
      </c>
      <c r="C33" s="246">
        <v>0.75</v>
      </c>
      <c r="D33" s="246">
        <v>0.79166666666666663</v>
      </c>
      <c r="E33" s="171">
        <v>0.12313594110310078</v>
      </c>
      <c r="F33" s="171">
        <v>14.125190548715182</v>
      </c>
      <c r="G33" s="171">
        <v>46.27734375</v>
      </c>
      <c r="H33" s="171">
        <v>0</v>
      </c>
      <c r="I33" s="171">
        <v>0</v>
      </c>
      <c r="J33" s="171"/>
      <c r="K33" s="171"/>
      <c r="L33" s="171"/>
      <c r="M33" s="171"/>
      <c r="N33" s="171"/>
      <c r="O33" s="171"/>
      <c r="P33" s="171"/>
      <c r="Q33" s="171"/>
      <c r="R33" s="171"/>
      <c r="S33" s="171"/>
      <c r="T33" s="171"/>
      <c r="U33" s="171"/>
      <c r="V33" s="171"/>
      <c r="W33" s="171"/>
      <c r="X33" s="171"/>
      <c r="Y33" s="171"/>
      <c r="Z33" s="171"/>
      <c r="AA33" s="171"/>
      <c r="AB33" s="171"/>
      <c r="AC33" s="171"/>
    </row>
    <row r="34" spans="1:29" ht="15.75" customHeight="1" x14ac:dyDescent="0.25">
      <c r="A34" s="97" t="s">
        <v>525</v>
      </c>
      <c r="B34" s="249">
        <v>46242</v>
      </c>
      <c r="C34" s="246">
        <v>0.79166666666666663</v>
      </c>
      <c r="D34" s="246">
        <v>0.83333333333333337</v>
      </c>
      <c r="E34" s="171">
        <v>37.950819672085345</v>
      </c>
      <c r="F34" s="171">
        <v>23.926371951238252</v>
      </c>
      <c r="G34" s="171">
        <v>4.5703125</v>
      </c>
      <c r="H34" s="171">
        <v>0</v>
      </c>
      <c r="I34" s="171">
        <v>0</v>
      </c>
      <c r="J34" s="171"/>
      <c r="K34" s="171"/>
      <c r="L34" s="171"/>
      <c r="M34" s="171"/>
      <c r="N34" s="171"/>
      <c r="O34" s="171"/>
      <c r="P34" s="171"/>
      <c r="Q34" s="171"/>
      <c r="R34" s="171"/>
      <c r="S34" s="171"/>
      <c r="T34" s="171"/>
      <c r="U34" s="171"/>
      <c r="V34" s="171"/>
      <c r="W34" s="171"/>
      <c r="X34" s="171"/>
      <c r="Y34" s="171"/>
      <c r="Z34" s="171"/>
      <c r="AA34" s="171"/>
      <c r="AB34" s="171"/>
      <c r="AC34" s="171"/>
    </row>
    <row r="35" spans="1:29" ht="15.75" customHeight="1" x14ac:dyDescent="0.25">
      <c r="A35" s="97" t="s">
        <v>526</v>
      </c>
      <c r="B35" s="249">
        <v>46242</v>
      </c>
      <c r="C35" s="246">
        <v>0.83333333333333337</v>
      </c>
      <c r="D35" s="246">
        <v>0.875</v>
      </c>
      <c r="E35" s="171">
        <v>43.174180327914655</v>
      </c>
      <c r="F35" s="171">
        <v>27.418750000069849</v>
      </c>
      <c r="G35" s="171">
        <v>0</v>
      </c>
      <c r="H35" s="171">
        <v>0</v>
      </c>
      <c r="I35" s="171">
        <v>0</v>
      </c>
      <c r="J35" s="171"/>
      <c r="K35" s="171"/>
      <c r="L35" s="171"/>
      <c r="M35" s="171"/>
      <c r="N35" s="171"/>
      <c r="O35" s="171"/>
      <c r="P35" s="171"/>
      <c r="Q35" s="171"/>
      <c r="R35" s="171"/>
      <c r="S35" s="171"/>
      <c r="T35" s="171"/>
      <c r="U35" s="171"/>
      <c r="V35" s="171"/>
      <c r="W35" s="171"/>
      <c r="X35" s="171"/>
      <c r="Y35" s="171"/>
      <c r="Z35" s="171"/>
      <c r="AA35" s="171"/>
      <c r="AB35" s="171"/>
      <c r="AC35" s="171"/>
    </row>
    <row r="36" spans="1:29" ht="15.75" customHeight="1" x14ac:dyDescent="0.25">
      <c r="A36" s="97" t="s">
        <v>527</v>
      </c>
      <c r="B36" s="249">
        <v>46242</v>
      </c>
      <c r="C36" s="246">
        <v>0.875</v>
      </c>
      <c r="D36" s="246">
        <v>0.91666666666666663</v>
      </c>
      <c r="E36" s="171">
        <v>42.6875</v>
      </c>
      <c r="F36" s="171">
        <v>23.662499999976717</v>
      </c>
      <c r="G36" s="171">
        <v>0</v>
      </c>
      <c r="H36" s="171">
        <v>0</v>
      </c>
      <c r="I36" s="171">
        <v>0</v>
      </c>
      <c r="J36" s="171"/>
      <c r="K36" s="171"/>
      <c r="L36" s="171"/>
      <c r="M36" s="171"/>
      <c r="N36" s="171"/>
      <c r="O36" s="171"/>
      <c r="P36" s="171"/>
      <c r="Q36" s="171"/>
      <c r="R36" s="171"/>
      <c r="S36" s="171"/>
      <c r="T36" s="171"/>
      <c r="U36" s="171"/>
      <c r="V36" s="171"/>
      <c r="W36" s="171"/>
      <c r="X36" s="171"/>
      <c r="Y36" s="171"/>
      <c r="Z36" s="171"/>
      <c r="AA36" s="171"/>
      <c r="AB36" s="171"/>
      <c r="AC36" s="171"/>
    </row>
    <row r="37" spans="1:29" ht="15.75" customHeight="1" x14ac:dyDescent="0.25">
      <c r="A37" s="97" t="s">
        <v>548</v>
      </c>
      <c r="B37" s="249">
        <v>46243</v>
      </c>
      <c r="C37" s="246">
        <v>0.75</v>
      </c>
      <c r="D37" s="246">
        <v>0.79166666666666663</v>
      </c>
      <c r="E37" s="171">
        <v>44.4375</v>
      </c>
      <c r="F37" s="171">
        <v>4.9161585365654901</v>
      </c>
      <c r="G37" s="171">
        <v>0</v>
      </c>
      <c r="H37" s="171">
        <v>0</v>
      </c>
      <c r="I37" s="171">
        <v>0</v>
      </c>
      <c r="J37" s="171"/>
      <c r="K37" s="171"/>
      <c r="L37" s="171"/>
      <c r="M37" s="171"/>
      <c r="N37" s="171"/>
      <c r="O37" s="171"/>
      <c r="P37" s="171"/>
      <c r="Q37" s="171"/>
      <c r="R37" s="171"/>
      <c r="S37" s="171"/>
      <c r="T37" s="171"/>
      <c r="U37" s="171"/>
      <c r="V37" s="171"/>
      <c r="W37" s="171"/>
      <c r="X37" s="171"/>
      <c r="Y37" s="171"/>
      <c r="Z37" s="171"/>
      <c r="AA37" s="171"/>
      <c r="AB37" s="171"/>
      <c r="AC37" s="171"/>
    </row>
    <row r="38" spans="1:29" ht="15.75" customHeight="1" x14ac:dyDescent="0.25">
      <c r="A38" s="97" t="s">
        <v>549</v>
      </c>
      <c r="B38" s="249">
        <v>46243</v>
      </c>
      <c r="C38" s="246">
        <v>0.79166666666666663</v>
      </c>
      <c r="D38" s="246">
        <v>0.83333333333333337</v>
      </c>
      <c r="E38" s="171">
        <v>49.936440677847713</v>
      </c>
      <c r="F38" s="171">
        <v>4.9794588414952159</v>
      </c>
      <c r="G38" s="171">
        <v>0</v>
      </c>
      <c r="H38" s="171">
        <v>0</v>
      </c>
      <c r="I38" s="171">
        <v>0</v>
      </c>
      <c r="J38" s="171"/>
      <c r="K38" s="171"/>
      <c r="L38" s="171"/>
      <c r="M38" s="171"/>
      <c r="N38" s="171"/>
      <c r="O38" s="171"/>
      <c r="P38" s="171"/>
      <c r="Q38" s="171"/>
      <c r="R38" s="171"/>
      <c r="S38" s="171"/>
      <c r="T38" s="171"/>
      <c r="U38" s="171"/>
      <c r="V38" s="171"/>
      <c r="W38" s="171"/>
      <c r="X38" s="171"/>
      <c r="Y38" s="171"/>
      <c r="Z38" s="171"/>
      <c r="AA38" s="171"/>
      <c r="AB38" s="171"/>
      <c r="AC38" s="171"/>
    </row>
    <row r="39" spans="1:29" ht="15.75" customHeight="1" x14ac:dyDescent="0.25">
      <c r="A39" s="97" t="s">
        <v>550</v>
      </c>
      <c r="B39" s="249">
        <v>46243</v>
      </c>
      <c r="C39" s="246">
        <v>0.83333333333333337</v>
      </c>
      <c r="D39" s="246">
        <v>0.875</v>
      </c>
      <c r="E39" s="171">
        <v>49.413559322245419</v>
      </c>
      <c r="F39" s="171">
        <v>4.9156250000232831</v>
      </c>
      <c r="G39" s="171">
        <v>0</v>
      </c>
      <c r="H39" s="171">
        <v>0</v>
      </c>
      <c r="I39" s="171">
        <v>0</v>
      </c>
      <c r="J39" s="171"/>
      <c r="K39" s="171"/>
      <c r="L39" s="171"/>
      <c r="M39" s="171"/>
      <c r="N39" s="171"/>
      <c r="O39" s="171"/>
      <c r="P39" s="171"/>
      <c r="Q39" s="171"/>
      <c r="R39" s="171"/>
      <c r="S39" s="171"/>
      <c r="T39" s="171"/>
      <c r="U39" s="171"/>
      <c r="V39" s="171"/>
      <c r="W39" s="171"/>
      <c r="X39" s="171"/>
      <c r="Y39" s="171"/>
      <c r="Z39" s="171"/>
      <c r="AA39" s="171"/>
      <c r="AB39" s="171"/>
      <c r="AC39" s="171"/>
    </row>
    <row r="40" spans="1:29" ht="15.75" customHeight="1" x14ac:dyDescent="0.25">
      <c r="A40" s="97" t="s">
        <v>551</v>
      </c>
      <c r="B40" s="249">
        <v>46243</v>
      </c>
      <c r="C40" s="246">
        <v>0.875</v>
      </c>
      <c r="D40" s="246">
        <v>0.91666666666666663</v>
      </c>
      <c r="E40" s="171">
        <v>45.225000000093132</v>
      </c>
      <c r="F40" s="171">
        <v>4.9781249999068677</v>
      </c>
      <c r="G40" s="171">
        <v>0</v>
      </c>
      <c r="H40" s="171">
        <v>0</v>
      </c>
      <c r="I40" s="171">
        <v>0</v>
      </c>
      <c r="J40" s="171"/>
      <c r="K40" s="171"/>
      <c r="L40" s="171"/>
      <c r="M40" s="171"/>
      <c r="N40" s="171"/>
      <c r="O40" s="171"/>
      <c r="P40" s="171"/>
      <c r="Q40" s="171"/>
      <c r="R40" s="171"/>
      <c r="S40" s="171"/>
      <c r="T40" s="171"/>
      <c r="U40" s="171"/>
      <c r="V40" s="171"/>
      <c r="W40" s="171"/>
      <c r="X40" s="171"/>
      <c r="Y40" s="171"/>
      <c r="Z40" s="171"/>
      <c r="AA40" s="171"/>
      <c r="AB40" s="171"/>
      <c r="AC40" s="171"/>
    </row>
    <row r="41" spans="1:29" ht="15.75" customHeight="1" x14ac:dyDescent="0.25">
      <c r="A41" s="97" t="s">
        <v>572</v>
      </c>
      <c r="B41" s="249">
        <v>46244</v>
      </c>
      <c r="C41" s="246">
        <v>0.75</v>
      </c>
      <c r="D41" s="246">
        <v>0.79166666666666663</v>
      </c>
      <c r="E41" s="171">
        <v>91.376229508314282</v>
      </c>
      <c r="F41" s="171">
        <v>18.881498716189526</v>
      </c>
      <c r="G41" s="171">
        <v>0</v>
      </c>
      <c r="H41" s="171">
        <v>0</v>
      </c>
      <c r="I41" s="171">
        <v>0</v>
      </c>
      <c r="J41" s="171"/>
      <c r="K41" s="171"/>
      <c r="L41" s="171"/>
      <c r="M41" s="171"/>
      <c r="N41" s="171"/>
      <c r="O41" s="171"/>
      <c r="P41" s="171"/>
      <c r="Q41" s="171"/>
      <c r="R41" s="171"/>
      <c r="S41" s="171"/>
      <c r="T41" s="171"/>
      <c r="U41" s="171"/>
      <c r="V41" s="171"/>
      <c r="W41" s="171"/>
      <c r="X41" s="171"/>
      <c r="Y41" s="171"/>
      <c r="Z41" s="171"/>
      <c r="AA41" s="171"/>
      <c r="AB41" s="171"/>
      <c r="AC41" s="171"/>
    </row>
    <row r="42" spans="1:29" ht="15.75" customHeight="1" x14ac:dyDescent="0.25">
      <c r="A42" s="97" t="s">
        <v>573</v>
      </c>
      <c r="B42" s="249">
        <v>46244</v>
      </c>
      <c r="C42" s="246">
        <v>0.79166666666666663</v>
      </c>
      <c r="D42" s="246">
        <v>0.83333333333333337</v>
      </c>
      <c r="E42" s="171">
        <v>82.404278966598213</v>
      </c>
      <c r="F42" s="171">
        <v>19.013567073270679</v>
      </c>
      <c r="G42" s="171">
        <v>0</v>
      </c>
      <c r="H42" s="171">
        <v>0</v>
      </c>
      <c r="I42" s="171">
        <v>0</v>
      </c>
      <c r="J42" s="171"/>
      <c r="K42" s="171"/>
      <c r="L42" s="171"/>
      <c r="M42" s="171"/>
      <c r="N42" s="171"/>
      <c r="O42" s="171"/>
      <c r="P42" s="171"/>
      <c r="Q42" s="171"/>
      <c r="R42" s="171"/>
      <c r="S42" s="171"/>
      <c r="T42" s="171"/>
      <c r="U42" s="171"/>
      <c r="V42" s="171"/>
      <c r="W42" s="171"/>
      <c r="X42" s="171"/>
      <c r="Y42" s="171"/>
      <c r="Z42" s="171"/>
      <c r="AA42" s="171"/>
      <c r="AB42" s="171"/>
      <c r="AC42" s="171"/>
    </row>
    <row r="43" spans="1:29" ht="15.75" customHeight="1" x14ac:dyDescent="0.25">
      <c r="A43" s="97" t="s">
        <v>574</v>
      </c>
      <c r="B43" s="249">
        <v>46244</v>
      </c>
      <c r="C43" s="246">
        <v>0.83333333333333337</v>
      </c>
      <c r="D43" s="246">
        <v>0.875</v>
      </c>
      <c r="E43" s="171">
        <v>76.019491525366902</v>
      </c>
      <c r="F43" s="171">
        <v>26.834374999976717</v>
      </c>
      <c r="G43" s="171">
        <v>0</v>
      </c>
      <c r="H43" s="171">
        <v>0</v>
      </c>
      <c r="I43" s="171">
        <v>0</v>
      </c>
      <c r="J43" s="171"/>
      <c r="K43" s="171"/>
      <c r="L43" s="171"/>
      <c r="M43" s="171"/>
      <c r="N43" s="171"/>
      <c r="O43" s="171"/>
      <c r="P43" s="171"/>
      <c r="Q43" s="171"/>
      <c r="R43" s="171"/>
      <c r="S43" s="171"/>
      <c r="T43" s="171"/>
      <c r="U43" s="171"/>
      <c r="V43" s="171"/>
      <c r="W43" s="171"/>
      <c r="X43" s="171"/>
      <c r="Y43" s="171"/>
      <c r="Z43" s="171"/>
      <c r="AA43" s="171"/>
      <c r="AB43" s="171"/>
      <c r="AC43" s="171"/>
    </row>
    <row r="44" spans="1:29" ht="15.75" customHeight="1" x14ac:dyDescent="0.25">
      <c r="A44" s="97" t="s">
        <v>575</v>
      </c>
      <c r="B44" s="249">
        <v>46244</v>
      </c>
      <c r="C44" s="246">
        <v>0.875</v>
      </c>
      <c r="D44" s="246">
        <v>0.91666666666666663</v>
      </c>
      <c r="E44" s="171">
        <v>49.1875</v>
      </c>
      <c r="F44" s="171">
        <v>20.267911585280672</v>
      </c>
      <c r="G44" s="171">
        <v>0</v>
      </c>
      <c r="H44" s="171">
        <v>0</v>
      </c>
      <c r="I44" s="171">
        <v>0</v>
      </c>
      <c r="J44" s="171"/>
      <c r="K44" s="171"/>
      <c r="L44" s="171"/>
      <c r="M44" s="171"/>
      <c r="N44" s="171"/>
      <c r="O44" s="171"/>
      <c r="P44" s="171"/>
      <c r="Q44" s="171"/>
      <c r="R44" s="171"/>
      <c r="S44" s="171"/>
      <c r="T44" s="171"/>
      <c r="U44" s="171"/>
      <c r="V44" s="171"/>
      <c r="W44" s="171"/>
      <c r="X44" s="171"/>
      <c r="Y44" s="171"/>
      <c r="Z44" s="171"/>
      <c r="AA44" s="171"/>
      <c r="AB44" s="171"/>
      <c r="AC44" s="171"/>
    </row>
    <row r="45" spans="1:29" ht="15.75" customHeight="1" x14ac:dyDescent="0.25">
      <c r="A45" s="97" t="s">
        <v>596</v>
      </c>
      <c r="B45" s="249">
        <v>46245</v>
      </c>
      <c r="C45" s="246">
        <v>0.75</v>
      </c>
      <c r="D45" s="246">
        <v>0.79166666666666663</v>
      </c>
      <c r="E45" s="171">
        <v>102.60416666651145</v>
      </c>
      <c r="F45" s="171">
        <v>17.062804877990857</v>
      </c>
      <c r="G45" s="171">
        <v>0</v>
      </c>
      <c r="H45" s="171">
        <v>0</v>
      </c>
      <c r="I45" s="171">
        <v>0</v>
      </c>
      <c r="J45" s="171"/>
      <c r="K45" s="171"/>
      <c r="L45" s="171"/>
      <c r="M45" s="171"/>
      <c r="N45" s="171"/>
      <c r="O45" s="171"/>
      <c r="P45" s="171"/>
      <c r="Q45" s="171"/>
      <c r="R45" s="171"/>
      <c r="S45" s="171"/>
      <c r="T45" s="171"/>
      <c r="U45" s="171"/>
      <c r="V45" s="171"/>
      <c r="W45" s="171"/>
      <c r="X45" s="171"/>
      <c r="Y45" s="171"/>
      <c r="Z45" s="171"/>
      <c r="AA45" s="171"/>
      <c r="AB45" s="171"/>
      <c r="AC45" s="171"/>
    </row>
    <row r="46" spans="1:29" ht="15.75" customHeight="1" x14ac:dyDescent="0.25">
      <c r="A46" s="97" t="s">
        <v>597</v>
      </c>
      <c r="B46" s="249">
        <v>46245</v>
      </c>
      <c r="C46" s="246">
        <v>0.79166666666666663</v>
      </c>
      <c r="D46" s="246">
        <v>0.83333333333333337</v>
      </c>
      <c r="E46" s="171">
        <v>80.682203389704227</v>
      </c>
      <c r="F46" s="171">
        <v>18.064062500023283</v>
      </c>
      <c r="G46" s="171">
        <v>0</v>
      </c>
      <c r="H46" s="171">
        <v>0</v>
      </c>
      <c r="I46" s="171">
        <v>0</v>
      </c>
      <c r="J46" s="171"/>
      <c r="K46" s="171"/>
      <c r="L46" s="171"/>
      <c r="M46" s="171"/>
      <c r="N46" s="171"/>
      <c r="O46" s="171"/>
      <c r="P46" s="171"/>
      <c r="Q46" s="171"/>
      <c r="R46" s="171"/>
      <c r="S46" s="171"/>
      <c r="T46" s="171"/>
      <c r="U46" s="171"/>
      <c r="V46" s="171"/>
      <c r="W46" s="171"/>
      <c r="X46" s="171"/>
      <c r="Y46" s="171"/>
      <c r="Z46" s="171"/>
      <c r="AA46" s="171"/>
      <c r="AB46" s="171"/>
      <c r="AC46" s="171"/>
    </row>
    <row r="47" spans="1:29" ht="15.75" customHeight="1" x14ac:dyDescent="0.25">
      <c r="A47" s="97" t="s">
        <v>598</v>
      </c>
      <c r="B47" s="249">
        <v>46245</v>
      </c>
      <c r="C47" s="246">
        <v>0.83333333333333337</v>
      </c>
      <c r="D47" s="246">
        <v>0.875</v>
      </c>
      <c r="E47" s="171">
        <v>64.745215964969248</v>
      </c>
      <c r="F47" s="171">
        <v>23.032812500023283</v>
      </c>
      <c r="G47" s="171">
        <v>0</v>
      </c>
      <c r="H47" s="171">
        <v>0</v>
      </c>
      <c r="I47" s="171">
        <v>0</v>
      </c>
      <c r="J47" s="171"/>
      <c r="K47" s="171"/>
      <c r="L47" s="171"/>
      <c r="M47" s="171"/>
      <c r="N47" s="171"/>
      <c r="O47" s="171"/>
      <c r="P47" s="171"/>
      <c r="Q47" s="171"/>
      <c r="R47" s="171"/>
      <c r="S47" s="171"/>
      <c r="T47" s="171"/>
      <c r="U47" s="171"/>
      <c r="V47" s="171"/>
      <c r="W47" s="171"/>
      <c r="X47" s="171"/>
      <c r="Y47" s="171"/>
      <c r="Z47" s="171"/>
      <c r="AA47" s="171"/>
      <c r="AB47" s="171"/>
      <c r="AC47" s="171"/>
    </row>
    <row r="48" spans="1:29" ht="15.75" customHeight="1" x14ac:dyDescent="0.25">
      <c r="A48" s="97" t="s">
        <v>599</v>
      </c>
      <c r="B48" s="249">
        <v>46245</v>
      </c>
      <c r="C48" s="246">
        <v>0.875</v>
      </c>
      <c r="D48" s="246">
        <v>0.91666666666666663</v>
      </c>
      <c r="E48" s="171">
        <v>52.210080645512789</v>
      </c>
      <c r="F48" s="171">
        <v>19.590624999953434</v>
      </c>
      <c r="G48" s="171">
        <v>0</v>
      </c>
      <c r="H48" s="171">
        <v>0</v>
      </c>
      <c r="I48" s="171">
        <v>0</v>
      </c>
      <c r="J48" s="171"/>
      <c r="K48" s="171"/>
      <c r="L48" s="171"/>
      <c r="M48" s="171"/>
      <c r="N48" s="171"/>
      <c r="O48" s="171"/>
      <c r="P48" s="171"/>
      <c r="Q48" s="171"/>
      <c r="R48" s="171"/>
      <c r="S48" s="171"/>
      <c r="T48" s="171"/>
      <c r="U48" s="171"/>
      <c r="V48" s="171"/>
      <c r="W48" s="171"/>
      <c r="X48" s="171"/>
      <c r="Y48" s="171"/>
      <c r="Z48" s="171"/>
      <c r="AA48" s="171"/>
      <c r="AB48" s="171"/>
      <c r="AC48" s="171"/>
    </row>
    <row r="49" spans="1:29" ht="15.75" customHeight="1" x14ac:dyDescent="0.25">
      <c r="A49" s="97" t="s">
        <v>620</v>
      </c>
      <c r="B49" s="249">
        <v>46246</v>
      </c>
      <c r="C49" s="246">
        <v>0.75</v>
      </c>
      <c r="D49" s="246">
        <v>0.79166666666666663</v>
      </c>
      <c r="E49" s="171">
        <v>107.94166666641831</v>
      </c>
      <c r="F49" s="171">
        <v>21.168750000069849</v>
      </c>
      <c r="G49" s="171">
        <v>0</v>
      </c>
      <c r="H49" s="171">
        <v>0</v>
      </c>
      <c r="I49" s="171">
        <v>0</v>
      </c>
      <c r="J49" s="171"/>
      <c r="K49" s="171"/>
      <c r="L49" s="171"/>
      <c r="M49" s="171"/>
      <c r="N49" s="171"/>
      <c r="O49" s="171"/>
      <c r="P49" s="171"/>
      <c r="Q49" s="171"/>
      <c r="R49" s="171"/>
      <c r="S49" s="171"/>
      <c r="T49" s="171"/>
      <c r="U49" s="171"/>
      <c r="V49" s="171"/>
      <c r="W49" s="171"/>
      <c r="X49" s="171"/>
      <c r="Y49" s="171"/>
      <c r="Z49" s="171"/>
      <c r="AA49" s="171"/>
      <c r="AB49" s="171"/>
      <c r="AC49" s="171"/>
    </row>
    <row r="50" spans="1:29" ht="15.75" customHeight="1" x14ac:dyDescent="0.25">
      <c r="A50" s="97" t="s">
        <v>621</v>
      </c>
      <c r="B50" s="249">
        <v>46246</v>
      </c>
      <c r="C50" s="246">
        <v>0.79166666666666663</v>
      </c>
      <c r="D50" s="246">
        <v>0.83333333333333337</v>
      </c>
      <c r="E50" s="171">
        <v>97.162500000093132</v>
      </c>
      <c r="F50" s="171">
        <v>22.918749999953434</v>
      </c>
      <c r="G50" s="171">
        <v>0</v>
      </c>
      <c r="H50" s="171">
        <v>0</v>
      </c>
      <c r="I50" s="171">
        <v>0</v>
      </c>
      <c r="J50" s="171"/>
      <c r="K50" s="171"/>
      <c r="L50" s="171"/>
      <c r="M50" s="171"/>
      <c r="N50" s="171"/>
      <c r="O50" s="171"/>
      <c r="P50" s="171"/>
      <c r="Q50" s="171"/>
      <c r="R50" s="171"/>
      <c r="S50" s="171"/>
      <c r="T50" s="171"/>
      <c r="U50" s="171"/>
      <c r="V50" s="171"/>
      <c r="W50" s="171"/>
      <c r="X50" s="171"/>
      <c r="Y50" s="171"/>
      <c r="Z50" s="171"/>
      <c r="AA50" s="171"/>
      <c r="AB50" s="171"/>
      <c r="AC50" s="171"/>
    </row>
    <row r="51" spans="1:29" ht="15.75" customHeight="1" x14ac:dyDescent="0.25">
      <c r="A51" s="97" t="s">
        <v>622</v>
      </c>
      <c r="B51" s="249">
        <v>46246</v>
      </c>
      <c r="C51" s="246">
        <v>0.83333333333333337</v>
      </c>
      <c r="D51" s="246">
        <v>0.875</v>
      </c>
      <c r="E51" s="171">
        <v>74.459051724057645</v>
      </c>
      <c r="F51" s="171">
        <v>22.793749999953434</v>
      </c>
      <c r="G51" s="171">
        <v>0</v>
      </c>
      <c r="H51" s="171">
        <v>0</v>
      </c>
      <c r="I51" s="171">
        <v>0</v>
      </c>
      <c r="J51" s="171"/>
      <c r="K51" s="171"/>
      <c r="L51" s="171"/>
      <c r="M51" s="171"/>
      <c r="N51" s="171"/>
      <c r="O51" s="171"/>
      <c r="P51" s="171"/>
      <c r="Q51" s="171"/>
      <c r="R51" s="171"/>
      <c r="S51" s="171"/>
      <c r="T51" s="171"/>
      <c r="U51" s="171"/>
      <c r="V51" s="171"/>
      <c r="W51" s="171"/>
      <c r="X51" s="171"/>
      <c r="Y51" s="171"/>
      <c r="Z51" s="171"/>
      <c r="AA51" s="171"/>
      <c r="AB51" s="171"/>
      <c r="AC51" s="171"/>
    </row>
    <row r="52" spans="1:29" ht="15.75" customHeight="1" x14ac:dyDescent="0.25">
      <c r="A52" s="97" t="s">
        <v>623</v>
      </c>
      <c r="B52" s="249">
        <v>46246</v>
      </c>
      <c r="C52" s="246">
        <v>0.875</v>
      </c>
      <c r="D52" s="246">
        <v>0.91666666666666663</v>
      </c>
      <c r="E52" s="171">
        <v>54.215948275756091</v>
      </c>
      <c r="F52" s="171">
        <v>20.850000000093132</v>
      </c>
      <c r="G52" s="171">
        <v>0</v>
      </c>
      <c r="H52" s="171">
        <v>0</v>
      </c>
      <c r="I52" s="171">
        <v>0</v>
      </c>
      <c r="J52" s="171"/>
      <c r="K52" s="171"/>
      <c r="L52" s="171"/>
      <c r="M52" s="171"/>
      <c r="N52" s="171"/>
      <c r="O52" s="171"/>
      <c r="P52" s="171"/>
      <c r="Q52" s="171"/>
      <c r="R52" s="171"/>
      <c r="S52" s="171"/>
      <c r="T52" s="171"/>
      <c r="U52" s="171"/>
      <c r="V52" s="171"/>
      <c r="W52" s="171"/>
      <c r="X52" s="171"/>
      <c r="Y52" s="171"/>
      <c r="Z52" s="171"/>
      <c r="AA52" s="171"/>
      <c r="AB52" s="171"/>
      <c r="AC52" s="171"/>
    </row>
    <row r="53" spans="1:29" ht="15.75" customHeight="1" x14ac:dyDescent="0.25">
      <c r="A53" s="97" t="s">
        <v>644</v>
      </c>
      <c r="B53" s="249">
        <v>46247</v>
      </c>
      <c r="C53" s="246">
        <v>0.75</v>
      </c>
      <c r="D53" s="246">
        <v>0.79166666666666663</v>
      </c>
      <c r="E53" s="171">
        <v>90.846186440903693</v>
      </c>
      <c r="F53" s="171">
        <v>0</v>
      </c>
      <c r="G53" s="171">
        <v>0</v>
      </c>
      <c r="H53" s="171">
        <v>0</v>
      </c>
      <c r="I53" s="171">
        <v>17.00773482952718</v>
      </c>
      <c r="J53" s="171"/>
      <c r="K53" s="171"/>
      <c r="L53" s="171"/>
      <c r="M53" s="171"/>
      <c r="N53" s="171"/>
      <c r="O53" s="171"/>
      <c r="P53" s="171"/>
      <c r="Q53" s="171"/>
      <c r="R53" s="171"/>
      <c r="S53" s="171"/>
      <c r="T53" s="171"/>
      <c r="U53" s="171"/>
      <c r="V53" s="171"/>
      <c r="W53" s="171"/>
      <c r="X53" s="171"/>
      <c r="Y53" s="171"/>
      <c r="Z53" s="171"/>
      <c r="AA53" s="171"/>
      <c r="AB53" s="171"/>
      <c r="AC53" s="171"/>
    </row>
    <row r="54" spans="1:29" ht="15.75" customHeight="1" x14ac:dyDescent="0.25">
      <c r="A54" s="97" t="s">
        <v>645</v>
      </c>
      <c r="B54" s="249">
        <v>46247</v>
      </c>
      <c r="C54" s="246">
        <v>0.79166666666666663</v>
      </c>
      <c r="D54" s="246">
        <v>0.83333333333333337</v>
      </c>
      <c r="E54" s="171">
        <v>77.445480226073414</v>
      </c>
      <c r="F54" s="171">
        <v>0</v>
      </c>
      <c r="G54" s="171">
        <v>0</v>
      </c>
      <c r="H54" s="171">
        <v>0</v>
      </c>
      <c r="I54" s="171">
        <v>18.330664062497817</v>
      </c>
      <c r="J54" s="171"/>
      <c r="K54" s="171"/>
      <c r="L54" s="171"/>
      <c r="M54" s="171"/>
      <c r="N54" s="171"/>
      <c r="O54" s="171"/>
      <c r="P54" s="171"/>
      <c r="Q54" s="171"/>
      <c r="R54" s="171"/>
      <c r="S54" s="171"/>
      <c r="T54" s="171"/>
      <c r="U54" s="171"/>
      <c r="V54" s="171"/>
      <c r="W54" s="171"/>
      <c r="X54" s="171"/>
      <c r="Y54" s="171"/>
      <c r="Z54" s="171"/>
      <c r="AA54" s="171"/>
      <c r="AB54" s="171"/>
      <c r="AC54" s="171"/>
    </row>
    <row r="55" spans="1:29" ht="15.75" customHeight="1" x14ac:dyDescent="0.25">
      <c r="A55" s="97" t="s">
        <v>646</v>
      </c>
      <c r="B55" s="249">
        <v>46247</v>
      </c>
      <c r="C55" s="246">
        <v>0.83333333333333337</v>
      </c>
      <c r="D55" s="246">
        <v>0.875</v>
      </c>
      <c r="E55" s="171">
        <v>64.666666666511446</v>
      </c>
      <c r="F55" s="171">
        <v>0</v>
      </c>
      <c r="G55" s="171">
        <v>0</v>
      </c>
      <c r="H55" s="171">
        <v>0</v>
      </c>
      <c r="I55" s="171">
        <v>21.446630859376455</v>
      </c>
      <c r="J55" s="171"/>
      <c r="K55" s="171"/>
      <c r="L55" s="171"/>
      <c r="M55" s="171"/>
      <c r="N55" s="171"/>
      <c r="O55" s="171"/>
      <c r="P55" s="171"/>
      <c r="Q55" s="171"/>
      <c r="R55" s="171"/>
      <c r="S55" s="171"/>
      <c r="T55" s="171"/>
      <c r="U55" s="171"/>
      <c r="V55" s="171"/>
      <c r="W55" s="171"/>
      <c r="X55" s="171"/>
      <c r="Y55" s="171"/>
      <c r="Z55" s="171"/>
      <c r="AA55" s="171"/>
      <c r="AB55" s="171"/>
      <c r="AC55" s="171"/>
    </row>
    <row r="56" spans="1:29" ht="15.75" customHeight="1" x14ac:dyDescent="0.25">
      <c r="A56" s="97" t="s">
        <v>647</v>
      </c>
      <c r="B56" s="249">
        <v>46247</v>
      </c>
      <c r="C56" s="246">
        <v>0.875</v>
      </c>
      <c r="D56" s="246">
        <v>0.91666666666666663</v>
      </c>
      <c r="E56" s="171">
        <v>51.966666666790843</v>
      </c>
      <c r="F56" s="171">
        <v>0</v>
      </c>
      <c r="G56" s="171">
        <v>0</v>
      </c>
      <c r="H56" s="171">
        <v>0</v>
      </c>
      <c r="I56" s="171">
        <v>20.410733850992983</v>
      </c>
      <c r="J56" s="171"/>
      <c r="K56" s="171"/>
      <c r="L56" s="171"/>
      <c r="M56" s="171"/>
      <c r="N56" s="171"/>
      <c r="O56" s="171"/>
      <c r="P56" s="171"/>
      <c r="Q56" s="171"/>
      <c r="R56" s="171"/>
      <c r="S56" s="171"/>
      <c r="T56" s="171"/>
      <c r="U56" s="171"/>
      <c r="V56" s="171"/>
      <c r="W56" s="171"/>
      <c r="X56" s="171"/>
      <c r="Y56" s="171"/>
      <c r="Z56" s="171"/>
      <c r="AA56" s="171"/>
      <c r="AB56" s="171"/>
      <c r="AC56" s="171"/>
    </row>
    <row r="57" spans="1:29" ht="15.75" customHeight="1" x14ac:dyDescent="0.25">
      <c r="A57" s="97" t="s">
        <v>668</v>
      </c>
      <c r="B57" s="249">
        <v>46248</v>
      </c>
      <c r="C57" s="246">
        <v>0.75</v>
      </c>
      <c r="D57" s="246">
        <v>0.79166666666666663</v>
      </c>
      <c r="E57" s="171">
        <v>88.555737704969943</v>
      </c>
      <c r="F57" s="171">
        <v>16.703125</v>
      </c>
      <c r="G57" s="171">
        <v>0</v>
      </c>
      <c r="H57" s="171">
        <v>0</v>
      </c>
      <c r="I57" s="171">
        <v>0</v>
      </c>
      <c r="J57" s="171"/>
      <c r="K57" s="171"/>
      <c r="L57" s="171"/>
      <c r="M57" s="171"/>
      <c r="N57" s="171"/>
      <c r="O57" s="171"/>
      <c r="P57" s="171"/>
      <c r="Q57" s="171"/>
      <c r="R57" s="171"/>
      <c r="S57" s="171"/>
      <c r="T57" s="171"/>
      <c r="U57" s="171"/>
      <c r="V57" s="171"/>
      <c r="W57" s="171"/>
      <c r="X57" s="171"/>
      <c r="Y57" s="171"/>
      <c r="Z57" s="171"/>
      <c r="AA57" s="171"/>
      <c r="AB57" s="171"/>
      <c r="AC57" s="171"/>
    </row>
    <row r="58" spans="1:29" ht="15.75" customHeight="1" x14ac:dyDescent="0.25">
      <c r="A58" s="97" t="s">
        <v>669</v>
      </c>
      <c r="B58" s="249">
        <v>46248</v>
      </c>
      <c r="C58" s="246">
        <v>0.79166666666666663</v>
      </c>
      <c r="D58" s="246">
        <v>0.83333333333333337</v>
      </c>
      <c r="E58" s="171">
        <v>75.800000000279397</v>
      </c>
      <c r="F58" s="171">
        <v>18.1953125</v>
      </c>
      <c r="G58" s="171">
        <v>0</v>
      </c>
      <c r="H58" s="171">
        <v>0</v>
      </c>
      <c r="I58" s="171">
        <v>0</v>
      </c>
      <c r="J58" s="171"/>
      <c r="K58" s="171"/>
      <c r="L58" s="171"/>
      <c r="M58" s="171"/>
      <c r="N58" s="171"/>
      <c r="O58" s="171"/>
      <c r="P58" s="171"/>
      <c r="Q58" s="171"/>
      <c r="R58" s="171"/>
      <c r="S58" s="171"/>
      <c r="T58" s="171"/>
      <c r="U58" s="171"/>
      <c r="V58" s="171"/>
      <c r="W58" s="171"/>
      <c r="X58" s="171"/>
      <c r="Y58" s="171"/>
      <c r="Z58" s="171"/>
      <c r="AA58" s="171"/>
      <c r="AB58" s="171"/>
      <c r="AC58" s="171"/>
    </row>
    <row r="59" spans="1:29" ht="15.75" customHeight="1" x14ac:dyDescent="0.25">
      <c r="A59" s="97" t="s">
        <v>670</v>
      </c>
      <c r="B59" s="249">
        <v>46248</v>
      </c>
      <c r="C59" s="246">
        <v>0.83333333333333337</v>
      </c>
      <c r="D59" s="246">
        <v>0.875</v>
      </c>
      <c r="E59" s="171">
        <v>60.412903225515038</v>
      </c>
      <c r="F59" s="171">
        <v>25.4140625</v>
      </c>
      <c r="G59" s="171">
        <v>0</v>
      </c>
      <c r="H59" s="171">
        <v>0</v>
      </c>
      <c r="I59" s="171">
        <v>0</v>
      </c>
      <c r="J59" s="171"/>
      <c r="K59" s="171"/>
      <c r="L59" s="171"/>
      <c r="M59" s="171"/>
      <c r="N59" s="171"/>
      <c r="O59" s="171"/>
      <c r="P59" s="171"/>
      <c r="Q59" s="171"/>
      <c r="R59" s="171"/>
      <c r="S59" s="171"/>
      <c r="T59" s="171"/>
      <c r="U59" s="171"/>
      <c r="V59" s="171"/>
      <c r="W59" s="171"/>
      <c r="X59" s="171"/>
      <c r="Y59" s="171"/>
      <c r="Z59" s="171"/>
      <c r="AA59" s="171"/>
      <c r="AB59" s="171"/>
      <c r="AC59" s="171"/>
    </row>
    <row r="60" spans="1:29" ht="15.75" customHeight="1" x14ac:dyDescent="0.25">
      <c r="A60" s="97" t="s">
        <v>671</v>
      </c>
      <c r="B60" s="249">
        <v>46248</v>
      </c>
      <c r="C60" s="246">
        <v>0.875</v>
      </c>
      <c r="D60" s="246">
        <v>0.91666666666666663</v>
      </c>
      <c r="E60" s="171">
        <v>48.912096774205565</v>
      </c>
      <c r="F60" s="171">
        <v>20.135937500046566</v>
      </c>
      <c r="G60" s="171">
        <v>0</v>
      </c>
      <c r="H60" s="171">
        <v>0</v>
      </c>
      <c r="I60" s="171">
        <v>0</v>
      </c>
      <c r="J60" s="171"/>
      <c r="K60" s="171"/>
      <c r="L60" s="171"/>
      <c r="M60" s="171"/>
      <c r="N60" s="171"/>
      <c r="O60" s="171"/>
      <c r="P60" s="171"/>
      <c r="Q60" s="171"/>
      <c r="R60" s="171"/>
      <c r="S60" s="171"/>
      <c r="T60" s="171"/>
      <c r="U60" s="171"/>
      <c r="V60" s="171"/>
      <c r="W60" s="171"/>
      <c r="X60" s="171"/>
      <c r="Y60" s="171"/>
      <c r="Z60" s="171"/>
      <c r="AA60" s="171"/>
      <c r="AB60" s="171"/>
      <c r="AC60" s="171"/>
    </row>
    <row r="61" spans="1:29" ht="15.75" customHeight="1" x14ac:dyDescent="0.25">
      <c r="A61" s="97" t="s">
        <v>692</v>
      </c>
      <c r="B61" s="249">
        <v>46249</v>
      </c>
      <c r="C61" s="246">
        <v>0.75</v>
      </c>
      <c r="D61" s="246">
        <v>0.79166666666666663</v>
      </c>
      <c r="E61" s="171">
        <v>42.777868852484971</v>
      </c>
      <c r="F61" s="171">
        <v>4.0656250000465661</v>
      </c>
      <c r="G61" s="171">
        <v>0</v>
      </c>
      <c r="H61" s="171">
        <v>0</v>
      </c>
      <c r="I61" s="171">
        <v>0</v>
      </c>
      <c r="J61" s="171"/>
      <c r="K61" s="171"/>
      <c r="L61" s="171"/>
      <c r="M61" s="171"/>
      <c r="N61" s="171"/>
      <c r="O61" s="171"/>
      <c r="P61" s="171"/>
      <c r="Q61" s="171"/>
      <c r="R61" s="171"/>
      <c r="S61" s="171"/>
      <c r="T61" s="171"/>
      <c r="U61" s="171"/>
      <c r="V61" s="171"/>
      <c r="W61" s="171"/>
      <c r="X61" s="171"/>
      <c r="Y61" s="171"/>
      <c r="Z61" s="171"/>
      <c r="AA61" s="171"/>
      <c r="AB61" s="171"/>
      <c r="AC61" s="171"/>
    </row>
    <row r="62" spans="1:29" ht="15.75" customHeight="1" x14ac:dyDescent="0.25">
      <c r="A62" s="97" t="s">
        <v>693</v>
      </c>
      <c r="B62" s="249">
        <v>46249</v>
      </c>
      <c r="C62" s="246">
        <v>0.79166666666666663</v>
      </c>
      <c r="D62" s="246">
        <v>0.83333333333333337</v>
      </c>
      <c r="E62" s="171">
        <v>45.993548386730254</v>
      </c>
      <c r="F62" s="171">
        <v>5.5421874999301508</v>
      </c>
      <c r="G62" s="171">
        <v>0</v>
      </c>
      <c r="H62" s="171">
        <v>0</v>
      </c>
      <c r="I62" s="171">
        <v>0</v>
      </c>
      <c r="J62" s="171"/>
      <c r="K62" s="171"/>
      <c r="L62" s="171"/>
      <c r="M62" s="171"/>
      <c r="N62" s="171"/>
      <c r="O62" s="171"/>
      <c r="P62" s="171"/>
      <c r="Q62" s="171"/>
      <c r="R62" s="171"/>
      <c r="S62" s="171"/>
      <c r="T62" s="171"/>
      <c r="U62" s="171"/>
      <c r="V62" s="171"/>
      <c r="W62" s="171"/>
      <c r="X62" s="171"/>
      <c r="Y62" s="171"/>
      <c r="Z62" s="171"/>
      <c r="AA62" s="171"/>
      <c r="AB62" s="171"/>
      <c r="AC62" s="171"/>
    </row>
    <row r="63" spans="1:29" ht="15.75" customHeight="1" x14ac:dyDescent="0.25">
      <c r="A63" s="97" t="s">
        <v>694</v>
      </c>
      <c r="B63" s="249">
        <v>46249</v>
      </c>
      <c r="C63" s="246">
        <v>0.83333333333333337</v>
      </c>
      <c r="D63" s="246">
        <v>0.875</v>
      </c>
      <c r="E63" s="171">
        <v>53.39395161299035</v>
      </c>
      <c r="F63" s="171">
        <v>5.7296875000465661</v>
      </c>
      <c r="G63" s="171">
        <v>0</v>
      </c>
      <c r="H63" s="171">
        <v>0</v>
      </c>
      <c r="I63" s="171">
        <v>0</v>
      </c>
      <c r="J63" s="171"/>
      <c r="K63" s="171"/>
      <c r="L63" s="171"/>
      <c r="M63" s="171"/>
      <c r="N63" s="171"/>
      <c r="O63" s="171"/>
      <c r="P63" s="171"/>
      <c r="Q63" s="171"/>
      <c r="R63" s="171"/>
      <c r="S63" s="171"/>
      <c r="T63" s="171"/>
      <c r="U63" s="171"/>
      <c r="V63" s="171"/>
      <c r="W63" s="171"/>
      <c r="X63" s="171"/>
      <c r="Y63" s="171"/>
      <c r="Z63" s="171"/>
      <c r="AA63" s="171"/>
      <c r="AB63" s="171"/>
      <c r="AC63" s="171"/>
    </row>
    <row r="64" spans="1:29" ht="15.75" customHeight="1" x14ac:dyDescent="0.25">
      <c r="A64" s="97" t="s">
        <v>695</v>
      </c>
      <c r="B64" s="249">
        <v>46249</v>
      </c>
      <c r="C64" s="246">
        <v>0.875</v>
      </c>
      <c r="D64" s="246">
        <v>0.91666666666666663</v>
      </c>
      <c r="E64" s="171">
        <v>49.6875</v>
      </c>
      <c r="F64" s="171">
        <v>5.1031250000232831</v>
      </c>
      <c r="G64" s="171">
        <v>0</v>
      </c>
      <c r="H64" s="171">
        <v>0</v>
      </c>
      <c r="I64" s="171">
        <v>0</v>
      </c>
      <c r="J64" s="171"/>
      <c r="K64" s="171"/>
      <c r="L64" s="171"/>
      <c r="M64" s="171"/>
      <c r="N64" s="171"/>
      <c r="O64" s="171"/>
      <c r="P64" s="171"/>
      <c r="Q64" s="171"/>
      <c r="R64" s="171"/>
      <c r="S64" s="171"/>
      <c r="T64" s="171"/>
      <c r="U64" s="171"/>
      <c r="V64" s="171"/>
      <c r="W64" s="171"/>
      <c r="X64" s="171"/>
      <c r="Y64" s="171"/>
      <c r="Z64" s="171"/>
      <c r="AA64" s="171"/>
      <c r="AB64" s="171"/>
      <c r="AC64" s="171"/>
    </row>
    <row r="65" spans="1:29" ht="15.75" customHeight="1" x14ac:dyDescent="0.25">
      <c r="A65" s="97" t="s">
        <v>716</v>
      </c>
      <c r="B65" s="249">
        <v>46250</v>
      </c>
      <c r="C65" s="246">
        <v>0.75</v>
      </c>
      <c r="D65" s="246">
        <v>0.79166666666666663</v>
      </c>
      <c r="E65" s="171">
        <v>44.950000000186265</v>
      </c>
      <c r="F65" s="171">
        <v>12.331250000046566</v>
      </c>
      <c r="G65" s="171">
        <v>0</v>
      </c>
      <c r="H65" s="171">
        <v>0</v>
      </c>
      <c r="I65" s="171">
        <v>0.22617187500145519</v>
      </c>
      <c r="J65" s="171"/>
      <c r="K65" s="171"/>
      <c r="L65" s="171"/>
      <c r="M65" s="171"/>
      <c r="N65" s="171"/>
      <c r="O65" s="171"/>
      <c r="P65" s="171"/>
      <c r="Q65" s="171"/>
      <c r="R65" s="171"/>
      <c r="S65" s="171"/>
      <c r="T65" s="171"/>
      <c r="U65" s="171"/>
      <c r="V65" s="171"/>
      <c r="W65" s="171"/>
      <c r="X65" s="171"/>
      <c r="Y65" s="171"/>
      <c r="Z65" s="171"/>
      <c r="AA65" s="171"/>
      <c r="AB65" s="171"/>
      <c r="AC65" s="171"/>
    </row>
    <row r="66" spans="1:29" ht="15.75" customHeight="1" x14ac:dyDescent="0.25">
      <c r="A66" s="97" t="s">
        <v>717</v>
      </c>
      <c r="B66" s="249">
        <v>46250</v>
      </c>
      <c r="C66" s="246">
        <v>0.79166666666666663</v>
      </c>
      <c r="D66" s="246">
        <v>0.83333333333333337</v>
      </c>
      <c r="E66" s="171">
        <v>49.285655737388879</v>
      </c>
      <c r="F66" s="171">
        <v>16.768749999930151</v>
      </c>
      <c r="G66" s="171">
        <v>0</v>
      </c>
      <c r="H66" s="171">
        <v>0</v>
      </c>
      <c r="I66" s="171">
        <v>0</v>
      </c>
      <c r="J66" s="171"/>
      <c r="K66" s="171"/>
      <c r="L66" s="171"/>
      <c r="M66" s="171"/>
      <c r="N66" s="171"/>
      <c r="O66" s="171"/>
      <c r="P66" s="171"/>
      <c r="Q66" s="171"/>
      <c r="R66" s="171"/>
      <c r="S66" s="171"/>
      <c r="T66" s="171"/>
      <c r="U66" s="171"/>
      <c r="V66" s="171"/>
      <c r="W66" s="171"/>
      <c r="X66" s="171"/>
      <c r="Y66" s="171"/>
      <c r="Z66" s="171"/>
      <c r="AA66" s="171"/>
      <c r="AB66" s="171"/>
      <c r="AC66" s="171"/>
    </row>
    <row r="67" spans="1:29" ht="15.75" customHeight="1" x14ac:dyDescent="0.25">
      <c r="A67" s="97" t="s">
        <v>718</v>
      </c>
      <c r="B67" s="249">
        <v>46250</v>
      </c>
      <c r="C67" s="246">
        <v>0.83333333333333337</v>
      </c>
      <c r="D67" s="246">
        <v>0.875</v>
      </c>
      <c r="E67" s="171">
        <v>46.864344262517989</v>
      </c>
      <c r="F67" s="171">
        <v>16.462500000023283</v>
      </c>
      <c r="G67" s="171">
        <v>0</v>
      </c>
      <c r="H67" s="171">
        <v>0</v>
      </c>
      <c r="I67" s="171">
        <v>0</v>
      </c>
      <c r="J67" s="171"/>
      <c r="K67" s="171"/>
      <c r="L67" s="171"/>
      <c r="M67" s="171"/>
      <c r="N67" s="171"/>
      <c r="O67" s="171"/>
      <c r="P67" s="171"/>
      <c r="Q67" s="171"/>
      <c r="R67" s="171"/>
      <c r="S67" s="171"/>
      <c r="T67" s="171"/>
      <c r="U67" s="171"/>
      <c r="V67" s="171"/>
      <c r="W67" s="171"/>
      <c r="X67" s="171"/>
      <c r="Y67" s="171"/>
      <c r="Z67" s="171"/>
      <c r="AA67" s="171"/>
      <c r="AB67" s="171"/>
      <c r="AC67" s="171"/>
    </row>
    <row r="68" spans="1:29" ht="15.75" customHeight="1" x14ac:dyDescent="0.25">
      <c r="A68" s="97" t="s">
        <v>719</v>
      </c>
      <c r="B68" s="249">
        <v>46250</v>
      </c>
      <c r="C68" s="246">
        <v>0.875</v>
      </c>
      <c r="D68" s="246">
        <v>0.91666666666666663</v>
      </c>
      <c r="E68" s="171">
        <v>46.1875</v>
      </c>
      <c r="F68" s="171">
        <v>9.7621951219625771</v>
      </c>
      <c r="G68" s="171">
        <v>0</v>
      </c>
      <c r="H68" s="171">
        <v>0</v>
      </c>
      <c r="I68" s="171">
        <v>0</v>
      </c>
      <c r="J68" s="171"/>
      <c r="K68" s="171"/>
      <c r="L68" s="171"/>
      <c r="M68" s="171"/>
      <c r="N68" s="171"/>
      <c r="O68" s="171"/>
      <c r="P68" s="171"/>
      <c r="Q68" s="171"/>
      <c r="R68" s="171"/>
      <c r="S68" s="171"/>
      <c r="T68" s="171"/>
      <c r="U68" s="171"/>
      <c r="V68" s="171"/>
      <c r="W68" s="171"/>
      <c r="X68" s="171"/>
      <c r="Y68" s="171"/>
      <c r="Z68" s="171"/>
      <c r="AA68" s="171"/>
      <c r="AB68" s="171"/>
      <c r="AC68" s="171"/>
    </row>
    <row r="69" spans="1:29" ht="15.75" customHeight="1" x14ac:dyDescent="0.25">
      <c r="A69" s="97" t="s">
        <v>740</v>
      </c>
      <c r="B69" s="249">
        <v>46251</v>
      </c>
      <c r="C69" s="246">
        <v>0.75</v>
      </c>
      <c r="D69" s="246">
        <v>0.79166666666666663</v>
      </c>
      <c r="E69" s="171">
        <v>95.853225806728005</v>
      </c>
      <c r="F69" s="171">
        <v>28.2890625</v>
      </c>
      <c r="G69" s="171">
        <v>0</v>
      </c>
      <c r="H69" s="171">
        <v>0</v>
      </c>
      <c r="I69" s="171">
        <v>0</v>
      </c>
      <c r="J69" s="171"/>
      <c r="K69" s="171"/>
      <c r="L69" s="171"/>
      <c r="M69" s="171"/>
      <c r="N69" s="171"/>
      <c r="O69" s="171"/>
      <c r="P69" s="171"/>
      <c r="Q69" s="171"/>
      <c r="R69" s="171"/>
      <c r="S69" s="171"/>
      <c r="T69" s="171"/>
      <c r="U69" s="171"/>
      <c r="V69" s="171"/>
      <c r="W69" s="171"/>
      <c r="X69" s="171"/>
      <c r="Y69" s="171"/>
      <c r="Z69" s="171"/>
      <c r="AA69" s="171"/>
      <c r="AB69" s="171"/>
      <c r="AC69" s="171"/>
    </row>
    <row r="70" spans="1:29" ht="15.75" customHeight="1" x14ac:dyDescent="0.25">
      <c r="A70" s="97" t="s">
        <v>741</v>
      </c>
      <c r="B70" s="249">
        <v>46251</v>
      </c>
      <c r="C70" s="246">
        <v>0.79166666666666663</v>
      </c>
      <c r="D70" s="246">
        <v>0.83333333333333337</v>
      </c>
      <c r="E70" s="171">
        <v>71.246774193365127</v>
      </c>
      <c r="F70" s="171">
        <v>28.457812499953434</v>
      </c>
      <c r="G70" s="171">
        <v>0</v>
      </c>
      <c r="H70" s="171">
        <v>0</v>
      </c>
      <c r="I70" s="171">
        <v>0</v>
      </c>
      <c r="J70" s="171"/>
      <c r="K70" s="171"/>
      <c r="L70" s="171"/>
      <c r="M70" s="171"/>
      <c r="N70" s="171"/>
      <c r="O70" s="171"/>
      <c r="P70" s="171"/>
      <c r="Q70" s="171"/>
      <c r="R70" s="171"/>
      <c r="S70" s="171"/>
      <c r="T70" s="171"/>
      <c r="U70" s="171"/>
      <c r="V70" s="171"/>
      <c r="W70" s="171"/>
      <c r="X70" s="171"/>
      <c r="Y70" s="171"/>
      <c r="Z70" s="171"/>
      <c r="AA70" s="171"/>
      <c r="AB70" s="171"/>
      <c r="AC70" s="171"/>
    </row>
    <row r="71" spans="1:29" ht="15.75" customHeight="1" x14ac:dyDescent="0.25">
      <c r="A71" s="97" t="s">
        <v>742</v>
      </c>
      <c r="B71" s="249">
        <v>46251</v>
      </c>
      <c r="C71" s="246">
        <v>0.83333333333333337</v>
      </c>
      <c r="D71" s="246">
        <v>0.875</v>
      </c>
      <c r="E71" s="171">
        <v>52.975000000093132</v>
      </c>
      <c r="F71" s="171">
        <v>42.107812500093132</v>
      </c>
      <c r="G71" s="171">
        <v>0</v>
      </c>
      <c r="H71" s="171">
        <v>0</v>
      </c>
      <c r="I71" s="171">
        <v>0</v>
      </c>
      <c r="J71" s="171"/>
      <c r="K71" s="171"/>
      <c r="L71" s="171"/>
      <c r="M71" s="171"/>
      <c r="N71" s="171"/>
      <c r="O71" s="171"/>
      <c r="P71" s="171"/>
      <c r="Q71" s="171"/>
      <c r="R71" s="171"/>
      <c r="S71" s="171"/>
      <c r="T71" s="171"/>
      <c r="U71" s="171"/>
      <c r="V71" s="171"/>
      <c r="W71" s="171"/>
      <c r="X71" s="171"/>
      <c r="Y71" s="171"/>
      <c r="Z71" s="171"/>
      <c r="AA71" s="171"/>
      <c r="AB71" s="171"/>
      <c r="AC71" s="171"/>
    </row>
    <row r="72" spans="1:29" ht="15.75" customHeight="1" x14ac:dyDescent="0.25">
      <c r="A72" s="97" t="s">
        <v>743</v>
      </c>
      <c r="B72" s="249">
        <v>46251</v>
      </c>
      <c r="C72" s="246">
        <v>0.875</v>
      </c>
      <c r="D72" s="246">
        <v>0.91666666666666663</v>
      </c>
      <c r="E72" s="171">
        <v>45.700000000186265</v>
      </c>
      <c r="F72" s="171">
        <v>23.828125</v>
      </c>
      <c r="G72" s="171">
        <v>0</v>
      </c>
      <c r="H72" s="171">
        <v>0</v>
      </c>
      <c r="I72" s="171">
        <v>0</v>
      </c>
      <c r="J72" s="171"/>
      <c r="K72" s="171"/>
      <c r="L72" s="171"/>
      <c r="M72" s="171"/>
      <c r="N72" s="171"/>
      <c r="O72" s="171"/>
      <c r="P72" s="171"/>
      <c r="Q72" s="171"/>
      <c r="R72" s="171"/>
      <c r="S72" s="171"/>
      <c r="T72" s="171"/>
      <c r="U72" s="171"/>
      <c r="V72" s="171"/>
      <c r="W72" s="171"/>
      <c r="X72" s="171"/>
      <c r="Y72" s="171"/>
      <c r="Z72" s="171"/>
      <c r="AA72" s="171"/>
      <c r="AB72" s="171"/>
      <c r="AC72" s="171"/>
    </row>
    <row r="73" spans="1:29" ht="15.75" customHeight="1" x14ac:dyDescent="0.25">
      <c r="A73" s="97" t="s">
        <v>764</v>
      </c>
      <c r="B73" s="249">
        <v>46252</v>
      </c>
      <c r="C73" s="246">
        <v>0.75</v>
      </c>
      <c r="D73" s="246">
        <v>0.79166666666666663</v>
      </c>
      <c r="E73" s="171">
        <v>0</v>
      </c>
      <c r="F73" s="171">
        <v>0</v>
      </c>
      <c r="G73" s="171">
        <v>0</v>
      </c>
      <c r="H73" s="171">
        <v>0</v>
      </c>
      <c r="I73" s="171">
        <v>0</v>
      </c>
      <c r="J73" s="171"/>
      <c r="K73" s="171"/>
      <c r="L73" s="171"/>
      <c r="M73" s="171"/>
      <c r="N73" s="171"/>
      <c r="O73" s="171"/>
      <c r="P73" s="171"/>
      <c r="Q73" s="171"/>
      <c r="R73" s="171"/>
      <c r="S73" s="171"/>
      <c r="T73" s="171"/>
      <c r="U73" s="171"/>
      <c r="V73" s="171"/>
      <c r="W73" s="171"/>
      <c r="X73" s="171"/>
      <c r="Y73" s="171"/>
      <c r="Z73" s="171"/>
      <c r="AA73" s="171"/>
      <c r="AB73" s="171"/>
      <c r="AC73" s="171"/>
    </row>
    <row r="74" spans="1:29" ht="15.75" customHeight="1" x14ac:dyDescent="0.25">
      <c r="A74" s="97" t="s">
        <v>765</v>
      </c>
      <c r="B74" s="249">
        <v>46252</v>
      </c>
      <c r="C74" s="246">
        <v>0.79166666666666663</v>
      </c>
      <c r="D74" s="246">
        <v>0.83333333333333337</v>
      </c>
      <c r="E74" s="171">
        <v>0</v>
      </c>
      <c r="F74" s="171">
        <v>0</v>
      </c>
      <c r="G74" s="171">
        <v>0</v>
      </c>
      <c r="H74" s="171">
        <v>0</v>
      </c>
      <c r="I74" s="171">
        <v>0</v>
      </c>
      <c r="J74" s="171"/>
      <c r="K74" s="171"/>
      <c r="L74" s="171"/>
      <c r="M74" s="171"/>
      <c r="N74" s="171"/>
      <c r="O74" s="171"/>
      <c r="P74" s="171"/>
      <c r="Q74" s="171"/>
      <c r="R74" s="171"/>
      <c r="S74" s="171"/>
      <c r="T74" s="171"/>
      <c r="U74" s="171"/>
      <c r="V74" s="171"/>
      <c r="W74" s="171"/>
      <c r="X74" s="171"/>
      <c r="Y74" s="171"/>
      <c r="Z74" s="171"/>
      <c r="AA74" s="171"/>
      <c r="AB74" s="171"/>
      <c r="AC74" s="171"/>
    </row>
    <row r="75" spans="1:29" ht="15.75" customHeight="1" x14ac:dyDescent="0.25">
      <c r="A75" s="97" t="s">
        <v>766</v>
      </c>
      <c r="B75" s="249">
        <v>46252</v>
      </c>
      <c r="C75" s="246">
        <v>0.83333333333333337</v>
      </c>
      <c r="D75" s="246">
        <v>0.875</v>
      </c>
      <c r="E75" s="171">
        <v>0</v>
      </c>
      <c r="F75" s="171">
        <v>0</v>
      </c>
      <c r="G75" s="171">
        <v>0</v>
      </c>
      <c r="H75" s="171">
        <v>0</v>
      </c>
      <c r="I75" s="171">
        <v>0</v>
      </c>
      <c r="J75" s="171"/>
      <c r="K75" s="171"/>
      <c r="L75" s="171"/>
      <c r="M75" s="171"/>
      <c r="N75" s="171"/>
      <c r="O75" s="171"/>
      <c r="P75" s="171"/>
      <c r="Q75" s="171"/>
      <c r="R75" s="171"/>
      <c r="S75" s="171"/>
      <c r="T75" s="171"/>
      <c r="U75" s="171"/>
      <c r="V75" s="171"/>
      <c r="W75" s="171"/>
      <c r="X75" s="171"/>
      <c r="Y75" s="171"/>
      <c r="Z75" s="171"/>
      <c r="AA75" s="171"/>
      <c r="AB75" s="171"/>
      <c r="AC75" s="171"/>
    </row>
    <row r="76" spans="1:29" ht="15.75" customHeight="1" x14ac:dyDescent="0.25">
      <c r="A76" s="97" t="s">
        <v>767</v>
      </c>
      <c r="B76" s="249">
        <v>46252</v>
      </c>
      <c r="C76" s="246">
        <v>0.875</v>
      </c>
      <c r="D76" s="246">
        <v>0.91666666666666663</v>
      </c>
      <c r="E76" s="171">
        <v>0</v>
      </c>
      <c r="F76" s="171">
        <v>0</v>
      </c>
      <c r="G76" s="171">
        <v>0</v>
      </c>
      <c r="H76" s="171">
        <v>0</v>
      </c>
      <c r="I76" s="171">
        <v>0</v>
      </c>
      <c r="J76" s="171"/>
      <c r="K76" s="171"/>
      <c r="L76" s="171"/>
      <c r="M76" s="171"/>
      <c r="N76" s="171"/>
      <c r="O76" s="171"/>
      <c r="P76" s="171"/>
      <c r="Q76" s="171"/>
      <c r="R76" s="171"/>
      <c r="S76" s="171"/>
      <c r="T76" s="171"/>
      <c r="U76" s="171"/>
      <c r="V76" s="171"/>
      <c r="W76" s="171"/>
      <c r="X76" s="171"/>
      <c r="Y76" s="171"/>
      <c r="Z76" s="171"/>
      <c r="AA76" s="171"/>
      <c r="AB76" s="171"/>
      <c r="AC76" s="171"/>
    </row>
    <row r="77" spans="1:29" ht="15.75" customHeight="1" x14ac:dyDescent="0.25">
      <c r="A77" s="97" t="s">
        <v>788</v>
      </c>
      <c r="B77" s="249">
        <v>46253</v>
      </c>
      <c r="C77" s="246">
        <v>0.75</v>
      </c>
      <c r="D77" s="246">
        <v>0.79166666666666663</v>
      </c>
      <c r="E77" s="171">
        <v>0</v>
      </c>
      <c r="F77" s="171">
        <v>0</v>
      </c>
      <c r="G77" s="171">
        <v>0</v>
      </c>
      <c r="H77" s="171">
        <v>0</v>
      </c>
      <c r="I77" s="171">
        <v>0</v>
      </c>
      <c r="J77" s="171"/>
      <c r="K77" s="171"/>
      <c r="L77" s="171"/>
      <c r="M77" s="171"/>
      <c r="N77" s="171"/>
      <c r="O77" s="171"/>
      <c r="P77" s="171"/>
      <c r="Q77" s="171"/>
      <c r="R77" s="171"/>
      <c r="S77" s="171"/>
      <c r="T77" s="171"/>
      <c r="U77" s="171"/>
      <c r="V77" s="171"/>
      <c r="W77" s="171"/>
      <c r="X77" s="171"/>
      <c r="Y77" s="171"/>
      <c r="Z77" s="171"/>
      <c r="AA77" s="171"/>
      <c r="AB77" s="171"/>
      <c r="AC77" s="171"/>
    </row>
    <row r="78" spans="1:29" ht="15.75" customHeight="1" x14ac:dyDescent="0.25">
      <c r="A78" s="97" t="s">
        <v>789</v>
      </c>
      <c r="B78" s="249">
        <v>46253</v>
      </c>
      <c r="C78" s="246">
        <v>0.79166666666666663</v>
      </c>
      <c r="D78" s="246">
        <v>0.83333333333333337</v>
      </c>
      <c r="E78" s="171">
        <v>0</v>
      </c>
      <c r="F78" s="171">
        <v>0</v>
      </c>
      <c r="G78" s="171">
        <v>0</v>
      </c>
      <c r="H78" s="171">
        <v>0</v>
      </c>
      <c r="I78" s="171">
        <v>0</v>
      </c>
      <c r="J78" s="171"/>
      <c r="K78" s="171"/>
      <c r="L78" s="171"/>
      <c r="M78" s="171"/>
      <c r="N78" s="171"/>
      <c r="O78" s="171"/>
      <c r="P78" s="171"/>
      <c r="Q78" s="171"/>
      <c r="R78" s="171"/>
      <c r="S78" s="171"/>
      <c r="T78" s="171"/>
      <c r="U78" s="171"/>
      <c r="V78" s="171"/>
      <c r="W78" s="171"/>
      <c r="X78" s="171"/>
      <c r="Y78" s="171"/>
      <c r="Z78" s="171"/>
      <c r="AA78" s="171"/>
      <c r="AB78" s="171"/>
      <c r="AC78" s="171"/>
    </row>
    <row r="79" spans="1:29" ht="15.75" customHeight="1" x14ac:dyDescent="0.25">
      <c r="A79" s="97" t="s">
        <v>790</v>
      </c>
      <c r="B79" s="249">
        <v>46253</v>
      </c>
      <c r="C79" s="246">
        <v>0.83333333333333337</v>
      </c>
      <c r="D79" s="246">
        <v>0.875</v>
      </c>
      <c r="E79" s="171">
        <v>0</v>
      </c>
      <c r="F79" s="171">
        <v>0</v>
      </c>
      <c r="G79" s="171">
        <v>0</v>
      </c>
      <c r="H79" s="171">
        <v>0</v>
      </c>
      <c r="I79" s="171">
        <v>0</v>
      </c>
      <c r="J79" s="171"/>
      <c r="K79" s="171"/>
      <c r="L79" s="171"/>
      <c r="M79" s="171"/>
      <c r="N79" s="171"/>
      <c r="O79" s="171"/>
      <c r="P79" s="171"/>
      <c r="Q79" s="171"/>
      <c r="R79" s="171"/>
      <c r="S79" s="171"/>
      <c r="T79" s="171"/>
      <c r="U79" s="171"/>
      <c r="V79" s="171"/>
      <c r="W79" s="171"/>
      <c r="X79" s="171"/>
      <c r="Y79" s="171"/>
      <c r="Z79" s="171"/>
      <c r="AA79" s="171"/>
      <c r="AB79" s="171"/>
      <c r="AC79" s="171"/>
    </row>
    <row r="80" spans="1:29" ht="15.75" customHeight="1" x14ac:dyDescent="0.25">
      <c r="A80" s="97" t="s">
        <v>791</v>
      </c>
      <c r="B80" s="249">
        <v>46253</v>
      </c>
      <c r="C80" s="246">
        <v>0.875</v>
      </c>
      <c r="D80" s="246">
        <v>0.91666666666666663</v>
      </c>
      <c r="E80" s="171">
        <v>0</v>
      </c>
      <c r="F80" s="171">
        <v>0</v>
      </c>
      <c r="G80" s="171">
        <v>0</v>
      </c>
      <c r="H80" s="171">
        <v>0</v>
      </c>
      <c r="I80" s="171">
        <v>0</v>
      </c>
      <c r="J80" s="171"/>
      <c r="K80" s="171"/>
      <c r="L80" s="171"/>
      <c r="M80" s="171"/>
      <c r="N80" s="171"/>
      <c r="O80" s="171"/>
      <c r="P80" s="171"/>
      <c r="Q80" s="171"/>
      <c r="R80" s="171"/>
      <c r="S80" s="171"/>
      <c r="T80" s="171"/>
      <c r="U80" s="171"/>
      <c r="V80" s="171"/>
      <c r="W80" s="171"/>
      <c r="X80" s="171"/>
      <c r="Y80" s="171"/>
      <c r="Z80" s="171"/>
      <c r="AA80" s="171"/>
      <c r="AB80" s="171"/>
      <c r="AC80" s="171"/>
    </row>
    <row r="81" spans="1:29" ht="15.75" customHeight="1" x14ac:dyDescent="0.25">
      <c r="A81" s="97" t="s">
        <v>812</v>
      </c>
      <c r="B81" s="249">
        <v>46254</v>
      </c>
      <c r="C81" s="246">
        <v>0.75</v>
      </c>
      <c r="D81" s="246">
        <v>0.79166666666666663</v>
      </c>
      <c r="E81" s="171">
        <v>0</v>
      </c>
      <c r="F81" s="171">
        <v>0</v>
      </c>
      <c r="G81" s="171">
        <v>0</v>
      </c>
      <c r="H81" s="171">
        <v>0</v>
      </c>
      <c r="I81" s="171">
        <v>0</v>
      </c>
      <c r="J81" s="171"/>
      <c r="K81" s="171"/>
      <c r="L81" s="171"/>
      <c r="M81" s="171"/>
      <c r="N81" s="171"/>
      <c r="O81" s="171"/>
      <c r="P81" s="171"/>
      <c r="Q81" s="171"/>
      <c r="R81" s="171"/>
      <c r="S81" s="171"/>
      <c r="T81" s="171"/>
      <c r="U81" s="171"/>
      <c r="V81" s="171"/>
      <c r="W81" s="171"/>
      <c r="X81" s="171"/>
      <c r="Y81" s="171"/>
      <c r="Z81" s="171"/>
      <c r="AA81" s="171"/>
      <c r="AB81" s="171"/>
      <c r="AC81" s="171"/>
    </row>
    <row r="82" spans="1:29" ht="15.75" customHeight="1" x14ac:dyDescent="0.25">
      <c r="A82" s="97" t="s">
        <v>813</v>
      </c>
      <c r="B82" s="249">
        <v>46254</v>
      </c>
      <c r="C82" s="246">
        <v>0.79166666666666663</v>
      </c>
      <c r="D82" s="246">
        <v>0.83333333333333337</v>
      </c>
      <c r="E82" s="171">
        <v>0</v>
      </c>
      <c r="F82" s="171">
        <v>0</v>
      </c>
      <c r="G82" s="171">
        <v>0</v>
      </c>
      <c r="H82" s="171">
        <v>0</v>
      </c>
      <c r="I82" s="171">
        <v>0</v>
      </c>
      <c r="J82" s="171"/>
      <c r="K82" s="171"/>
      <c r="L82" s="171"/>
      <c r="M82" s="171"/>
      <c r="N82" s="171"/>
      <c r="O82" s="171"/>
      <c r="P82" s="171"/>
      <c r="Q82" s="171"/>
      <c r="R82" s="171"/>
      <c r="S82" s="171"/>
      <c r="T82" s="171"/>
      <c r="U82" s="171"/>
      <c r="V82" s="171"/>
      <c r="W82" s="171"/>
      <c r="X82" s="171"/>
      <c r="Y82" s="171"/>
      <c r="Z82" s="171"/>
      <c r="AA82" s="171"/>
      <c r="AB82" s="171"/>
      <c r="AC82" s="171"/>
    </row>
    <row r="83" spans="1:29" ht="15.75" customHeight="1" x14ac:dyDescent="0.25">
      <c r="A83" s="97" t="s">
        <v>814</v>
      </c>
      <c r="B83" s="249">
        <v>46254</v>
      </c>
      <c r="C83" s="246">
        <v>0.83333333333333337</v>
      </c>
      <c r="D83" s="246">
        <v>0.875</v>
      </c>
      <c r="E83" s="171">
        <v>0</v>
      </c>
      <c r="F83" s="171">
        <v>0</v>
      </c>
      <c r="G83" s="171">
        <v>0</v>
      </c>
      <c r="H83" s="171">
        <v>0</v>
      </c>
      <c r="I83" s="171">
        <v>0</v>
      </c>
      <c r="J83" s="171"/>
      <c r="K83" s="171"/>
      <c r="L83" s="171"/>
      <c r="M83" s="171"/>
      <c r="N83" s="171"/>
      <c r="O83" s="171"/>
      <c r="P83" s="171"/>
      <c r="Q83" s="171"/>
      <c r="R83" s="171"/>
      <c r="S83" s="171"/>
      <c r="T83" s="171"/>
      <c r="U83" s="171"/>
      <c r="V83" s="171"/>
      <c r="W83" s="171"/>
      <c r="X83" s="171"/>
      <c r="Y83" s="171"/>
      <c r="Z83" s="171"/>
      <c r="AA83" s="171"/>
      <c r="AB83" s="171"/>
      <c r="AC83" s="171"/>
    </row>
    <row r="84" spans="1:29" ht="15.75" customHeight="1" x14ac:dyDescent="0.25">
      <c r="A84" s="97" t="s">
        <v>815</v>
      </c>
      <c r="B84" s="249">
        <v>46254</v>
      </c>
      <c r="C84" s="246">
        <v>0.875</v>
      </c>
      <c r="D84" s="246">
        <v>0.91666666666666663</v>
      </c>
      <c r="E84" s="171">
        <v>0</v>
      </c>
      <c r="F84" s="171">
        <v>0</v>
      </c>
      <c r="G84" s="171">
        <v>0</v>
      </c>
      <c r="H84" s="171">
        <v>0</v>
      </c>
      <c r="I84" s="171">
        <v>0</v>
      </c>
      <c r="J84" s="171"/>
      <c r="K84" s="171"/>
      <c r="L84" s="171"/>
      <c r="M84" s="171"/>
      <c r="N84" s="171"/>
      <c r="O84" s="171"/>
      <c r="P84" s="171"/>
      <c r="Q84" s="171"/>
      <c r="R84" s="171"/>
      <c r="S84" s="171"/>
      <c r="T84" s="171"/>
      <c r="U84" s="171"/>
      <c r="V84" s="171"/>
      <c r="W84" s="171"/>
      <c r="X84" s="171"/>
      <c r="Y84" s="171"/>
      <c r="Z84" s="171"/>
      <c r="AA84" s="171"/>
      <c r="AB84" s="171"/>
      <c r="AC84" s="171"/>
    </row>
    <row r="85" spans="1:29" ht="15.75" customHeight="1" x14ac:dyDescent="0.25">
      <c r="A85" s="97" t="s">
        <v>836</v>
      </c>
      <c r="B85" s="249">
        <v>46255</v>
      </c>
      <c r="C85" s="246">
        <v>0.75</v>
      </c>
      <c r="D85" s="246">
        <v>0.79166666666666663</v>
      </c>
      <c r="E85" s="171">
        <v>0</v>
      </c>
      <c r="F85" s="171">
        <v>0</v>
      </c>
      <c r="G85" s="171">
        <v>0</v>
      </c>
      <c r="H85" s="171">
        <v>0</v>
      </c>
      <c r="I85" s="171">
        <v>0</v>
      </c>
      <c r="J85" s="171"/>
      <c r="K85" s="171"/>
      <c r="L85" s="171"/>
      <c r="M85" s="171"/>
      <c r="N85" s="171"/>
      <c r="O85" s="171"/>
      <c r="P85" s="171"/>
      <c r="Q85" s="171"/>
      <c r="R85" s="171"/>
      <c r="S85" s="171"/>
      <c r="T85" s="171"/>
      <c r="U85" s="171"/>
      <c r="V85" s="171"/>
      <c r="W85" s="171"/>
      <c r="X85" s="171"/>
      <c r="Y85" s="171"/>
      <c r="Z85" s="171"/>
      <c r="AA85" s="171"/>
      <c r="AB85" s="171"/>
      <c r="AC85" s="171"/>
    </row>
    <row r="86" spans="1:29" ht="15.75" customHeight="1" x14ac:dyDescent="0.25">
      <c r="A86" s="97" t="s">
        <v>837</v>
      </c>
      <c r="B86" s="249">
        <v>46255</v>
      </c>
      <c r="C86" s="246">
        <v>0.79166666666666663</v>
      </c>
      <c r="D86" s="246">
        <v>0.83333333333333337</v>
      </c>
      <c r="E86" s="171">
        <v>0</v>
      </c>
      <c r="F86" s="171">
        <v>0</v>
      </c>
      <c r="G86" s="171">
        <v>0</v>
      </c>
      <c r="H86" s="171">
        <v>0</v>
      </c>
      <c r="I86" s="171">
        <v>0</v>
      </c>
      <c r="J86" s="171"/>
      <c r="K86" s="171"/>
      <c r="L86" s="171"/>
      <c r="M86" s="171"/>
      <c r="N86" s="171"/>
      <c r="O86" s="171"/>
      <c r="P86" s="171"/>
      <c r="Q86" s="171"/>
      <c r="R86" s="171"/>
      <c r="S86" s="171"/>
      <c r="T86" s="171"/>
      <c r="U86" s="171"/>
      <c r="V86" s="171"/>
      <c r="W86" s="171"/>
      <c r="X86" s="171"/>
      <c r="Y86" s="171"/>
      <c r="Z86" s="171"/>
      <c r="AA86" s="171"/>
      <c r="AB86" s="171"/>
      <c r="AC86" s="171"/>
    </row>
    <row r="87" spans="1:29" ht="15.75" customHeight="1" x14ac:dyDescent="0.25">
      <c r="A87" s="97" t="s">
        <v>838</v>
      </c>
      <c r="B87" s="249">
        <v>46255</v>
      </c>
      <c r="C87" s="246">
        <v>0.83333333333333337</v>
      </c>
      <c r="D87" s="246">
        <v>0.875</v>
      </c>
      <c r="E87" s="171">
        <v>0</v>
      </c>
      <c r="F87" s="171">
        <v>0</v>
      </c>
      <c r="G87" s="171">
        <v>0</v>
      </c>
      <c r="H87" s="171">
        <v>0</v>
      </c>
      <c r="I87" s="171">
        <v>0</v>
      </c>
      <c r="J87" s="171"/>
      <c r="K87" s="171"/>
      <c r="L87" s="171"/>
      <c r="M87" s="171"/>
      <c r="N87" s="171"/>
      <c r="O87" s="171"/>
      <c r="P87" s="171"/>
      <c r="Q87" s="171"/>
      <c r="R87" s="171"/>
      <c r="S87" s="171"/>
      <c r="T87" s="171"/>
      <c r="U87" s="171"/>
      <c r="V87" s="171"/>
      <c r="W87" s="171"/>
      <c r="X87" s="171"/>
      <c r="Y87" s="171"/>
      <c r="Z87" s="171"/>
      <c r="AA87" s="171"/>
      <c r="AB87" s="171"/>
      <c r="AC87" s="171"/>
    </row>
    <row r="88" spans="1:29" ht="15.75" customHeight="1" x14ac:dyDescent="0.25">
      <c r="A88" s="97" t="s">
        <v>839</v>
      </c>
      <c r="B88" s="249">
        <v>46255</v>
      </c>
      <c r="C88" s="246">
        <v>0.875</v>
      </c>
      <c r="D88" s="246">
        <v>0.91666666666666663</v>
      </c>
      <c r="E88" s="171">
        <v>0</v>
      </c>
      <c r="F88" s="171">
        <v>0</v>
      </c>
      <c r="G88" s="171">
        <v>0</v>
      </c>
      <c r="H88" s="171">
        <v>0</v>
      </c>
      <c r="I88" s="171">
        <v>0</v>
      </c>
      <c r="J88" s="171"/>
      <c r="K88" s="171"/>
      <c r="L88" s="171"/>
      <c r="M88" s="171"/>
      <c r="N88" s="171"/>
      <c r="O88" s="171"/>
      <c r="P88" s="171"/>
      <c r="Q88" s="171"/>
      <c r="R88" s="171"/>
      <c r="S88" s="171"/>
      <c r="T88" s="171"/>
      <c r="U88" s="171"/>
      <c r="V88" s="171"/>
      <c r="W88" s="171"/>
      <c r="X88" s="171"/>
      <c r="Y88" s="171"/>
      <c r="Z88" s="171"/>
      <c r="AA88" s="171"/>
      <c r="AB88" s="171"/>
      <c r="AC88" s="171"/>
    </row>
    <row r="89" spans="1:29" ht="15.75" customHeight="1" x14ac:dyDescent="0.25">
      <c r="A89" s="97" t="s">
        <v>860</v>
      </c>
      <c r="B89" s="249">
        <v>46256</v>
      </c>
      <c r="C89" s="246">
        <v>0.75</v>
      </c>
      <c r="D89" s="246">
        <v>0.79166666666666663</v>
      </c>
      <c r="E89" s="171">
        <v>0</v>
      </c>
      <c r="F89" s="171">
        <v>0</v>
      </c>
      <c r="G89" s="171">
        <v>0</v>
      </c>
      <c r="H89" s="171">
        <v>0</v>
      </c>
      <c r="I89" s="171">
        <v>0</v>
      </c>
      <c r="J89" s="171"/>
      <c r="K89" s="171"/>
      <c r="L89" s="171"/>
      <c r="M89" s="171"/>
      <c r="N89" s="171"/>
      <c r="O89" s="171"/>
      <c r="P89" s="171"/>
      <c r="Q89" s="171"/>
      <c r="R89" s="171"/>
      <c r="S89" s="171"/>
      <c r="T89" s="171"/>
      <c r="U89" s="171"/>
      <c r="V89" s="171"/>
      <c r="W89" s="171"/>
      <c r="X89" s="171"/>
      <c r="Y89" s="171"/>
      <c r="Z89" s="171"/>
      <c r="AA89" s="171"/>
      <c r="AB89" s="171"/>
      <c r="AC89" s="171"/>
    </row>
    <row r="90" spans="1:29" ht="15.75" customHeight="1" x14ac:dyDescent="0.25">
      <c r="A90" s="97" t="s">
        <v>861</v>
      </c>
      <c r="B90" s="249">
        <v>46256</v>
      </c>
      <c r="C90" s="246">
        <v>0.79166666666666663</v>
      </c>
      <c r="D90" s="246">
        <v>0.83333333333333337</v>
      </c>
      <c r="E90" s="171">
        <v>0</v>
      </c>
      <c r="F90" s="171">
        <v>0</v>
      </c>
      <c r="G90" s="171">
        <v>0</v>
      </c>
      <c r="H90" s="171">
        <v>0</v>
      </c>
      <c r="I90" s="171">
        <v>0</v>
      </c>
      <c r="J90" s="171"/>
      <c r="K90" s="171"/>
      <c r="L90" s="171"/>
      <c r="M90" s="171"/>
      <c r="N90" s="171"/>
      <c r="O90" s="171"/>
      <c r="P90" s="171"/>
      <c r="Q90" s="171"/>
      <c r="R90" s="171"/>
      <c r="S90" s="171"/>
      <c r="T90" s="171"/>
      <c r="U90" s="171"/>
      <c r="V90" s="171"/>
      <c r="W90" s="171"/>
      <c r="X90" s="171"/>
      <c r="Y90" s="171"/>
      <c r="Z90" s="171"/>
      <c r="AA90" s="171"/>
      <c r="AB90" s="171"/>
      <c r="AC90" s="171"/>
    </row>
    <row r="91" spans="1:29" ht="15.75" customHeight="1" x14ac:dyDescent="0.25">
      <c r="A91" s="97" t="s">
        <v>862</v>
      </c>
      <c r="B91" s="249">
        <v>46256</v>
      </c>
      <c r="C91" s="246">
        <v>0.83333333333333337</v>
      </c>
      <c r="D91" s="246">
        <v>0.875</v>
      </c>
      <c r="E91" s="171">
        <v>0</v>
      </c>
      <c r="F91" s="171">
        <v>0</v>
      </c>
      <c r="G91" s="171">
        <v>0</v>
      </c>
      <c r="H91" s="171">
        <v>0</v>
      </c>
      <c r="I91" s="171">
        <v>0</v>
      </c>
      <c r="J91" s="171"/>
      <c r="K91" s="171"/>
      <c r="L91" s="171"/>
      <c r="M91" s="171"/>
      <c r="N91" s="171"/>
      <c r="O91" s="171"/>
      <c r="P91" s="171"/>
      <c r="Q91" s="171"/>
      <c r="R91" s="171"/>
      <c r="S91" s="171"/>
      <c r="T91" s="171"/>
      <c r="U91" s="171"/>
      <c r="V91" s="171"/>
      <c r="W91" s="171"/>
      <c r="X91" s="171"/>
      <c r="Y91" s="171"/>
      <c r="Z91" s="171"/>
      <c r="AA91" s="171"/>
      <c r="AB91" s="171"/>
      <c r="AC91" s="171"/>
    </row>
    <row r="92" spans="1:29" ht="15.75" customHeight="1" x14ac:dyDescent="0.25">
      <c r="A92" s="97" t="s">
        <v>863</v>
      </c>
      <c r="B92" s="249">
        <v>46256</v>
      </c>
      <c r="C92" s="246">
        <v>0.875</v>
      </c>
      <c r="D92" s="246">
        <v>0.91666666666666663</v>
      </c>
      <c r="E92" s="171">
        <v>0</v>
      </c>
      <c r="F92" s="171">
        <v>0</v>
      </c>
      <c r="G92" s="171">
        <v>0</v>
      </c>
      <c r="H92" s="171">
        <v>0</v>
      </c>
      <c r="I92" s="171">
        <v>0</v>
      </c>
      <c r="J92" s="171"/>
      <c r="K92" s="171"/>
      <c r="L92" s="171"/>
      <c r="M92" s="171"/>
      <c r="N92" s="171"/>
      <c r="O92" s="171"/>
      <c r="P92" s="171"/>
      <c r="Q92" s="171"/>
      <c r="R92" s="171"/>
      <c r="S92" s="171"/>
      <c r="T92" s="171"/>
      <c r="U92" s="171"/>
      <c r="V92" s="171"/>
      <c r="W92" s="171"/>
      <c r="X92" s="171"/>
      <c r="Y92" s="171"/>
      <c r="Z92" s="171"/>
      <c r="AA92" s="171"/>
      <c r="AB92" s="171"/>
      <c r="AC92" s="171"/>
    </row>
    <row r="93" spans="1:29" ht="15.75" customHeight="1" x14ac:dyDescent="0.25">
      <c r="A93" s="97" t="s">
        <v>884</v>
      </c>
      <c r="B93" s="249">
        <v>46257</v>
      </c>
      <c r="C93" s="246">
        <v>0.75</v>
      </c>
      <c r="D93" s="246">
        <v>0.79166666666666663</v>
      </c>
      <c r="E93" s="171">
        <v>0</v>
      </c>
      <c r="F93" s="171">
        <v>0</v>
      </c>
      <c r="G93" s="171">
        <v>0</v>
      </c>
      <c r="H93" s="171">
        <v>0</v>
      </c>
      <c r="I93" s="171">
        <v>0</v>
      </c>
      <c r="J93" s="171"/>
      <c r="K93" s="171"/>
      <c r="L93" s="171"/>
      <c r="M93" s="171"/>
      <c r="N93" s="171"/>
      <c r="O93" s="171"/>
      <c r="P93" s="171"/>
      <c r="Q93" s="171"/>
      <c r="R93" s="171"/>
      <c r="S93" s="171"/>
      <c r="T93" s="171"/>
      <c r="U93" s="171"/>
      <c r="V93" s="171"/>
      <c r="W93" s="171"/>
      <c r="X93" s="171"/>
      <c r="Y93" s="171"/>
      <c r="Z93" s="171"/>
      <c r="AA93" s="171"/>
      <c r="AB93" s="171"/>
      <c r="AC93" s="171"/>
    </row>
    <row r="94" spans="1:29" ht="15.75" customHeight="1" x14ac:dyDescent="0.25">
      <c r="A94" s="97" t="s">
        <v>885</v>
      </c>
      <c r="B94" s="249">
        <v>46257</v>
      </c>
      <c r="C94" s="246">
        <v>0.79166666666666663</v>
      </c>
      <c r="D94" s="246">
        <v>0.83333333333333337</v>
      </c>
      <c r="E94" s="171">
        <v>0</v>
      </c>
      <c r="F94" s="171">
        <v>0</v>
      </c>
      <c r="G94" s="171">
        <v>0</v>
      </c>
      <c r="H94" s="171">
        <v>0</v>
      </c>
      <c r="I94" s="171">
        <v>0</v>
      </c>
      <c r="J94" s="171"/>
      <c r="K94" s="171"/>
      <c r="L94" s="171"/>
      <c r="M94" s="171"/>
      <c r="N94" s="171"/>
      <c r="O94" s="171"/>
      <c r="P94" s="171"/>
      <c r="Q94" s="171"/>
      <c r="R94" s="171"/>
      <c r="S94" s="171"/>
      <c r="T94" s="171"/>
      <c r="U94" s="171"/>
      <c r="V94" s="171"/>
      <c r="W94" s="171"/>
      <c r="X94" s="171"/>
      <c r="Y94" s="171"/>
      <c r="Z94" s="171"/>
      <c r="AA94" s="171"/>
      <c r="AB94" s="171"/>
      <c r="AC94" s="171"/>
    </row>
    <row r="95" spans="1:29" ht="15.75" customHeight="1" x14ac:dyDescent="0.25">
      <c r="A95" s="97" t="s">
        <v>886</v>
      </c>
      <c r="B95" s="249">
        <v>46257</v>
      </c>
      <c r="C95" s="246">
        <v>0.83333333333333337</v>
      </c>
      <c r="D95" s="246">
        <v>0.875</v>
      </c>
      <c r="E95" s="171">
        <v>0</v>
      </c>
      <c r="F95" s="171">
        <v>0</v>
      </c>
      <c r="G95" s="171">
        <v>0</v>
      </c>
      <c r="H95" s="171">
        <v>0</v>
      </c>
      <c r="I95" s="171">
        <v>0</v>
      </c>
      <c r="J95" s="171"/>
      <c r="K95" s="171"/>
      <c r="L95" s="171"/>
      <c r="M95" s="171"/>
      <c r="N95" s="171"/>
      <c r="O95" s="171"/>
      <c r="P95" s="171"/>
      <c r="Q95" s="171"/>
      <c r="R95" s="171"/>
      <c r="S95" s="171"/>
      <c r="T95" s="171"/>
      <c r="U95" s="171"/>
      <c r="V95" s="171"/>
      <c r="W95" s="171"/>
      <c r="X95" s="171"/>
      <c r="Y95" s="171"/>
      <c r="Z95" s="171"/>
      <c r="AA95" s="171"/>
      <c r="AB95" s="171"/>
      <c r="AC95" s="171"/>
    </row>
    <row r="96" spans="1:29" ht="15.75" customHeight="1" x14ac:dyDescent="0.25">
      <c r="A96" s="97" t="s">
        <v>887</v>
      </c>
      <c r="B96" s="249">
        <v>46257</v>
      </c>
      <c r="C96" s="246">
        <v>0.875</v>
      </c>
      <c r="D96" s="246">
        <v>0.91666666666666663</v>
      </c>
      <c r="E96" s="171">
        <v>0</v>
      </c>
      <c r="F96" s="171">
        <v>0</v>
      </c>
      <c r="G96" s="171">
        <v>0</v>
      </c>
      <c r="H96" s="171">
        <v>0</v>
      </c>
      <c r="I96" s="171">
        <v>0</v>
      </c>
      <c r="J96" s="171"/>
      <c r="K96" s="171"/>
      <c r="L96" s="171"/>
      <c r="M96" s="171"/>
      <c r="N96" s="171"/>
      <c r="O96" s="171"/>
      <c r="P96" s="171"/>
      <c r="Q96" s="171"/>
      <c r="R96" s="171"/>
      <c r="S96" s="171"/>
      <c r="T96" s="171"/>
      <c r="U96" s="171"/>
      <c r="V96" s="171"/>
      <c r="W96" s="171"/>
      <c r="X96" s="171"/>
      <c r="Y96" s="171"/>
      <c r="Z96" s="171"/>
      <c r="AA96" s="171"/>
      <c r="AB96" s="171"/>
      <c r="AC96" s="171"/>
    </row>
    <row r="97" spans="1:29" ht="15.75" customHeight="1" x14ac:dyDescent="0.25">
      <c r="A97" s="97" t="s">
        <v>908</v>
      </c>
      <c r="B97" s="249">
        <v>46258</v>
      </c>
      <c r="C97" s="246">
        <v>0.75</v>
      </c>
      <c r="D97" s="246">
        <v>0.79166666666666663</v>
      </c>
      <c r="E97" s="171">
        <v>0</v>
      </c>
      <c r="F97" s="171">
        <v>0</v>
      </c>
      <c r="G97" s="171">
        <v>0</v>
      </c>
      <c r="H97" s="171">
        <v>0</v>
      </c>
      <c r="I97" s="171">
        <v>0</v>
      </c>
      <c r="J97" s="171"/>
      <c r="K97" s="171"/>
      <c r="L97" s="171"/>
      <c r="M97" s="171"/>
      <c r="N97" s="171"/>
      <c r="O97" s="171"/>
      <c r="P97" s="171"/>
      <c r="Q97" s="171"/>
      <c r="R97" s="171"/>
      <c r="S97" s="171"/>
      <c r="T97" s="171"/>
      <c r="U97" s="171"/>
      <c r="V97" s="171"/>
      <c r="W97" s="171"/>
      <c r="X97" s="171"/>
      <c r="Y97" s="171"/>
      <c r="Z97" s="171"/>
      <c r="AA97" s="171"/>
      <c r="AB97" s="171"/>
      <c r="AC97" s="171"/>
    </row>
    <row r="98" spans="1:29" ht="15.75" customHeight="1" x14ac:dyDescent="0.25">
      <c r="A98" s="97" t="s">
        <v>909</v>
      </c>
      <c r="B98" s="249">
        <v>46258</v>
      </c>
      <c r="C98" s="246">
        <v>0.79166666666666663</v>
      </c>
      <c r="D98" s="246">
        <v>0.83333333333333337</v>
      </c>
      <c r="E98" s="171">
        <v>0</v>
      </c>
      <c r="F98" s="171">
        <v>0</v>
      </c>
      <c r="G98" s="171">
        <v>0</v>
      </c>
      <c r="H98" s="171">
        <v>0</v>
      </c>
      <c r="I98" s="171">
        <v>0</v>
      </c>
      <c r="J98" s="171"/>
      <c r="K98" s="171"/>
      <c r="L98" s="171"/>
      <c r="M98" s="171"/>
      <c r="N98" s="171"/>
      <c r="O98" s="171"/>
      <c r="P98" s="171"/>
      <c r="Q98" s="171"/>
      <c r="R98" s="171"/>
      <c r="S98" s="171"/>
      <c r="T98" s="171"/>
      <c r="U98" s="171"/>
      <c r="V98" s="171"/>
      <c r="W98" s="171"/>
      <c r="X98" s="171"/>
      <c r="Y98" s="171"/>
      <c r="Z98" s="171"/>
      <c r="AA98" s="171"/>
      <c r="AB98" s="171"/>
      <c r="AC98" s="171"/>
    </row>
    <row r="99" spans="1:29" ht="15.75" customHeight="1" x14ac:dyDescent="0.25">
      <c r="A99" s="97" t="s">
        <v>910</v>
      </c>
      <c r="B99" s="249">
        <v>46258</v>
      </c>
      <c r="C99" s="246">
        <v>0.83333333333333337</v>
      </c>
      <c r="D99" s="246">
        <v>0.875</v>
      </c>
      <c r="E99" s="171">
        <v>0</v>
      </c>
      <c r="F99" s="171">
        <v>0</v>
      </c>
      <c r="G99" s="171">
        <v>0</v>
      </c>
      <c r="H99" s="171">
        <v>0</v>
      </c>
      <c r="I99" s="171">
        <v>0</v>
      </c>
      <c r="J99" s="171"/>
      <c r="K99" s="171"/>
      <c r="L99" s="171"/>
      <c r="M99" s="171"/>
      <c r="N99" s="171"/>
      <c r="O99" s="171"/>
      <c r="P99" s="171"/>
      <c r="Q99" s="171"/>
      <c r="R99" s="171"/>
      <c r="S99" s="171"/>
      <c r="T99" s="171"/>
      <c r="U99" s="171"/>
      <c r="V99" s="171"/>
      <c r="W99" s="171"/>
      <c r="X99" s="171"/>
      <c r="Y99" s="171"/>
      <c r="Z99" s="171"/>
      <c r="AA99" s="171"/>
      <c r="AB99" s="171"/>
      <c r="AC99" s="171"/>
    </row>
    <row r="100" spans="1:29" ht="15.75" customHeight="1" x14ac:dyDescent="0.25">
      <c r="A100" s="97" t="s">
        <v>911</v>
      </c>
      <c r="B100" s="249">
        <v>46258</v>
      </c>
      <c r="C100" s="246">
        <v>0.875</v>
      </c>
      <c r="D100" s="246">
        <v>0.91666666666666663</v>
      </c>
      <c r="E100" s="171">
        <v>0</v>
      </c>
      <c r="F100" s="171">
        <v>0</v>
      </c>
      <c r="G100" s="171">
        <v>0</v>
      </c>
      <c r="H100" s="171">
        <v>0</v>
      </c>
      <c r="I100" s="171">
        <v>0</v>
      </c>
      <c r="J100" s="171"/>
      <c r="K100" s="171"/>
      <c r="L100" s="171"/>
      <c r="M100" s="171"/>
      <c r="N100" s="171"/>
      <c r="O100" s="171"/>
      <c r="P100" s="171"/>
      <c r="Q100" s="171"/>
      <c r="R100" s="171"/>
      <c r="S100" s="171"/>
      <c r="T100" s="171"/>
      <c r="U100" s="171"/>
      <c r="V100" s="171"/>
      <c r="W100" s="171"/>
      <c r="X100" s="171"/>
      <c r="Y100" s="171"/>
      <c r="Z100" s="171"/>
      <c r="AA100" s="171"/>
      <c r="AB100" s="171"/>
      <c r="AC100" s="171"/>
    </row>
    <row r="101" spans="1:29" ht="15.75" customHeight="1" x14ac:dyDescent="0.25">
      <c r="A101" s="97" t="s">
        <v>932</v>
      </c>
      <c r="B101" s="249">
        <v>46259</v>
      </c>
      <c r="C101" s="246">
        <v>0.75</v>
      </c>
      <c r="D101" s="246">
        <v>0.79166666666666663</v>
      </c>
      <c r="E101" s="171">
        <v>0</v>
      </c>
      <c r="F101" s="171">
        <v>0</v>
      </c>
      <c r="G101" s="171">
        <v>0</v>
      </c>
      <c r="H101" s="171">
        <v>0</v>
      </c>
      <c r="I101" s="171">
        <v>0</v>
      </c>
      <c r="J101" s="171"/>
      <c r="K101" s="171"/>
      <c r="L101" s="171"/>
      <c r="M101" s="171"/>
      <c r="N101" s="171"/>
      <c r="O101" s="171"/>
      <c r="P101" s="171"/>
      <c r="Q101" s="171"/>
      <c r="R101" s="171"/>
      <c r="S101" s="171"/>
      <c r="T101" s="171"/>
      <c r="U101" s="171"/>
      <c r="V101" s="171"/>
      <c r="W101" s="171"/>
      <c r="X101" s="171"/>
      <c r="Y101" s="171"/>
      <c r="Z101" s="171"/>
      <c r="AA101" s="171"/>
      <c r="AB101" s="171"/>
      <c r="AC101" s="171"/>
    </row>
    <row r="102" spans="1:29" ht="15.75" customHeight="1" x14ac:dyDescent="0.25">
      <c r="A102" s="97" t="s">
        <v>933</v>
      </c>
      <c r="B102" s="249">
        <v>46259</v>
      </c>
      <c r="C102" s="246">
        <v>0.79166666666666663</v>
      </c>
      <c r="D102" s="246">
        <v>0.83333333333333337</v>
      </c>
      <c r="E102" s="171">
        <v>0</v>
      </c>
      <c r="F102" s="171">
        <v>0</v>
      </c>
      <c r="G102" s="171">
        <v>0</v>
      </c>
      <c r="H102" s="171">
        <v>0</v>
      </c>
      <c r="I102" s="171">
        <v>0</v>
      </c>
      <c r="J102" s="171"/>
      <c r="K102" s="171"/>
      <c r="L102" s="171"/>
      <c r="M102" s="171"/>
      <c r="N102" s="171"/>
      <c r="O102" s="171"/>
      <c r="P102" s="171"/>
      <c r="Q102" s="171"/>
      <c r="R102" s="171"/>
      <c r="S102" s="171"/>
      <c r="T102" s="171"/>
      <c r="U102" s="171"/>
      <c r="V102" s="171"/>
      <c r="W102" s="171"/>
      <c r="X102" s="171"/>
      <c r="Y102" s="171"/>
      <c r="Z102" s="171"/>
      <c r="AA102" s="171"/>
      <c r="AB102" s="171"/>
      <c r="AC102" s="171"/>
    </row>
    <row r="103" spans="1:29" ht="15.75" customHeight="1" x14ac:dyDescent="0.25">
      <c r="A103" s="97" t="s">
        <v>934</v>
      </c>
      <c r="B103" s="249">
        <v>46259</v>
      </c>
      <c r="C103" s="246">
        <v>0.83333333333333337</v>
      </c>
      <c r="D103" s="246">
        <v>0.875</v>
      </c>
      <c r="E103" s="171">
        <v>0</v>
      </c>
      <c r="F103" s="171">
        <v>0</v>
      </c>
      <c r="G103" s="171">
        <v>0</v>
      </c>
      <c r="H103" s="171">
        <v>0</v>
      </c>
      <c r="I103" s="171">
        <v>0</v>
      </c>
      <c r="J103" s="171"/>
      <c r="K103" s="171"/>
      <c r="L103" s="171"/>
      <c r="M103" s="171"/>
      <c r="N103" s="171"/>
      <c r="O103" s="171"/>
      <c r="P103" s="171"/>
      <c r="Q103" s="171"/>
      <c r="R103" s="171"/>
      <c r="S103" s="171"/>
      <c r="T103" s="171"/>
      <c r="U103" s="171"/>
      <c r="V103" s="171"/>
      <c r="W103" s="171"/>
      <c r="X103" s="171"/>
      <c r="Y103" s="171"/>
      <c r="Z103" s="171"/>
      <c r="AA103" s="171"/>
      <c r="AB103" s="171"/>
      <c r="AC103" s="171"/>
    </row>
    <row r="104" spans="1:29" ht="15.75" customHeight="1" x14ac:dyDescent="0.25">
      <c r="A104" s="97" t="s">
        <v>935</v>
      </c>
      <c r="B104" s="249">
        <v>46259</v>
      </c>
      <c r="C104" s="246">
        <v>0.875</v>
      </c>
      <c r="D104" s="246">
        <v>0.91666666666666663</v>
      </c>
      <c r="E104" s="171">
        <v>0</v>
      </c>
      <c r="F104" s="171">
        <v>0</v>
      </c>
      <c r="G104" s="171">
        <v>0</v>
      </c>
      <c r="H104" s="171">
        <v>0</v>
      </c>
      <c r="I104" s="171">
        <v>0</v>
      </c>
      <c r="J104" s="171"/>
      <c r="K104" s="171"/>
      <c r="L104" s="171"/>
      <c r="M104" s="171"/>
      <c r="N104" s="171"/>
      <c r="O104" s="171"/>
      <c r="P104" s="171"/>
      <c r="Q104" s="171"/>
      <c r="R104" s="171"/>
      <c r="S104" s="171"/>
      <c r="T104" s="171"/>
      <c r="U104" s="171"/>
      <c r="V104" s="171"/>
      <c r="W104" s="171"/>
      <c r="X104" s="171"/>
      <c r="Y104" s="171"/>
      <c r="Z104" s="171"/>
      <c r="AA104" s="171"/>
      <c r="AB104" s="171"/>
      <c r="AC104" s="171"/>
    </row>
    <row r="105" spans="1:29" ht="15.75" customHeight="1" x14ac:dyDescent="0.25">
      <c r="A105" s="97" t="s">
        <v>956</v>
      </c>
      <c r="B105" s="249">
        <v>46260</v>
      </c>
      <c r="C105" s="246">
        <v>0.75</v>
      </c>
      <c r="D105" s="246">
        <v>0.79166666666666663</v>
      </c>
      <c r="E105" s="171">
        <v>0</v>
      </c>
      <c r="F105" s="171">
        <v>0</v>
      </c>
      <c r="G105" s="171">
        <v>0</v>
      </c>
      <c r="H105" s="171">
        <v>0</v>
      </c>
      <c r="I105" s="171">
        <v>0</v>
      </c>
      <c r="J105" s="171"/>
      <c r="K105" s="171"/>
      <c r="L105" s="171"/>
      <c r="M105" s="171"/>
      <c r="N105" s="171"/>
      <c r="O105" s="171"/>
      <c r="P105" s="171"/>
      <c r="Q105" s="171"/>
      <c r="R105" s="171"/>
      <c r="S105" s="171"/>
      <c r="T105" s="171"/>
      <c r="U105" s="171"/>
      <c r="V105" s="171"/>
      <c r="W105" s="171"/>
      <c r="X105" s="171"/>
      <c r="Y105" s="171"/>
      <c r="Z105" s="171"/>
      <c r="AA105" s="171"/>
      <c r="AB105" s="171"/>
      <c r="AC105" s="171"/>
    </row>
    <row r="106" spans="1:29" ht="15.75" customHeight="1" x14ac:dyDescent="0.25">
      <c r="A106" s="97" t="s">
        <v>957</v>
      </c>
      <c r="B106" s="249">
        <v>46260</v>
      </c>
      <c r="C106" s="246">
        <v>0.79166666666666663</v>
      </c>
      <c r="D106" s="246">
        <v>0.83333333333333337</v>
      </c>
      <c r="E106" s="171">
        <v>0</v>
      </c>
      <c r="F106" s="171">
        <v>0</v>
      </c>
      <c r="G106" s="171">
        <v>0</v>
      </c>
      <c r="H106" s="171">
        <v>0</v>
      </c>
      <c r="I106" s="171">
        <v>0</v>
      </c>
      <c r="J106" s="171"/>
      <c r="K106" s="171"/>
      <c r="L106" s="171"/>
      <c r="M106" s="171"/>
      <c r="N106" s="171"/>
      <c r="O106" s="171"/>
      <c r="P106" s="171"/>
      <c r="Q106" s="171"/>
      <c r="R106" s="171"/>
      <c r="S106" s="171"/>
      <c r="T106" s="171"/>
      <c r="U106" s="171"/>
      <c r="V106" s="171"/>
      <c r="W106" s="171"/>
      <c r="X106" s="171"/>
      <c r="Y106" s="171"/>
      <c r="Z106" s="171"/>
      <c r="AA106" s="171"/>
      <c r="AB106" s="171"/>
      <c r="AC106" s="171"/>
    </row>
    <row r="107" spans="1:29" ht="15.75" customHeight="1" x14ac:dyDescent="0.25">
      <c r="A107" s="97" t="s">
        <v>958</v>
      </c>
      <c r="B107" s="249">
        <v>46260</v>
      </c>
      <c r="C107" s="246">
        <v>0.83333333333333337</v>
      </c>
      <c r="D107" s="246">
        <v>0.875</v>
      </c>
      <c r="E107" s="171">
        <v>0</v>
      </c>
      <c r="F107" s="171">
        <v>0</v>
      </c>
      <c r="G107" s="171">
        <v>0</v>
      </c>
      <c r="H107" s="171">
        <v>0</v>
      </c>
      <c r="I107" s="171">
        <v>0</v>
      </c>
      <c r="J107" s="171"/>
      <c r="K107" s="171"/>
      <c r="L107" s="171"/>
      <c r="M107" s="171"/>
      <c r="N107" s="171"/>
      <c r="O107" s="171"/>
      <c r="P107" s="171"/>
      <c r="Q107" s="171"/>
      <c r="R107" s="171"/>
      <c r="S107" s="171"/>
      <c r="T107" s="171"/>
      <c r="U107" s="171"/>
      <c r="V107" s="171"/>
      <c r="W107" s="171"/>
      <c r="X107" s="171"/>
      <c r="Y107" s="171"/>
      <c r="Z107" s="171"/>
      <c r="AA107" s="171"/>
      <c r="AB107" s="171"/>
      <c r="AC107" s="171"/>
    </row>
    <row r="108" spans="1:29" ht="15.75" customHeight="1" x14ac:dyDescent="0.25">
      <c r="A108" s="97" t="s">
        <v>959</v>
      </c>
      <c r="B108" s="249">
        <v>46260</v>
      </c>
      <c r="C108" s="246">
        <v>0.875</v>
      </c>
      <c r="D108" s="246">
        <v>0.91666666666666663</v>
      </c>
      <c r="E108" s="171">
        <v>0</v>
      </c>
      <c r="F108" s="171">
        <v>0</v>
      </c>
      <c r="G108" s="171">
        <v>0</v>
      </c>
      <c r="H108" s="171">
        <v>0</v>
      </c>
      <c r="I108" s="171">
        <v>0</v>
      </c>
      <c r="J108" s="171"/>
      <c r="K108" s="171"/>
      <c r="L108" s="171"/>
      <c r="M108" s="171"/>
      <c r="N108" s="171"/>
      <c r="O108" s="171"/>
      <c r="P108" s="171"/>
      <c r="Q108" s="171"/>
      <c r="R108" s="171"/>
      <c r="S108" s="171"/>
      <c r="T108" s="171"/>
      <c r="U108" s="171"/>
      <c r="V108" s="171"/>
      <c r="W108" s="171"/>
      <c r="X108" s="171"/>
      <c r="Y108" s="171"/>
      <c r="Z108" s="171"/>
      <c r="AA108" s="171"/>
      <c r="AB108" s="171"/>
      <c r="AC108" s="171"/>
    </row>
    <row r="109" spans="1:29" ht="15.75" customHeight="1" x14ac:dyDescent="0.25">
      <c r="A109" s="97" t="s">
        <v>980</v>
      </c>
      <c r="B109" s="249">
        <v>46261</v>
      </c>
      <c r="C109" s="246">
        <v>0.75</v>
      </c>
      <c r="D109" s="246">
        <v>0.79166666666666663</v>
      </c>
      <c r="E109" s="171">
        <v>0</v>
      </c>
      <c r="F109" s="171">
        <v>0</v>
      </c>
      <c r="G109" s="171">
        <v>0</v>
      </c>
      <c r="H109" s="171">
        <v>0</v>
      </c>
      <c r="I109" s="171">
        <v>0</v>
      </c>
      <c r="J109" s="171"/>
      <c r="K109" s="171"/>
      <c r="L109" s="171"/>
      <c r="M109" s="171"/>
      <c r="N109" s="171"/>
      <c r="O109" s="171"/>
      <c r="P109" s="171"/>
      <c r="Q109" s="171"/>
      <c r="R109" s="171"/>
      <c r="S109" s="171"/>
      <c r="T109" s="171"/>
      <c r="U109" s="171"/>
      <c r="V109" s="171"/>
      <c r="W109" s="171"/>
      <c r="X109" s="171"/>
      <c r="Y109" s="171"/>
      <c r="Z109" s="171"/>
      <c r="AA109" s="171"/>
      <c r="AB109" s="171"/>
      <c r="AC109" s="171"/>
    </row>
    <row r="110" spans="1:29" ht="15.75" customHeight="1" x14ac:dyDescent="0.25">
      <c r="A110" s="97" t="s">
        <v>981</v>
      </c>
      <c r="B110" s="249">
        <v>46261</v>
      </c>
      <c r="C110" s="246">
        <v>0.79166666666666663</v>
      </c>
      <c r="D110" s="246">
        <v>0.83333333333333337</v>
      </c>
      <c r="E110" s="171">
        <v>0</v>
      </c>
      <c r="F110" s="171">
        <v>0</v>
      </c>
      <c r="G110" s="171">
        <v>0</v>
      </c>
      <c r="H110" s="171">
        <v>0</v>
      </c>
      <c r="I110" s="171">
        <v>0</v>
      </c>
      <c r="J110" s="171"/>
      <c r="K110" s="171"/>
      <c r="L110" s="171"/>
      <c r="M110" s="171"/>
      <c r="N110" s="171"/>
      <c r="O110" s="171"/>
      <c r="P110" s="171"/>
      <c r="Q110" s="171"/>
      <c r="R110" s="171"/>
      <c r="S110" s="171"/>
      <c r="T110" s="171"/>
      <c r="U110" s="171"/>
      <c r="V110" s="171"/>
      <c r="W110" s="171"/>
      <c r="X110" s="171"/>
      <c r="Y110" s="171"/>
      <c r="Z110" s="171"/>
      <c r="AA110" s="171"/>
      <c r="AB110" s="171"/>
      <c r="AC110" s="171"/>
    </row>
    <row r="111" spans="1:29" ht="15.75" customHeight="1" x14ac:dyDescent="0.25">
      <c r="A111" s="97" t="s">
        <v>982</v>
      </c>
      <c r="B111" s="249">
        <v>46261</v>
      </c>
      <c r="C111" s="246">
        <v>0.83333333333333337</v>
      </c>
      <c r="D111" s="246">
        <v>0.875</v>
      </c>
      <c r="E111" s="171">
        <v>0</v>
      </c>
      <c r="F111" s="171">
        <v>0</v>
      </c>
      <c r="G111" s="171">
        <v>0</v>
      </c>
      <c r="H111" s="171">
        <v>0</v>
      </c>
      <c r="I111" s="171">
        <v>0</v>
      </c>
      <c r="J111" s="171"/>
      <c r="K111" s="171"/>
      <c r="L111" s="171"/>
      <c r="M111" s="171"/>
      <c r="N111" s="171"/>
      <c r="O111" s="171"/>
      <c r="P111" s="171"/>
      <c r="Q111" s="171"/>
      <c r="R111" s="171"/>
      <c r="S111" s="171"/>
      <c r="T111" s="171"/>
      <c r="U111" s="171"/>
      <c r="V111" s="171"/>
      <c r="W111" s="171"/>
      <c r="X111" s="171"/>
      <c r="Y111" s="171"/>
      <c r="Z111" s="171"/>
      <c r="AA111" s="171"/>
      <c r="AB111" s="171"/>
      <c r="AC111" s="171"/>
    </row>
    <row r="112" spans="1:29" ht="15.75" customHeight="1" x14ac:dyDescent="0.25">
      <c r="A112" s="97" t="s">
        <v>983</v>
      </c>
      <c r="B112" s="249">
        <v>46261</v>
      </c>
      <c r="C112" s="246">
        <v>0.875</v>
      </c>
      <c r="D112" s="246">
        <v>0.91666666666666663</v>
      </c>
      <c r="E112" s="171">
        <v>0</v>
      </c>
      <c r="F112" s="171">
        <v>0</v>
      </c>
      <c r="G112" s="171">
        <v>0</v>
      </c>
      <c r="H112" s="171">
        <v>0</v>
      </c>
      <c r="I112" s="171">
        <v>0</v>
      </c>
      <c r="J112" s="171"/>
      <c r="K112" s="171"/>
      <c r="L112" s="171"/>
      <c r="M112" s="171"/>
      <c r="N112" s="171"/>
      <c r="O112" s="171"/>
      <c r="P112" s="171"/>
      <c r="Q112" s="171"/>
      <c r="R112" s="171"/>
      <c r="S112" s="171"/>
      <c r="T112" s="171"/>
      <c r="U112" s="171"/>
      <c r="V112" s="171"/>
      <c r="W112" s="171"/>
      <c r="X112" s="171"/>
      <c r="Y112" s="171"/>
      <c r="Z112" s="171"/>
      <c r="AA112" s="171"/>
      <c r="AB112" s="171"/>
      <c r="AC112" s="171"/>
    </row>
    <row r="113" spans="1:29" ht="15.75" customHeight="1" x14ac:dyDescent="0.25">
      <c r="A113" s="97" t="s">
        <v>1004</v>
      </c>
      <c r="B113" s="249">
        <v>46262</v>
      </c>
      <c r="C113" s="246">
        <v>0.75</v>
      </c>
      <c r="D113" s="246">
        <v>0.79166666666666663</v>
      </c>
      <c r="E113" s="171">
        <v>0</v>
      </c>
      <c r="F113" s="171">
        <v>0</v>
      </c>
      <c r="G113" s="171">
        <v>0</v>
      </c>
      <c r="H113" s="171">
        <v>0</v>
      </c>
      <c r="I113" s="171">
        <v>0</v>
      </c>
      <c r="J113" s="171"/>
      <c r="K113" s="171"/>
      <c r="L113" s="171"/>
      <c r="M113" s="171"/>
      <c r="N113" s="171"/>
      <c r="O113" s="171"/>
      <c r="P113" s="171"/>
      <c r="Q113" s="171"/>
      <c r="R113" s="171"/>
      <c r="S113" s="171"/>
      <c r="T113" s="171"/>
      <c r="U113" s="171"/>
      <c r="V113" s="171"/>
      <c r="W113" s="171"/>
      <c r="X113" s="171"/>
      <c r="Y113" s="171"/>
      <c r="Z113" s="171"/>
      <c r="AA113" s="171"/>
      <c r="AB113" s="171"/>
      <c r="AC113" s="171"/>
    </row>
    <row r="114" spans="1:29" ht="15.75" customHeight="1" x14ac:dyDescent="0.25">
      <c r="A114" s="97" t="s">
        <v>1005</v>
      </c>
      <c r="B114" s="249">
        <v>46262</v>
      </c>
      <c r="C114" s="246">
        <v>0.79166666666666663</v>
      </c>
      <c r="D114" s="246">
        <v>0.83333333333333337</v>
      </c>
      <c r="E114" s="171">
        <v>0</v>
      </c>
      <c r="F114" s="171">
        <v>0</v>
      </c>
      <c r="G114" s="171">
        <v>0</v>
      </c>
      <c r="H114" s="171">
        <v>0</v>
      </c>
      <c r="I114" s="171">
        <v>0</v>
      </c>
      <c r="J114" s="171"/>
      <c r="K114" s="171"/>
      <c r="L114" s="171"/>
      <c r="M114" s="171"/>
      <c r="N114" s="171"/>
      <c r="O114" s="171"/>
      <c r="P114" s="171"/>
      <c r="Q114" s="171"/>
      <c r="R114" s="171"/>
      <c r="S114" s="171"/>
      <c r="T114" s="171"/>
      <c r="U114" s="171"/>
      <c r="V114" s="171"/>
      <c r="W114" s="171"/>
      <c r="X114" s="171"/>
      <c r="Y114" s="171"/>
      <c r="Z114" s="171"/>
      <c r="AA114" s="171"/>
      <c r="AB114" s="171"/>
      <c r="AC114" s="171"/>
    </row>
    <row r="115" spans="1:29" ht="15.75" customHeight="1" x14ac:dyDescent="0.25">
      <c r="A115" s="97" t="s">
        <v>1006</v>
      </c>
      <c r="B115" s="249">
        <v>46262</v>
      </c>
      <c r="C115" s="246">
        <v>0.83333333333333337</v>
      </c>
      <c r="D115" s="246">
        <v>0.875</v>
      </c>
      <c r="E115" s="171">
        <v>0</v>
      </c>
      <c r="F115" s="171">
        <v>0</v>
      </c>
      <c r="G115" s="171">
        <v>0</v>
      </c>
      <c r="H115" s="171">
        <v>0</v>
      </c>
      <c r="I115" s="171">
        <v>0</v>
      </c>
      <c r="J115" s="171"/>
      <c r="K115" s="171"/>
      <c r="L115" s="171"/>
      <c r="M115" s="171"/>
      <c r="N115" s="171"/>
      <c r="O115" s="171"/>
      <c r="P115" s="171"/>
      <c r="Q115" s="171"/>
      <c r="R115" s="171"/>
      <c r="S115" s="171"/>
      <c r="T115" s="171"/>
      <c r="U115" s="171"/>
      <c r="V115" s="171"/>
      <c r="W115" s="171"/>
      <c r="X115" s="171"/>
      <c r="Y115" s="171"/>
      <c r="Z115" s="171"/>
      <c r="AA115" s="171"/>
      <c r="AB115" s="171"/>
      <c r="AC115" s="171"/>
    </row>
    <row r="116" spans="1:29" ht="15.75" customHeight="1" x14ac:dyDescent="0.25">
      <c r="A116" s="97" t="s">
        <v>1007</v>
      </c>
      <c r="B116" s="249">
        <v>46262</v>
      </c>
      <c r="C116" s="246">
        <v>0.875</v>
      </c>
      <c r="D116" s="246">
        <v>0.91666666666666663</v>
      </c>
      <c r="E116" s="171">
        <v>0</v>
      </c>
      <c r="F116" s="171">
        <v>0</v>
      </c>
      <c r="G116" s="171">
        <v>0</v>
      </c>
      <c r="H116" s="171">
        <v>0</v>
      </c>
      <c r="I116" s="171">
        <v>0</v>
      </c>
      <c r="J116" s="171"/>
      <c r="K116" s="171"/>
      <c r="L116" s="171"/>
      <c r="M116" s="171"/>
      <c r="N116" s="171"/>
      <c r="O116" s="171"/>
      <c r="P116" s="171"/>
      <c r="Q116" s="171"/>
      <c r="R116" s="171"/>
      <c r="S116" s="171"/>
      <c r="T116" s="171"/>
      <c r="U116" s="171"/>
      <c r="V116" s="171"/>
      <c r="W116" s="171"/>
      <c r="X116" s="171"/>
      <c r="Y116" s="171"/>
      <c r="Z116" s="171"/>
      <c r="AA116" s="171"/>
      <c r="AB116" s="171"/>
      <c r="AC116" s="171"/>
    </row>
    <row r="117" spans="1:29" ht="15.75" customHeight="1" x14ac:dyDescent="0.25">
      <c r="A117" s="97" t="s">
        <v>1028</v>
      </c>
      <c r="B117" s="249">
        <v>46263</v>
      </c>
      <c r="C117" s="246">
        <v>0.75</v>
      </c>
      <c r="D117" s="246">
        <v>0.79166666666666663</v>
      </c>
      <c r="E117" s="171">
        <v>0</v>
      </c>
      <c r="F117" s="171">
        <v>0</v>
      </c>
      <c r="G117" s="171">
        <v>0</v>
      </c>
      <c r="H117" s="171">
        <v>0</v>
      </c>
      <c r="I117" s="171">
        <v>0</v>
      </c>
      <c r="J117" s="171"/>
      <c r="K117" s="171"/>
      <c r="L117" s="171"/>
      <c r="M117" s="171"/>
      <c r="N117" s="171"/>
      <c r="O117" s="171"/>
      <c r="P117" s="171"/>
      <c r="Q117" s="171"/>
      <c r="R117" s="171"/>
      <c r="S117" s="171"/>
      <c r="T117" s="171"/>
      <c r="U117" s="171"/>
      <c r="V117" s="171"/>
      <c r="W117" s="171"/>
      <c r="X117" s="171"/>
      <c r="Y117" s="171"/>
      <c r="Z117" s="171"/>
      <c r="AA117" s="171"/>
      <c r="AB117" s="171"/>
      <c r="AC117" s="171"/>
    </row>
    <row r="118" spans="1:29" ht="15.75" customHeight="1" x14ac:dyDescent="0.25">
      <c r="A118" s="97" t="s">
        <v>1029</v>
      </c>
      <c r="B118" s="249">
        <v>46263</v>
      </c>
      <c r="C118" s="246">
        <v>0.79166666666666663</v>
      </c>
      <c r="D118" s="246">
        <v>0.83333333333333337</v>
      </c>
      <c r="E118" s="171">
        <v>0</v>
      </c>
      <c r="F118" s="171">
        <v>0</v>
      </c>
      <c r="G118" s="171">
        <v>0</v>
      </c>
      <c r="H118" s="171">
        <v>0</v>
      </c>
      <c r="I118" s="171">
        <v>0</v>
      </c>
      <c r="J118" s="171"/>
      <c r="K118" s="171"/>
      <c r="L118" s="171"/>
      <c r="M118" s="171"/>
      <c r="N118" s="171"/>
      <c r="O118" s="171"/>
      <c r="P118" s="171"/>
      <c r="Q118" s="171"/>
      <c r="R118" s="171"/>
      <c r="S118" s="171"/>
      <c r="T118" s="171"/>
      <c r="U118" s="171"/>
      <c r="V118" s="171"/>
      <c r="W118" s="171"/>
      <c r="X118" s="171"/>
      <c r="Y118" s="171"/>
      <c r="Z118" s="171"/>
      <c r="AA118" s="171"/>
      <c r="AB118" s="171"/>
      <c r="AC118" s="171"/>
    </row>
    <row r="119" spans="1:29" ht="15.75" customHeight="1" x14ac:dyDescent="0.25">
      <c r="A119" s="97" t="s">
        <v>1030</v>
      </c>
      <c r="B119" s="249">
        <v>46263</v>
      </c>
      <c r="C119" s="246">
        <v>0.83333333333333337</v>
      </c>
      <c r="D119" s="246">
        <v>0.875</v>
      </c>
      <c r="E119" s="171">
        <v>0</v>
      </c>
      <c r="F119" s="171">
        <v>0</v>
      </c>
      <c r="G119" s="171">
        <v>0</v>
      </c>
      <c r="H119" s="171">
        <v>0</v>
      </c>
      <c r="I119" s="171">
        <v>0</v>
      </c>
      <c r="J119" s="171"/>
      <c r="K119" s="171"/>
      <c r="L119" s="171"/>
      <c r="M119" s="171"/>
      <c r="N119" s="171"/>
      <c r="O119" s="171"/>
      <c r="P119" s="171"/>
      <c r="Q119" s="171"/>
      <c r="R119" s="171"/>
      <c r="S119" s="171"/>
      <c r="T119" s="171"/>
      <c r="U119" s="171"/>
      <c r="V119" s="171"/>
      <c r="W119" s="171"/>
      <c r="X119" s="171"/>
      <c r="Y119" s="171"/>
      <c r="Z119" s="171"/>
      <c r="AA119" s="171"/>
      <c r="AB119" s="171"/>
      <c r="AC119" s="171"/>
    </row>
    <row r="120" spans="1:29" ht="15.75" customHeight="1" x14ac:dyDescent="0.25">
      <c r="A120" s="97" t="s">
        <v>1031</v>
      </c>
      <c r="B120" s="249">
        <v>46263</v>
      </c>
      <c r="C120" s="246">
        <v>0.875</v>
      </c>
      <c r="D120" s="246">
        <v>0.91666666666666663</v>
      </c>
      <c r="E120" s="171">
        <v>0</v>
      </c>
      <c r="F120" s="171">
        <v>0</v>
      </c>
      <c r="G120" s="171">
        <v>0</v>
      </c>
      <c r="H120" s="171">
        <v>0</v>
      </c>
      <c r="I120" s="171">
        <v>0</v>
      </c>
      <c r="J120" s="171"/>
      <c r="K120" s="171"/>
      <c r="L120" s="171"/>
      <c r="M120" s="171"/>
      <c r="N120" s="171"/>
      <c r="O120" s="171"/>
      <c r="P120" s="171"/>
      <c r="Q120" s="171"/>
      <c r="R120" s="171"/>
      <c r="S120" s="171"/>
      <c r="T120" s="171"/>
      <c r="U120" s="171"/>
      <c r="V120" s="171"/>
      <c r="W120" s="171"/>
      <c r="X120" s="171"/>
      <c r="Y120" s="171"/>
      <c r="Z120" s="171"/>
      <c r="AA120" s="171"/>
      <c r="AB120" s="171"/>
      <c r="AC120" s="171"/>
    </row>
    <row r="121" spans="1:29" ht="15.75" customHeight="1" x14ac:dyDescent="0.25">
      <c r="A121" s="97" t="s">
        <v>1052</v>
      </c>
      <c r="B121" s="249">
        <v>46264</v>
      </c>
      <c r="C121" s="246">
        <v>0.75</v>
      </c>
      <c r="D121" s="246">
        <v>0.79166666666666663</v>
      </c>
      <c r="E121" s="171">
        <v>0</v>
      </c>
      <c r="F121" s="171">
        <v>0</v>
      </c>
      <c r="G121" s="171">
        <v>0</v>
      </c>
      <c r="H121" s="171">
        <v>0</v>
      </c>
      <c r="I121" s="171">
        <v>0</v>
      </c>
      <c r="J121" s="171"/>
      <c r="K121" s="171"/>
      <c r="L121" s="171"/>
      <c r="M121" s="171"/>
      <c r="N121" s="171"/>
      <c r="O121" s="171"/>
      <c r="P121" s="171"/>
      <c r="Q121" s="171"/>
      <c r="R121" s="171"/>
      <c r="S121" s="171"/>
      <c r="T121" s="171"/>
      <c r="U121" s="171"/>
      <c r="V121" s="171"/>
      <c r="W121" s="171"/>
      <c r="X121" s="171"/>
      <c r="Y121" s="171"/>
      <c r="Z121" s="171"/>
      <c r="AA121" s="171"/>
      <c r="AB121" s="171"/>
      <c r="AC121" s="171"/>
    </row>
    <row r="122" spans="1:29" ht="15.75" customHeight="1" x14ac:dyDescent="0.25">
      <c r="A122" s="97" t="s">
        <v>1053</v>
      </c>
      <c r="B122" s="249">
        <v>46264</v>
      </c>
      <c r="C122" s="246">
        <v>0.79166666666666663</v>
      </c>
      <c r="D122" s="246">
        <v>0.83333333333333337</v>
      </c>
      <c r="E122" s="171">
        <v>0</v>
      </c>
      <c r="F122" s="171">
        <v>0</v>
      </c>
      <c r="G122" s="171">
        <v>0</v>
      </c>
      <c r="H122" s="171">
        <v>0</v>
      </c>
      <c r="I122" s="171">
        <v>0</v>
      </c>
      <c r="J122" s="171"/>
      <c r="K122" s="171"/>
      <c r="L122" s="171"/>
      <c r="M122" s="171"/>
      <c r="N122" s="171"/>
      <c r="O122" s="171"/>
      <c r="P122" s="171"/>
      <c r="Q122" s="171"/>
      <c r="R122" s="171"/>
      <c r="S122" s="171"/>
      <c r="T122" s="171"/>
      <c r="U122" s="171"/>
      <c r="V122" s="171"/>
      <c r="W122" s="171"/>
      <c r="X122" s="171"/>
      <c r="Y122" s="171"/>
      <c r="Z122" s="171"/>
      <c r="AA122" s="171"/>
      <c r="AB122" s="171"/>
      <c r="AC122" s="171"/>
    </row>
    <row r="123" spans="1:29" ht="15.75" customHeight="1" x14ac:dyDescent="0.25">
      <c r="A123" s="97" t="s">
        <v>1054</v>
      </c>
      <c r="B123" s="249">
        <v>46264</v>
      </c>
      <c r="C123" s="246">
        <v>0.83333333333333337</v>
      </c>
      <c r="D123" s="246">
        <v>0.875</v>
      </c>
      <c r="E123" s="171">
        <v>0</v>
      </c>
      <c r="F123" s="171">
        <v>0</v>
      </c>
      <c r="G123" s="171">
        <v>0</v>
      </c>
      <c r="H123" s="171">
        <v>0</v>
      </c>
      <c r="I123" s="171">
        <v>0</v>
      </c>
      <c r="J123" s="171"/>
      <c r="K123" s="171"/>
      <c r="L123" s="171"/>
      <c r="M123" s="171"/>
      <c r="N123" s="171"/>
      <c r="O123" s="171"/>
      <c r="P123" s="171"/>
      <c r="Q123" s="171"/>
      <c r="R123" s="171"/>
      <c r="S123" s="171"/>
      <c r="T123" s="171"/>
      <c r="U123" s="171"/>
      <c r="V123" s="171"/>
      <c r="W123" s="171"/>
      <c r="X123" s="171"/>
      <c r="Y123" s="171"/>
      <c r="Z123" s="171"/>
      <c r="AA123" s="171"/>
      <c r="AB123" s="171"/>
      <c r="AC123" s="171"/>
    </row>
    <row r="124" spans="1:29" ht="15.75" customHeight="1" x14ac:dyDescent="0.25">
      <c r="A124" s="97" t="s">
        <v>1055</v>
      </c>
      <c r="B124" s="249">
        <v>46264</v>
      </c>
      <c r="C124" s="246">
        <v>0.875</v>
      </c>
      <c r="D124" s="246">
        <v>0.91666666666666663</v>
      </c>
      <c r="E124" s="171">
        <v>0</v>
      </c>
      <c r="F124" s="171">
        <v>0</v>
      </c>
      <c r="G124" s="171">
        <v>0</v>
      </c>
      <c r="H124" s="171">
        <v>0</v>
      </c>
      <c r="I124" s="171">
        <v>0</v>
      </c>
      <c r="J124" s="171"/>
      <c r="K124" s="171"/>
      <c r="L124" s="171"/>
      <c r="M124" s="171"/>
      <c r="N124" s="171"/>
      <c r="O124" s="171"/>
      <c r="P124" s="171"/>
      <c r="Q124" s="171"/>
      <c r="R124" s="171"/>
      <c r="S124" s="171"/>
      <c r="T124" s="171"/>
      <c r="U124" s="171"/>
      <c r="V124" s="171"/>
      <c r="W124" s="171"/>
      <c r="X124" s="171"/>
      <c r="Y124" s="171"/>
      <c r="Z124" s="171"/>
      <c r="AA124" s="171"/>
      <c r="AB124" s="171"/>
      <c r="AC124" s="171"/>
    </row>
    <row r="125" spans="1:29" ht="15.75" customHeight="1" x14ac:dyDescent="0.25">
      <c r="A125" s="97" t="s">
        <v>1076</v>
      </c>
      <c r="B125" s="249">
        <v>46265</v>
      </c>
      <c r="C125" s="246">
        <v>0.75</v>
      </c>
      <c r="D125" s="246">
        <v>0.79166666666666663</v>
      </c>
      <c r="E125" s="171">
        <v>0</v>
      </c>
      <c r="F125" s="171">
        <v>0</v>
      </c>
      <c r="G125" s="171">
        <v>0</v>
      </c>
      <c r="H125" s="171">
        <v>0</v>
      </c>
      <c r="I125" s="171">
        <v>0</v>
      </c>
      <c r="J125" s="171"/>
      <c r="K125" s="171"/>
      <c r="L125" s="171"/>
      <c r="M125" s="171"/>
      <c r="N125" s="171"/>
      <c r="O125" s="171"/>
      <c r="P125" s="171"/>
      <c r="Q125" s="171"/>
      <c r="R125" s="171"/>
      <c r="S125" s="171"/>
      <c r="T125" s="171"/>
      <c r="U125" s="171"/>
      <c r="V125" s="171"/>
      <c r="W125" s="171"/>
      <c r="X125" s="171"/>
      <c r="Y125" s="171"/>
      <c r="Z125" s="171"/>
      <c r="AA125" s="171"/>
      <c r="AB125" s="171"/>
      <c r="AC125" s="171"/>
    </row>
    <row r="126" spans="1:29" ht="15.75" customHeight="1" x14ac:dyDescent="0.25">
      <c r="A126" s="97" t="s">
        <v>1077</v>
      </c>
      <c r="B126" s="249">
        <v>46265</v>
      </c>
      <c r="C126" s="246">
        <v>0.79166666666666663</v>
      </c>
      <c r="D126" s="246">
        <v>0.83333333333333337</v>
      </c>
      <c r="E126" s="171">
        <v>0</v>
      </c>
      <c r="F126" s="171">
        <v>0</v>
      </c>
      <c r="G126" s="171">
        <v>0</v>
      </c>
      <c r="H126" s="171">
        <v>0</v>
      </c>
      <c r="I126" s="171">
        <v>0</v>
      </c>
      <c r="J126" s="171"/>
      <c r="K126" s="171"/>
      <c r="L126" s="171"/>
      <c r="M126" s="171"/>
      <c r="N126" s="171"/>
      <c r="O126" s="171"/>
      <c r="P126" s="171"/>
      <c r="Q126" s="171"/>
      <c r="R126" s="171"/>
      <c r="S126" s="171"/>
      <c r="T126" s="171"/>
      <c r="U126" s="171"/>
      <c r="V126" s="171"/>
      <c r="W126" s="171"/>
      <c r="X126" s="171"/>
      <c r="Y126" s="171"/>
      <c r="Z126" s="171"/>
      <c r="AA126" s="171"/>
      <c r="AB126" s="171"/>
      <c r="AC126" s="171"/>
    </row>
    <row r="127" spans="1:29" ht="15.75" customHeight="1" x14ac:dyDescent="0.25">
      <c r="A127" s="97" t="s">
        <v>1078</v>
      </c>
      <c r="B127" s="249">
        <v>46265</v>
      </c>
      <c r="C127" s="246">
        <v>0.83333333333333337</v>
      </c>
      <c r="D127" s="246">
        <v>0.875</v>
      </c>
      <c r="E127" s="171">
        <v>0</v>
      </c>
      <c r="F127" s="171">
        <v>0</v>
      </c>
      <c r="G127" s="171">
        <v>0</v>
      </c>
      <c r="H127" s="171">
        <v>0</v>
      </c>
      <c r="I127" s="171">
        <v>0</v>
      </c>
      <c r="J127" s="171"/>
      <c r="K127" s="171"/>
      <c r="L127" s="171"/>
      <c r="M127" s="171"/>
      <c r="N127" s="171"/>
      <c r="O127" s="171"/>
      <c r="P127" s="171"/>
      <c r="Q127" s="171"/>
      <c r="R127" s="171"/>
      <c r="S127" s="171"/>
      <c r="T127" s="171"/>
      <c r="U127" s="171"/>
      <c r="V127" s="171"/>
      <c r="W127" s="171"/>
      <c r="X127" s="171"/>
      <c r="Y127" s="171"/>
      <c r="Z127" s="171"/>
      <c r="AA127" s="171"/>
      <c r="AB127" s="171"/>
      <c r="AC127" s="171"/>
    </row>
    <row r="128" spans="1:29" ht="15.75" customHeight="1" x14ac:dyDescent="0.25">
      <c r="A128" s="97" t="s">
        <v>1079</v>
      </c>
      <c r="B128" s="249">
        <v>46265</v>
      </c>
      <c r="C128" s="246">
        <v>0.875</v>
      </c>
      <c r="D128" s="246">
        <v>0.91666666666666663</v>
      </c>
      <c r="E128" s="171">
        <v>0</v>
      </c>
      <c r="F128" s="171">
        <v>0</v>
      </c>
      <c r="G128" s="171">
        <v>0</v>
      </c>
      <c r="H128" s="171">
        <v>0</v>
      </c>
      <c r="I128" s="171">
        <v>0</v>
      </c>
      <c r="J128" s="171"/>
      <c r="K128" s="171"/>
      <c r="L128" s="171"/>
      <c r="M128" s="171"/>
      <c r="N128" s="171"/>
      <c r="O128" s="171"/>
      <c r="P128" s="171"/>
      <c r="Q128" s="171"/>
      <c r="R128" s="171"/>
      <c r="S128" s="171"/>
      <c r="T128" s="171"/>
      <c r="U128" s="171"/>
      <c r="V128" s="171"/>
      <c r="W128" s="171"/>
      <c r="X128" s="171"/>
      <c r="Y128" s="171"/>
      <c r="Z128" s="171"/>
      <c r="AA128" s="171"/>
      <c r="AB128" s="171"/>
      <c r="AC128" s="171"/>
    </row>
    <row r="129" spans="1:29" ht="15.75" customHeight="1" x14ac:dyDescent="0.25">
      <c r="A129" s="97"/>
      <c r="B129" s="249">
        <v>46266</v>
      </c>
      <c r="C129" s="246">
        <v>0.75</v>
      </c>
      <c r="D129" s="246">
        <v>0.79166666666666663</v>
      </c>
      <c r="E129" s="246"/>
      <c r="F129" s="246"/>
      <c r="G129" s="97"/>
      <c r="H129" s="97"/>
      <c r="I129" s="97"/>
      <c r="J129" s="97"/>
      <c r="K129" s="97"/>
      <c r="L129" s="97"/>
      <c r="M129" s="97"/>
      <c r="N129" s="97"/>
      <c r="O129" s="97"/>
      <c r="P129" s="97"/>
      <c r="Q129" s="97"/>
      <c r="R129" s="97"/>
      <c r="S129" s="97"/>
      <c r="T129" s="97"/>
      <c r="U129" s="97"/>
      <c r="V129" s="97"/>
      <c r="W129" s="97"/>
      <c r="X129" s="97"/>
      <c r="Y129" s="97"/>
      <c r="Z129" s="97"/>
      <c r="AA129" s="97"/>
      <c r="AB129" s="97"/>
      <c r="AC129" s="97"/>
    </row>
    <row r="130" spans="1:29" ht="15.75" customHeight="1" x14ac:dyDescent="0.25">
      <c r="A130" s="97"/>
      <c r="B130" s="249">
        <v>46266</v>
      </c>
      <c r="C130" s="246">
        <v>0.79166666666666663</v>
      </c>
      <c r="D130" s="246">
        <v>0.83333333333333337</v>
      </c>
      <c r="E130" s="246"/>
      <c r="F130" s="246"/>
      <c r="G130" s="97"/>
      <c r="H130" s="97"/>
      <c r="I130" s="97"/>
      <c r="J130" s="97"/>
      <c r="K130" s="97"/>
      <c r="L130" s="97"/>
      <c r="M130" s="97"/>
      <c r="N130" s="97"/>
      <c r="O130" s="97"/>
      <c r="P130" s="97"/>
      <c r="Q130" s="97"/>
      <c r="R130" s="97"/>
      <c r="S130" s="97"/>
      <c r="T130" s="97"/>
      <c r="U130" s="97"/>
      <c r="V130" s="97"/>
      <c r="W130" s="97"/>
      <c r="X130" s="97"/>
      <c r="Y130" s="97"/>
      <c r="Z130" s="97"/>
      <c r="AA130" s="97"/>
      <c r="AB130" s="97"/>
      <c r="AC130" s="97"/>
    </row>
    <row r="131" spans="1:29" ht="15.75" customHeight="1" x14ac:dyDescent="0.25">
      <c r="A131" s="97"/>
      <c r="B131" s="249">
        <v>46266</v>
      </c>
      <c r="C131" s="246">
        <v>0.83333333333333337</v>
      </c>
      <c r="D131" s="246">
        <v>0.875</v>
      </c>
      <c r="E131" s="246"/>
      <c r="F131" s="246"/>
      <c r="G131" s="97"/>
      <c r="H131" s="97"/>
      <c r="I131" s="97"/>
      <c r="J131" s="97"/>
      <c r="K131" s="97"/>
      <c r="L131" s="97"/>
      <c r="M131" s="97"/>
      <c r="N131" s="97"/>
      <c r="O131" s="97"/>
      <c r="P131" s="97"/>
      <c r="Q131" s="97"/>
      <c r="R131" s="97"/>
      <c r="S131" s="97"/>
      <c r="T131" s="97"/>
      <c r="U131" s="97"/>
      <c r="V131" s="97"/>
      <c r="W131" s="97"/>
      <c r="X131" s="97"/>
      <c r="Y131" s="97"/>
      <c r="Z131" s="97"/>
      <c r="AA131" s="97"/>
      <c r="AB131" s="97"/>
      <c r="AC131" s="97"/>
    </row>
    <row r="132" spans="1:29" ht="15.75" customHeight="1" x14ac:dyDescent="0.25">
      <c r="A132" s="97"/>
      <c r="B132" s="249">
        <v>46266</v>
      </c>
      <c r="C132" s="246">
        <v>0.875</v>
      </c>
      <c r="D132" s="246">
        <v>0.91666666666666663</v>
      </c>
      <c r="E132" s="246"/>
      <c r="F132" s="246"/>
      <c r="G132" s="97"/>
      <c r="H132" s="97"/>
      <c r="I132" s="97"/>
      <c r="J132" s="97"/>
      <c r="K132" s="97"/>
      <c r="L132" s="97"/>
      <c r="M132" s="97"/>
      <c r="N132" s="97"/>
      <c r="O132" s="97"/>
      <c r="P132" s="97"/>
      <c r="Q132" s="97"/>
      <c r="R132" s="97"/>
      <c r="S132" s="97"/>
      <c r="T132" s="97"/>
      <c r="U132" s="97"/>
      <c r="V132" s="97"/>
      <c r="W132" s="97"/>
      <c r="X132" s="97"/>
      <c r="Y132" s="97"/>
      <c r="Z132" s="97"/>
      <c r="AA132" s="97"/>
      <c r="AB132" s="97"/>
      <c r="AC132" s="97"/>
    </row>
    <row r="133" spans="1:29" ht="15.75" customHeight="1" x14ac:dyDescent="0.25">
      <c r="B133" s="249"/>
      <c r="C133" s="246"/>
      <c r="D133" s="246"/>
    </row>
    <row r="134" spans="1:29" ht="15.75" customHeight="1" x14ac:dyDescent="0.25">
      <c r="B134" s="249"/>
      <c r="C134" s="246"/>
      <c r="D134" s="246"/>
    </row>
    <row r="135" spans="1:29" ht="15.75" customHeight="1" x14ac:dyDescent="0.25">
      <c r="B135" s="249"/>
      <c r="C135" s="246"/>
      <c r="D135" s="246"/>
    </row>
    <row r="136" spans="1:29" ht="15.75" customHeight="1" x14ac:dyDescent="0.25">
      <c r="B136" s="249"/>
      <c r="C136" s="246"/>
      <c r="D136" s="246"/>
    </row>
    <row r="137" spans="1:29" ht="15.75" customHeight="1" x14ac:dyDescent="0.25">
      <c r="B137" s="249"/>
      <c r="C137" s="246"/>
      <c r="D137" s="246"/>
    </row>
    <row r="138" spans="1:29" ht="15.75" customHeight="1" x14ac:dyDescent="0.25">
      <c r="B138" s="249"/>
      <c r="C138" s="246"/>
      <c r="D138" s="246"/>
    </row>
    <row r="139" spans="1:29" ht="15.75" customHeight="1" x14ac:dyDescent="0.25">
      <c r="B139" s="249"/>
      <c r="C139" s="246"/>
      <c r="D139" s="246"/>
    </row>
    <row r="140" spans="1:29" ht="15.75" customHeight="1" x14ac:dyDescent="0.25">
      <c r="B140" s="249"/>
      <c r="C140" s="246"/>
      <c r="D140" s="246"/>
    </row>
    <row r="141" spans="1:29" ht="15.75" customHeight="1" x14ac:dyDescent="0.25">
      <c r="B141" s="249"/>
      <c r="C141" s="246"/>
      <c r="D141" s="246"/>
    </row>
    <row r="142" spans="1:29" ht="15.75" customHeight="1" x14ac:dyDescent="0.25">
      <c r="B142" s="249"/>
      <c r="C142" s="246"/>
      <c r="D142" s="246"/>
    </row>
    <row r="143" spans="1:29" ht="15.75" customHeight="1" x14ac:dyDescent="0.25">
      <c r="B143" s="249"/>
      <c r="C143" s="246"/>
      <c r="D143" s="246"/>
    </row>
    <row r="144" spans="1:29" ht="15.75" customHeight="1" x14ac:dyDescent="0.25">
      <c r="B144" s="249"/>
      <c r="C144" s="246"/>
      <c r="D144" s="246"/>
    </row>
    <row r="145" spans="2:4" ht="15.75" customHeight="1" x14ac:dyDescent="0.25">
      <c r="B145" s="249"/>
      <c r="C145" s="246"/>
      <c r="D145" s="246"/>
    </row>
    <row r="146" spans="2:4" ht="15.75" customHeight="1" x14ac:dyDescent="0.25">
      <c r="B146" s="249"/>
      <c r="C146" s="246"/>
      <c r="D146" s="246"/>
    </row>
    <row r="147" spans="2:4" ht="15.75" customHeight="1" x14ac:dyDescent="0.25">
      <c r="B147" s="249"/>
      <c r="C147" s="246"/>
      <c r="D147" s="246"/>
    </row>
    <row r="148" spans="2:4" ht="15.75" customHeight="1" x14ac:dyDescent="0.25">
      <c r="B148" s="249"/>
      <c r="C148" s="246"/>
      <c r="D148" s="246"/>
    </row>
    <row r="149" spans="2:4" ht="15.75" customHeight="1" x14ac:dyDescent="0.25">
      <c r="B149" s="249"/>
      <c r="C149" s="246"/>
      <c r="D149" s="246"/>
    </row>
    <row r="150" spans="2:4" ht="15.75" customHeight="1" x14ac:dyDescent="0.25">
      <c r="B150" s="249"/>
      <c r="C150" s="246"/>
      <c r="D150" s="246"/>
    </row>
    <row r="151" spans="2:4" ht="15.75" customHeight="1" x14ac:dyDescent="0.25">
      <c r="B151" s="249"/>
      <c r="C151" s="246"/>
      <c r="D151" s="246"/>
    </row>
    <row r="152" spans="2:4" ht="15.75" customHeight="1" x14ac:dyDescent="0.25">
      <c r="B152" s="249"/>
      <c r="C152" s="246"/>
      <c r="D152" s="246"/>
    </row>
    <row r="153" spans="2:4" ht="15.75" customHeight="1" x14ac:dyDescent="0.25">
      <c r="B153" s="249"/>
      <c r="C153" s="246"/>
      <c r="D153" s="246"/>
    </row>
    <row r="154" spans="2:4" ht="15.75" customHeight="1" x14ac:dyDescent="0.25">
      <c r="B154" s="249"/>
      <c r="C154" s="246"/>
      <c r="D154" s="246"/>
    </row>
    <row r="155" spans="2:4" ht="15.75" customHeight="1" x14ac:dyDescent="0.25">
      <c r="B155" s="249"/>
      <c r="C155" s="246"/>
      <c r="D155" s="246"/>
    </row>
    <row r="156" spans="2:4" ht="15.75" customHeight="1" x14ac:dyDescent="0.25">
      <c r="B156" s="249"/>
      <c r="C156" s="246"/>
      <c r="D156" s="246"/>
    </row>
    <row r="157" spans="2:4" ht="15.75" customHeight="1" x14ac:dyDescent="0.25">
      <c r="B157" s="249"/>
      <c r="C157" s="246"/>
      <c r="D157" s="246"/>
    </row>
    <row r="158" spans="2:4" ht="15.75" customHeight="1" x14ac:dyDescent="0.25">
      <c r="B158" s="249"/>
      <c r="C158" s="246"/>
      <c r="D158" s="246"/>
    </row>
    <row r="159" spans="2:4" ht="15.75" customHeight="1" x14ac:dyDescent="0.25">
      <c r="B159" s="249"/>
      <c r="C159" s="246"/>
      <c r="D159" s="246"/>
    </row>
    <row r="160" spans="2:4" ht="15.75" customHeight="1" x14ac:dyDescent="0.25">
      <c r="B160" s="249"/>
      <c r="C160" s="246"/>
      <c r="D160" s="246"/>
    </row>
    <row r="161" spans="2:4" ht="15.75" customHeight="1" x14ac:dyDescent="0.25">
      <c r="B161" s="249"/>
      <c r="C161" s="246"/>
      <c r="D161" s="246"/>
    </row>
    <row r="162" spans="2:4" ht="15.75" customHeight="1" x14ac:dyDescent="0.25">
      <c r="B162" s="249"/>
      <c r="C162" s="246"/>
      <c r="D162" s="246"/>
    </row>
    <row r="163" spans="2:4" ht="15.75" customHeight="1" x14ac:dyDescent="0.25">
      <c r="B163" s="249"/>
      <c r="C163" s="246"/>
      <c r="D163" s="246"/>
    </row>
    <row r="164" spans="2:4" ht="15.75" customHeight="1" x14ac:dyDescent="0.25">
      <c r="B164" s="249"/>
      <c r="C164" s="246"/>
      <c r="D164" s="246"/>
    </row>
    <row r="165" spans="2:4" ht="15.75" customHeight="1" x14ac:dyDescent="0.25">
      <c r="B165" s="249"/>
      <c r="C165" s="246"/>
      <c r="D165" s="246"/>
    </row>
    <row r="166" spans="2:4" ht="15.75" customHeight="1" x14ac:dyDescent="0.25">
      <c r="B166" s="249"/>
      <c r="C166" s="246"/>
      <c r="D166" s="246"/>
    </row>
    <row r="167" spans="2:4" ht="15.75" customHeight="1" x14ac:dyDescent="0.25">
      <c r="B167" s="249"/>
      <c r="C167" s="246"/>
      <c r="D167" s="246"/>
    </row>
    <row r="168" spans="2:4" ht="15.75" customHeight="1" x14ac:dyDescent="0.25">
      <c r="B168" s="249"/>
      <c r="C168" s="246"/>
      <c r="D168" s="246"/>
    </row>
    <row r="169" spans="2:4" ht="15.75" customHeight="1" x14ac:dyDescent="0.25">
      <c r="B169" s="249"/>
      <c r="C169" s="246"/>
      <c r="D169" s="246"/>
    </row>
    <row r="170" spans="2:4" ht="15.75" customHeight="1" x14ac:dyDescent="0.25">
      <c r="B170" s="249"/>
      <c r="C170" s="246"/>
      <c r="D170" s="246"/>
    </row>
    <row r="171" spans="2:4" ht="15.75" customHeight="1" x14ac:dyDescent="0.25">
      <c r="B171" s="249"/>
      <c r="C171" s="246"/>
      <c r="D171" s="246"/>
    </row>
    <row r="172" spans="2:4" ht="15.75" customHeight="1" x14ac:dyDescent="0.25">
      <c r="B172" s="249"/>
      <c r="C172" s="246"/>
      <c r="D172" s="246"/>
    </row>
    <row r="173" spans="2:4" ht="15.75" customHeight="1" x14ac:dyDescent="0.25">
      <c r="B173" s="249"/>
      <c r="C173" s="246"/>
      <c r="D173" s="246"/>
    </row>
    <row r="174" spans="2:4" ht="15.75" customHeight="1" x14ac:dyDescent="0.25">
      <c r="B174" s="249"/>
      <c r="C174" s="246"/>
      <c r="D174" s="246"/>
    </row>
    <row r="175" spans="2:4" ht="15.75" customHeight="1" x14ac:dyDescent="0.25">
      <c r="B175" s="249"/>
      <c r="C175" s="246"/>
      <c r="D175" s="246"/>
    </row>
    <row r="176" spans="2:4" ht="15.75" customHeight="1" x14ac:dyDescent="0.25">
      <c r="B176" s="249"/>
      <c r="C176" s="246"/>
      <c r="D176" s="246"/>
    </row>
    <row r="177" spans="2:4" ht="15.75" customHeight="1" x14ac:dyDescent="0.25">
      <c r="B177" s="249"/>
      <c r="C177" s="246"/>
      <c r="D177" s="246"/>
    </row>
    <row r="178" spans="2:4" ht="15.75" customHeight="1" x14ac:dyDescent="0.25">
      <c r="B178" s="249"/>
      <c r="C178" s="246"/>
      <c r="D178" s="246"/>
    </row>
    <row r="179" spans="2:4" ht="15.75" customHeight="1" x14ac:dyDescent="0.25">
      <c r="B179" s="249"/>
      <c r="C179" s="246"/>
      <c r="D179" s="246"/>
    </row>
    <row r="180" spans="2:4" ht="15.75" customHeight="1" x14ac:dyDescent="0.25">
      <c r="B180" s="249"/>
      <c r="C180" s="246"/>
      <c r="D180" s="246"/>
    </row>
    <row r="181" spans="2:4" ht="15.75" customHeight="1" x14ac:dyDescent="0.25">
      <c r="B181" s="249"/>
      <c r="C181" s="246"/>
      <c r="D181" s="246"/>
    </row>
    <row r="182" spans="2:4" ht="15.75" customHeight="1" x14ac:dyDescent="0.25">
      <c r="B182" s="249"/>
      <c r="C182" s="246"/>
      <c r="D182" s="246"/>
    </row>
    <row r="183" spans="2:4" ht="15.75" customHeight="1" x14ac:dyDescent="0.25">
      <c r="B183" s="249"/>
      <c r="C183" s="246"/>
      <c r="D183" s="246"/>
    </row>
    <row r="184" spans="2:4" ht="15.75" customHeight="1" x14ac:dyDescent="0.25">
      <c r="B184" s="249"/>
      <c r="C184" s="246"/>
      <c r="D184" s="246"/>
    </row>
    <row r="185" spans="2:4" ht="15.75" customHeight="1" x14ac:dyDescent="0.25">
      <c r="B185" s="249"/>
      <c r="C185" s="246"/>
      <c r="D185" s="246"/>
    </row>
    <row r="186" spans="2:4" ht="15.75" customHeight="1" x14ac:dyDescent="0.25">
      <c r="B186" s="249"/>
      <c r="C186" s="246"/>
      <c r="D186" s="246"/>
    </row>
    <row r="187" spans="2:4" ht="15.75" customHeight="1" x14ac:dyDescent="0.25">
      <c r="B187" s="249"/>
      <c r="C187" s="246"/>
      <c r="D187" s="246"/>
    </row>
    <row r="188" spans="2:4" ht="15.75" customHeight="1" x14ac:dyDescent="0.25">
      <c r="B188" s="249"/>
      <c r="C188" s="246"/>
      <c r="D188" s="246"/>
    </row>
    <row r="189" spans="2:4" ht="15.75" customHeight="1" x14ac:dyDescent="0.25">
      <c r="B189" s="249"/>
      <c r="C189" s="246"/>
      <c r="D189" s="246"/>
    </row>
    <row r="190" spans="2:4" ht="15.75" customHeight="1" x14ac:dyDescent="0.25">
      <c r="B190" s="249"/>
      <c r="C190" s="246"/>
      <c r="D190" s="246"/>
    </row>
    <row r="191" spans="2:4" ht="15.75" customHeight="1" x14ac:dyDescent="0.25">
      <c r="B191" s="249"/>
      <c r="C191" s="246"/>
      <c r="D191" s="246"/>
    </row>
    <row r="192" spans="2:4" ht="15.75" customHeight="1" x14ac:dyDescent="0.25">
      <c r="B192" s="249"/>
      <c r="C192" s="246"/>
      <c r="D192" s="246"/>
    </row>
    <row r="193" spans="2:4" ht="15.75" customHeight="1" x14ac:dyDescent="0.25">
      <c r="B193" s="249"/>
      <c r="C193" s="246"/>
      <c r="D193" s="246"/>
    </row>
    <row r="194" spans="2:4" ht="15.75" customHeight="1" x14ac:dyDescent="0.25">
      <c r="B194" s="249"/>
      <c r="C194" s="246"/>
      <c r="D194" s="246"/>
    </row>
    <row r="195" spans="2:4" ht="15.75" customHeight="1" x14ac:dyDescent="0.25">
      <c r="B195" s="249"/>
      <c r="C195" s="246"/>
      <c r="D195" s="246"/>
    </row>
    <row r="196" spans="2:4" ht="15.75" customHeight="1" x14ac:dyDescent="0.25">
      <c r="B196" s="249"/>
      <c r="C196" s="246"/>
      <c r="D196" s="246"/>
    </row>
    <row r="197" spans="2:4" ht="15.75" customHeight="1" x14ac:dyDescent="0.25">
      <c r="B197" s="249"/>
      <c r="C197" s="246"/>
      <c r="D197" s="246"/>
    </row>
    <row r="198" spans="2:4" ht="15.75" customHeight="1" x14ac:dyDescent="0.25">
      <c r="B198" s="249"/>
      <c r="C198" s="246"/>
      <c r="D198" s="246"/>
    </row>
    <row r="199" spans="2:4" ht="15.75" customHeight="1" x14ac:dyDescent="0.25">
      <c r="B199" s="249"/>
      <c r="C199" s="246"/>
      <c r="D199" s="246"/>
    </row>
    <row r="200" spans="2:4" ht="15.75" customHeight="1" x14ac:dyDescent="0.25">
      <c r="B200" s="249"/>
      <c r="C200" s="246"/>
      <c r="D200" s="246"/>
    </row>
    <row r="201" spans="2:4" ht="15.75" customHeight="1" x14ac:dyDescent="0.25">
      <c r="B201" s="249"/>
      <c r="C201" s="246"/>
      <c r="D201" s="246"/>
    </row>
    <row r="202" spans="2:4" ht="15.75" customHeight="1" x14ac:dyDescent="0.25">
      <c r="B202" s="249"/>
      <c r="C202" s="246"/>
      <c r="D202" s="246"/>
    </row>
    <row r="203" spans="2:4" ht="15.75" customHeight="1" x14ac:dyDescent="0.25">
      <c r="B203" s="249"/>
      <c r="C203" s="246"/>
      <c r="D203" s="246"/>
    </row>
    <row r="204" spans="2:4" ht="15.75" customHeight="1" x14ac:dyDescent="0.25">
      <c r="B204" s="249"/>
      <c r="C204" s="246"/>
      <c r="D204" s="246"/>
    </row>
    <row r="205" spans="2:4" ht="15.75" customHeight="1" x14ac:dyDescent="0.25">
      <c r="B205" s="249"/>
      <c r="C205" s="246"/>
      <c r="D205" s="246"/>
    </row>
    <row r="206" spans="2:4" ht="15.75" customHeight="1" x14ac:dyDescent="0.25">
      <c r="B206" s="249"/>
      <c r="C206" s="246"/>
      <c r="D206" s="246"/>
    </row>
    <row r="207" spans="2:4" ht="15.75" customHeight="1" x14ac:dyDescent="0.25">
      <c r="B207" s="249"/>
      <c r="C207" s="246"/>
      <c r="D207" s="246"/>
    </row>
    <row r="208" spans="2:4" ht="15.75" customHeight="1" x14ac:dyDescent="0.25">
      <c r="B208" s="249"/>
      <c r="C208" s="246"/>
      <c r="D208" s="246"/>
    </row>
    <row r="209" spans="2:4" ht="15.75" customHeight="1" x14ac:dyDescent="0.25">
      <c r="B209" s="249"/>
      <c r="C209" s="246"/>
      <c r="D209" s="246"/>
    </row>
    <row r="210" spans="2:4" ht="15.75" customHeight="1" x14ac:dyDescent="0.25">
      <c r="B210" s="249"/>
      <c r="C210" s="246"/>
      <c r="D210" s="246"/>
    </row>
    <row r="211" spans="2:4" ht="15.75" customHeight="1" x14ac:dyDescent="0.25">
      <c r="B211" s="249"/>
      <c r="C211" s="246"/>
      <c r="D211" s="246"/>
    </row>
    <row r="212" spans="2:4" ht="15.75" customHeight="1" x14ac:dyDescent="0.25">
      <c r="B212" s="249"/>
      <c r="C212" s="246"/>
      <c r="D212" s="246"/>
    </row>
    <row r="213" spans="2:4" ht="15.75" customHeight="1" x14ac:dyDescent="0.25">
      <c r="B213" s="249"/>
      <c r="C213" s="246"/>
      <c r="D213" s="246"/>
    </row>
    <row r="214" spans="2:4" ht="15.75" customHeight="1" x14ac:dyDescent="0.25">
      <c r="B214" s="249"/>
      <c r="C214" s="246"/>
      <c r="D214" s="246"/>
    </row>
    <row r="215" spans="2:4" ht="15.75" customHeight="1" x14ac:dyDescent="0.25">
      <c r="B215" s="249"/>
      <c r="C215" s="246"/>
      <c r="D215" s="246"/>
    </row>
    <row r="216" spans="2:4" ht="15.75" customHeight="1" x14ac:dyDescent="0.25">
      <c r="B216" s="249"/>
      <c r="C216" s="246"/>
      <c r="D216" s="246"/>
    </row>
    <row r="217" spans="2:4" ht="15.75" customHeight="1" x14ac:dyDescent="0.25">
      <c r="B217" s="249"/>
      <c r="C217" s="246"/>
      <c r="D217" s="246"/>
    </row>
    <row r="218" spans="2:4" ht="15.75" customHeight="1" x14ac:dyDescent="0.25">
      <c r="B218" s="249"/>
      <c r="C218" s="246"/>
      <c r="D218" s="246"/>
    </row>
    <row r="219" spans="2:4" ht="15.75" customHeight="1" x14ac:dyDescent="0.25">
      <c r="B219" s="249"/>
      <c r="C219" s="246"/>
      <c r="D219" s="246"/>
    </row>
    <row r="220" spans="2:4" ht="15.75" customHeight="1" x14ac:dyDescent="0.25">
      <c r="B220" s="249"/>
      <c r="C220" s="246"/>
      <c r="D220" s="246"/>
    </row>
    <row r="221" spans="2:4" ht="15.75" customHeight="1" x14ac:dyDescent="0.25">
      <c r="B221" s="249"/>
      <c r="C221" s="246"/>
      <c r="D221" s="246"/>
    </row>
    <row r="222" spans="2:4" ht="15.75" customHeight="1" x14ac:dyDescent="0.25">
      <c r="B222" s="249"/>
      <c r="C222" s="246"/>
      <c r="D222" s="246"/>
    </row>
    <row r="223" spans="2:4" ht="15.75" customHeight="1" x14ac:dyDescent="0.25">
      <c r="B223" s="249"/>
      <c r="C223" s="246"/>
      <c r="D223" s="246"/>
    </row>
    <row r="224" spans="2:4" ht="15.75" customHeight="1" x14ac:dyDescent="0.25">
      <c r="B224" s="249"/>
      <c r="C224" s="246"/>
      <c r="D224" s="246"/>
    </row>
    <row r="225" spans="2:4" ht="15.75" customHeight="1" x14ac:dyDescent="0.25">
      <c r="B225" s="249"/>
      <c r="C225" s="246"/>
      <c r="D225" s="246"/>
    </row>
    <row r="226" spans="2:4" ht="15.75" customHeight="1" x14ac:dyDescent="0.25">
      <c r="B226" s="249"/>
      <c r="C226" s="246"/>
      <c r="D226" s="246"/>
    </row>
    <row r="227" spans="2:4" ht="15.75" customHeight="1" x14ac:dyDescent="0.25">
      <c r="B227" s="249"/>
      <c r="C227" s="246"/>
      <c r="D227" s="246"/>
    </row>
    <row r="228" spans="2:4" ht="15.75" customHeight="1" x14ac:dyDescent="0.25">
      <c r="B228" s="249"/>
      <c r="C228" s="246"/>
      <c r="D228" s="246"/>
    </row>
    <row r="229" spans="2:4" ht="15.75" customHeight="1" x14ac:dyDescent="0.25">
      <c r="B229" s="249"/>
      <c r="C229" s="246"/>
      <c r="D229" s="246"/>
    </row>
    <row r="230" spans="2:4" ht="15.75" customHeight="1" x14ac:dyDescent="0.25">
      <c r="B230" s="249"/>
      <c r="C230" s="246"/>
      <c r="D230" s="246"/>
    </row>
    <row r="231" spans="2:4" ht="15.75" customHeight="1" x14ac:dyDescent="0.25">
      <c r="B231" s="249"/>
      <c r="C231" s="246"/>
      <c r="D231" s="246"/>
    </row>
    <row r="232" spans="2:4" ht="15.75" customHeight="1" x14ac:dyDescent="0.25">
      <c r="B232" s="249"/>
      <c r="C232" s="246"/>
      <c r="D232" s="246"/>
    </row>
    <row r="233" spans="2:4" ht="15.75" customHeight="1" x14ac:dyDescent="0.25">
      <c r="B233" s="249"/>
      <c r="C233" s="246"/>
      <c r="D233" s="246"/>
    </row>
    <row r="234" spans="2:4" ht="15.75" customHeight="1" x14ac:dyDescent="0.25">
      <c r="B234" s="249"/>
      <c r="C234" s="246"/>
      <c r="D234" s="246"/>
    </row>
    <row r="235" spans="2:4" ht="15.75" customHeight="1" x14ac:dyDescent="0.25">
      <c r="B235" s="249"/>
      <c r="C235" s="246"/>
      <c r="D235" s="246"/>
    </row>
    <row r="236" spans="2:4" ht="15.75" customHeight="1" x14ac:dyDescent="0.25">
      <c r="B236" s="249"/>
      <c r="C236" s="246"/>
      <c r="D236" s="246"/>
    </row>
    <row r="237" spans="2:4" ht="15.75" customHeight="1" x14ac:dyDescent="0.25">
      <c r="B237" s="249"/>
      <c r="C237" s="246"/>
      <c r="D237" s="246"/>
    </row>
    <row r="238" spans="2:4" ht="15.75" customHeight="1" x14ac:dyDescent="0.25">
      <c r="B238" s="249"/>
      <c r="C238" s="246"/>
      <c r="D238" s="246"/>
    </row>
    <row r="239" spans="2:4" ht="15.75" customHeight="1" x14ac:dyDescent="0.25">
      <c r="B239" s="249"/>
      <c r="C239" s="246"/>
      <c r="D239" s="246"/>
    </row>
    <row r="240" spans="2:4" ht="15.75" customHeight="1" x14ac:dyDescent="0.25">
      <c r="B240" s="249"/>
      <c r="C240" s="246"/>
      <c r="D240" s="246"/>
    </row>
    <row r="241" spans="2:4" ht="15.75" customHeight="1" x14ac:dyDescent="0.25">
      <c r="B241" s="249"/>
      <c r="C241" s="246"/>
      <c r="D241" s="246"/>
    </row>
    <row r="242" spans="2:4" ht="15.75" customHeight="1" x14ac:dyDescent="0.25">
      <c r="B242" s="249"/>
      <c r="C242" s="246"/>
      <c r="D242" s="246"/>
    </row>
    <row r="243" spans="2:4" ht="15.75" customHeight="1" x14ac:dyDescent="0.25">
      <c r="B243" s="249"/>
      <c r="C243" s="246"/>
      <c r="D243" s="246"/>
    </row>
    <row r="244" spans="2:4" ht="15.75" customHeight="1" x14ac:dyDescent="0.25">
      <c r="B244" s="249"/>
      <c r="C244" s="246"/>
      <c r="D244" s="246"/>
    </row>
    <row r="245" spans="2:4" ht="15.75" customHeight="1" x14ac:dyDescent="0.25">
      <c r="B245" s="249"/>
      <c r="C245" s="246"/>
      <c r="D245" s="246"/>
    </row>
    <row r="246" spans="2:4" ht="15.75" customHeight="1" x14ac:dyDescent="0.25">
      <c r="B246" s="249"/>
      <c r="C246" s="246"/>
      <c r="D246" s="246"/>
    </row>
    <row r="247" spans="2:4" ht="15.75" customHeight="1" x14ac:dyDescent="0.25">
      <c r="B247" s="249"/>
      <c r="C247" s="246"/>
      <c r="D247" s="246"/>
    </row>
    <row r="248" spans="2:4" ht="15.75" customHeight="1" x14ac:dyDescent="0.25">
      <c r="B248" s="249"/>
      <c r="C248" s="246"/>
      <c r="D248" s="246"/>
    </row>
    <row r="249" spans="2:4" ht="15.75" customHeight="1" x14ac:dyDescent="0.25">
      <c r="B249" s="249"/>
      <c r="C249" s="246"/>
      <c r="D249" s="246"/>
    </row>
    <row r="250" spans="2:4" ht="15.75" customHeight="1" x14ac:dyDescent="0.25">
      <c r="B250" s="249"/>
      <c r="C250" s="246"/>
      <c r="D250" s="246"/>
    </row>
    <row r="251" spans="2:4" ht="15.75" customHeight="1" x14ac:dyDescent="0.25">
      <c r="B251" s="249"/>
      <c r="C251" s="246"/>
      <c r="D251" s="246"/>
    </row>
    <row r="252" spans="2:4" ht="15.75" customHeight="1" x14ac:dyDescent="0.25">
      <c r="B252" s="249"/>
      <c r="C252" s="246"/>
      <c r="D252" s="246"/>
    </row>
    <row r="253" spans="2:4" ht="15.75" customHeight="1" x14ac:dyDescent="0.25">
      <c r="B253" s="249"/>
      <c r="C253" s="246"/>
      <c r="D253" s="246"/>
    </row>
    <row r="254" spans="2:4" ht="15.75" customHeight="1" x14ac:dyDescent="0.25">
      <c r="B254" s="249"/>
      <c r="C254" s="246"/>
      <c r="D254" s="246"/>
    </row>
    <row r="255" spans="2:4" ht="15.75" customHeight="1" x14ac:dyDescent="0.25">
      <c r="B255" s="249"/>
      <c r="C255" s="246"/>
      <c r="D255" s="246"/>
    </row>
    <row r="256" spans="2:4" ht="15.75" customHeight="1" x14ac:dyDescent="0.25">
      <c r="B256" s="249"/>
      <c r="C256" s="246"/>
      <c r="D256" s="246"/>
    </row>
    <row r="257" spans="2:4" ht="15.75" customHeight="1" x14ac:dyDescent="0.25">
      <c r="B257" s="249"/>
      <c r="C257" s="246"/>
      <c r="D257" s="246"/>
    </row>
    <row r="258" spans="2:4" ht="15.75" customHeight="1" x14ac:dyDescent="0.25">
      <c r="B258" s="249"/>
      <c r="C258" s="246"/>
      <c r="D258" s="246"/>
    </row>
    <row r="259" spans="2:4" ht="15.75" customHeight="1" x14ac:dyDescent="0.25">
      <c r="B259" s="249"/>
      <c r="C259" s="246"/>
      <c r="D259" s="246"/>
    </row>
    <row r="260" spans="2:4" ht="15.75" customHeight="1" x14ac:dyDescent="0.25">
      <c r="B260" s="249"/>
      <c r="C260" s="246"/>
      <c r="D260" s="246"/>
    </row>
    <row r="261" spans="2:4" ht="15.75" customHeight="1" x14ac:dyDescent="0.2"/>
    <row r="262" spans="2:4" ht="15.75" customHeight="1" x14ac:dyDescent="0.2"/>
    <row r="263" spans="2:4" ht="15.75" customHeight="1" x14ac:dyDescent="0.2"/>
    <row r="264" spans="2:4" ht="15.75" customHeight="1" x14ac:dyDescent="0.2"/>
    <row r="265" spans="2:4" ht="15.75" customHeight="1" x14ac:dyDescent="0.2"/>
    <row r="266" spans="2:4" ht="15.75" customHeight="1" x14ac:dyDescent="0.2"/>
    <row r="267" spans="2:4" ht="15.75" customHeight="1" x14ac:dyDescent="0.2"/>
    <row r="268" spans="2:4" ht="15.75" customHeight="1" x14ac:dyDescent="0.2"/>
    <row r="269" spans="2:4" ht="15.75" customHeight="1" x14ac:dyDescent="0.2"/>
    <row r="270" spans="2:4" ht="15.75" customHeight="1" x14ac:dyDescent="0.2"/>
    <row r="271" spans="2:4" ht="15.75" customHeight="1" x14ac:dyDescent="0.2"/>
    <row r="272" spans="2:4"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outlinePr summaryBelow="0" summaryRight="0"/>
  </sheetPr>
  <dimension ref="A1:AC1000"/>
  <sheetViews>
    <sheetView workbookViewId="0">
      <selection sqref="A1:AC1000"/>
    </sheetView>
  </sheetViews>
  <sheetFormatPr defaultColWidth="12.5703125" defaultRowHeight="15" customHeight="1" x14ac:dyDescent="0.2"/>
  <cols>
    <col min="1" max="6" width="12.5703125" customWidth="1"/>
  </cols>
  <sheetData>
    <row r="1" spans="1:29" ht="15.75" customHeight="1" x14ac:dyDescent="0.2"/>
    <row r="2" spans="1:29" ht="15.75" customHeight="1" x14ac:dyDescent="0.2"/>
    <row r="3" spans="1:29" ht="15.75" customHeight="1" x14ac:dyDescent="0.25">
      <c r="A3" s="97"/>
      <c r="B3" s="97"/>
      <c r="C3" s="97"/>
      <c r="D3" s="97"/>
      <c r="E3" s="177" t="s">
        <v>6</v>
      </c>
      <c r="F3" s="181" t="s">
        <v>11</v>
      </c>
      <c r="G3" s="185" t="s">
        <v>7</v>
      </c>
      <c r="H3" s="188" t="s">
        <v>8</v>
      </c>
      <c r="I3" s="181" t="s">
        <v>12</v>
      </c>
      <c r="J3" s="171"/>
      <c r="K3" s="171"/>
      <c r="L3" s="171"/>
      <c r="M3" s="171"/>
      <c r="N3" s="171"/>
      <c r="O3" s="171"/>
      <c r="P3" s="171"/>
      <c r="Q3" s="171"/>
      <c r="R3" s="171"/>
      <c r="S3" s="171"/>
      <c r="T3" s="171"/>
      <c r="U3" s="171"/>
      <c r="V3" s="171"/>
      <c r="W3" s="171"/>
      <c r="X3" s="171"/>
      <c r="Y3" s="171"/>
      <c r="Z3" s="171"/>
      <c r="AA3" s="171"/>
      <c r="AB3" s="171"/>
      <c r="AC3" s="171"/>
    </row>
    <row r="4" spans="1:29" ht="15.75" customHeight="1" x14ac:dyDescent="0.25">
      <c r="A4" s="97"/>
      <c r="C4" s="97"/>
      <c r="D4" s="97"/>
      <c r="E4" s="234">
        <v>12819</v>
      </c>
      <c r="F4" s="182">
        <v>13578</v>
      </c>
      <c r="G4" s="37">
        <v>12817</v>
      </c>
      <c r="H4" s="189">
        <v>12818</v>
      </c>
      <c r="I4" s="182">
        <v>13579</v>
      </c>
      <c r="J4" s="171"/>
      <c r="K4" s="171"/>
      <c r="L4" s="171"/>
      <c r="M4" s="171"/>
      <c r="N4" s="171"/>
      <c r="O4" s="171"/>
      <c r="P4" s="171"/>
      <c r="Q4" s="171"/>
      <c r="R4" s="171"/>
      <c r="S4" s="171"/>
      <c r="T4" s="171"/>
      <c r="U4" s="171"/>
      <c r="V4" s="171"/>
      <c r="W4" s="171"/>
      <c r="X4" s="171"/>
      <c r="Y4" s="171"/>
      <c r="Z4" s="171"/>
      <c r="AA4" s="171"/>
      <c r="AB4" s="171"/>
      <c r="AC4" s="171"/>
    </row>
    <row r="5" spans="1:29" ht="15.75" customHeight="1" x14ac:dyDescent="0.25">
      <c r="A5" s="251" t="s">
        <v>348</v>
      </c>
      <c r="B5" s="249">
        <v>46235</v>
      </c>
      <c r="C5" s="246">
        <v>0.41666666666666669</v>
      </c>
      <c r="D5" s="246">
        <v>0.45833333333333331</v>
      </c>
      <c r="E5" s="250">
        <v>66.645833333488554</v>
      </c>
      <c r="F5" s="250">
        <v>8.2103937729261816</v>
      </c>
      <c r="G5" s="250">
        <v>0</v>
      </c>
      <c r="H5" s="250">
        <v>0</v>
      </c>
      <c r="I5" s="250">
        <v>0</v>
      </c>
      <c r="J5" s="250"/>
      <c r="K5" s="250"/>
      <c r="L5" s="250"/>
      <c r="M5" s="250"/>
      <c r="N5" s="250"/>
      <c r="O5" s="250"/>
      <c r="P5" s="250"/>
      <c r="Q5" s="250"/>
      <c r="R5" s="250"/>
      <c r="S5" s="250"/>
      <c r="T5" s="250"/>
      <c r="U5" s="250"/>
      <c r="V5" s="250"/>
      <c r="W5" s="250"/>
      <c r="X5" s="250"/>
      <c r="Y5" s="250"/>
      <c r="Z5" s="250"/>
      <c r="AA5" s="250"/>
      <c r="AB5" s="250"/>
      <c r="AC5" s="250"/>
    </row>
    <row r="6" spans="1:29" ht="15.75" customHeight="1" x14ac:dyDescent="0.25">
      <c r="A6" s="252" t="s">
        <v>349</v>
      </c>
      <c r="B6" s="249">
        <v>46235</v>
      </c>
      <c r="C6" s="246">
        <v>0.45833333333333331</v>
      </c>
      <c r="D6" s="246">
        <v>0.5</v>
      </c>
      <c r="E6" s="250">
        <v>72.299999999813735</v>
      </c>
      <c r="F6" s="250">
        <v>9.9716746795456856</v>
      </c>
      <c r="G6" s="250">
        <v>0</v>
      </c>
      <c r="H6" s="250">
        <v>0</v>
      </c>
      <c r="I6" s="250">
        <v>0</v>
      </c>
      <c r="J6" s="250"/>
      <c r="K6" s="250"/>
      <c r="L6" s="250"/>
      <c r="M6" s="250"/>
      <c r="N6" s="250"/>
      <c r="O6" s="250"/>
      <c r="P6" s="250"/>
      <c r="Q6" s="250"/>
      <c r="R6" s="250"/>
      <c r="S6" s="250"/>
      <c r="T6" s="250"/>
      <c r="U6" s="250"/>
      <c r="V6" s="250"/>
      <c r="W6" s="250"/>
      <c r="X6" s="250"/>
      <c r="Y6" s="250"/>
      <c r="Z6" s="250"/>
      <c r="AA6" s="250"/>
      <c r="AB6" s="250"/>
      <c r="AC6" s="250"/>
    </row>
    <row r="7" spans="1:29" ht="15.75" customHeight="1" x14ac:dyDescent="0.25">
      <c r="A7" s="252" t="s">
        <v>350</v>
      </c>
      <c r="B7" s="249">
        <v>46235</v>
      </c>
      <c r="C7" s="246">
        <v>0.5</v>
      </c>
      <c r="D7" s="246">
        <v>0.54166666666666663</v>
      </c>
      <c r="E7" s="250">
        <v>105.14166666660458</v>
      </c>
      <c r="F7" s="250">
        <v>10.449999999953434</v>
      </c>
      <c r="G7" s="250">
        <v>0</v>
      </c>
      <c r="H7" s="250">
        <v>0</v>
      </c>
      <c r="I7" s="250">
        <v>0</v>
      </c>
      <c r="J7" s="250"/>
      <c r="K7" s="250"/>
      <c r="L7" s="250"/>
      <c r="M7" s="250"/>
      <c r="N7" s="250"/>
      <c r="O7" s="250"/>
      <c r="P7" s="250"/>
      <c r="Q7" s="250"/>
      <c r="R7" s="250"/>
      <c r="S7" s="250"/>
      <c r="T7" s="250"/>
      <c r="U7" s="250"/>
      <c r="V7" s="250"/>
      <c r="W7" s="250"/>
      <c r="X7" s="250"/>
      <c r="Y7" s="250"/>
      <c r="Z7" s="250"/>
      <c r="AA7" s="250"/>
      <c r="AB7" s="250"/>
      <c r="AC7" s="250"/>
    </row>
    <row r="8" spans="1:29" ht="15.75" customHeight="1" x14ac:dyDescent="0.25">
      <c r="A8" s="252" t="s">
        <v>351</v>
      </c>
      <c r="B8" s="249">
        <v>46235</v>
      </c>
      <c r="C8" s="246">
        <v>0.54166666666666663</v>
      </c>
      <c r="D8" s="246">
        <v>0.58333333333333337</v>
      </c>
      <c r="E8" s="250">
        <v>97.308333333581686</v>
      </c>
      <c r="F8" s="250">
        <v>11.764062499976717</v>
      </c>
      <c r="G8" s="250">
        <v>0</v>
      </c>
      <c r="H8" s="250">
        <v>0</v>
      </c>
      <c r="I8" s="250">
        <v>0</v>
      </c>
      <c r="J8" s="250"/>
      <c r="K8" s="250"/>
      <c r="L8" s="250"/>
      <c r="M8" s="250"/>
      <c r="N8" s="250"/>
      <c r="O8" s="250"/>
      <c r="P8" s="250"/>
      <c r="Q8" s="250"/>
      <c r="R8" s="250"/>
      <c r="S8" s="250"/>
      <c r="T8" s="250"/>
      <c r="U8" s="250"/>
      <c r="V8" s="250"/>
      <c r="W8" s="250"/>
      <c r="X8" s="250"/>
      <c r="Y8" s="250"/>
      <c r="Z8" s="250"/>
      <c r="AA8" s="250"/>
      <c r="AB8" s="250"/>
      <c r="AC8" s="250"/>
    </row>
    <row r="9" spans="1:29" ht="15.75" customHeight="1" x14ac:dyDescent="0.25">
      <c r="A9" s="252" t="s">
        <v>352</v>
      </c>
      <c r="B9" s="249">
        <v>46235</v>
      </c>
      <c r="C9" s="246">
        <v>0.58333333333333337</v>
      </c>
      <c r="D9" s="246">
        <v>0.625</v>
      </c>
      <c r="E9" s="250">
        <v>103.21666666679084</v>
      </c>
      <c r="F9" s="250">
        <v>10.444969512172975</v>
      </c>
      <c r="G9" s="250">
        <v>0</v>
      </c>
      <c r="H9" s="250">
        <v>0</v>
      </c>
      <c r="I9" s="250">
        <v>0</v>
      </c>
      <c r="J9" s="250"/>
      <c r="K9" s="250"/>
      <c r="L9" s="250"/>
      <c r="M9" s="250"/>
      <c r="N9" s="250"/>
      <c r="O9" s="250"/>
      <c r="P9" s="250"/>
      <c r="Q9" s="250"/>
      <c r="R9" s="250"/>
      <c r="S9" s="250"/>
      <c r="T9" s="250"/>
      <c r="U9" s="250"/>
      <c r="V9" s="250"/>
      <c r="W9" s="250"/>
      <c r="X9" s="250"/>
      <c r="Y9" s="250"/>
      <c r="Z9" s="250"/>
      <c r="AA9" s="250"/>
      <c r="AB9" s="250"/>
      <c r="AC9" s="250"/>
    </row>
    <row r="10" spans="1:29" ht="15.75" customHeight="1" x14ac:dyDescent="0.25">
      <c r="A10" s="252" t="s">
        <v>353</v>
      </c>
      <c r="B10" s="249">
        <v>46235</v>
      </c>
      <c r="C10" s="246">
        <v>0.625</v>
      </c>
      <c r="D10" s="246">
        <v>0.66666666666666663</v>
      </c>
      <c r="E10" s="250">
        <v>99.033333333209157</v>
      </c>
      <c r="F10" s="250">
        <v>7.5956554878503084</v>
      </c>
      <c r="G10" s="250">
        <v>0</v>
      </c>
      <c r="H10" s="250">
        <v>0</v>
      </c>
      <c r="I10" s="250">
        <v>0</v>
      </c>
      <c r="J10" s="250"/>
      <c r="K10" s="250"/>
      <c r="L10" s="250"/>
      <c r="M10" s="250"/>
      <c r="N10" s="250"/>
      <c r="O10" s="250"/>
      <c r="P10" s="250"/>
      <c r="Q10" s="250"/>
      <c r="R10" s="250"/>
      <c r="S10" s="250"/>
      <c r="T10" s="250"/>
      <c r="U10" s="250"/>
      <c r="V10" s="250"/>
      <c r="W10" s="250"/>
      <c r="X10" s="250"/>
      <c r="Y10" s="250"/>
      <c r="Z10" s="250"/>
      <c r="AA10" s="250"/>
      <c r="AB10" s="250"/>
      <c r="AC10" s="250"/>
    </row>
    <row r="11" spans="1:29" ht="15.75" customHeight="1" x14ac:dyDescent="0.25">
      <c r="A11" s="252" t="s">
        <v>354</v>
      </c>
      <c r="B11" s="249">
        <v>46235</v>
      </c>
      <c r="C11" s="246">
        <v>0.66666666666666663</v>
      </c>
      <c r="D11" s="246">
        <v>0.70833333333333337</v>
      </c>
      <c r="E11" s="250">
        <v>87.883333333302289</v>
      </c>
      <c r="F11" s="250">
        <v>12.237500000046566</v>
      </c>
      <c r="G11" s="250">
        <v>0</v>
      </c>
      <c r="H11" s="250">
        <v>0</v>
      </c>
      <c r="I11" s="250">
        <v>0</v>
      </c>
      <c r="J11" s="250"/>
      <c r="K11" s="250"/>
      <c r="L11" s="250"/>
      <c r="M11" s="250"/>
      <c r="N11" s="250"/>
      <c r="O11" s="250"/>
      <c r="P11" s="250"/>
      <c r="Q11" s="250"/>
      <c r="R11" s="250"/>
      <c r="S11" s="250"/>
      <c r="T11" s="250"/>
      <c r="U11" s="250"/>
      <c r="V11" s="250"/>
      <c r="W11" s="250"/>
      <c r="X11" s="250"/>
      <c r="Y11" s="250"/>
      <c r="Z11" s="250"/>
      <c r="AA11" s="250"/>
      <c r="AB11" s="250"/>
      <c r="AC11" s="250"/>
    </row>
    <row r="12" spans="1:29" ht="15.75" customHeight="1" x14ac:dyDescent="0.25">
      <c r="A12" s="252" t="s">
        <v>355</v>
      </c>
      <c r="B12" s="249">
        <v>46235</v>
      </c>
      <c r="C12" s="246">
        <v>0.70833333333333337</v>
      </c>
      <c r="D12" s="246">
        <v>0.75</v>
      </c>
      <c r="E12" s="250">
        <v>87.967759562656283</v>
      </c>
      <c r="F12" s="250">
        <v>14.065624999930151</v>
      </c>
      <c r="G12" s="250">
        <v>0</v>
      </c>
      <c r="H12" s="250">
        <v>0</v>
      </c>
      <c r="I12" s="250">
        <v>0</v>
      </c>
      <c r="J12" s="250"/>
      <c r="K12" s="250"/>
      <c r="L12" s="250"/>
      <c r="M12" s="250"/>
      <c r="N12" s="250"/>
      <c r="O12" s="250"/>
      <c r="P12" s="250"/>
      <c r="Q12" s="250"/>
      <c r="R12" s="250"/>
      <c r="S12" s="250"/>
      <c r="T12" s="250"/>
      <c r="U12" s="250"/>
      <c r="V12" s="250"/>
      <c r="W12" s="250"/>
      <c r="X12" s="250"/>
      <c r="Y12" s="250"/>
      <c r="Z12" s="250"/>
      <c r="AA12" s="250"/>
      <c r="AB12" s="250"/>
      <c r="AC12" s="250"/>
    </row>
    <row r="13" spans="1:29" ht="15.75" customHeight="1" x14ac:dyDescent="0.25">
      <c r="A13" s="97" t="s">
        <v>372</v>
      </c>
      <c r="B13" s="249">
        <v>46236</v>
      </c>
      <c r="C13" s="246">
        <v>0.41666666666666669</v>
      </c>
      <c r="D13" s="246">
        <v>0.45833333333333331</v>
      </c>
      <c r="E13" s="250">
        <v>36.720550847239792</v>
      </c>
      <c r="F13" s="250">
        <v>2.6984374999301508</v>
      </c>
      <c r="G13" s="250">
        <v>0</v>
      </c>
      <c r="H13" s="250">
        <v>0</v>
      </c>
      <c r="I13" s="250">
        <v>0</v>
      </c>
      <c r="J13" s="250"/>
      <c r="K13" s="250"/>
      <c r="L13" s="250"/>
      <c r="M13" s="250"/>
      <c r="N13" s="250"/>
      <c r="O13" s="250"/>
      <c r="P13" s="250"/>
      <c r="Q13" s="250"/>
      <c r="R13" s="250"/>
      <c r="S13" s="250"/>
      <c r="T13" s="250"/>
      <c r="U13" s="250"/>
      <c r="V13" s="250"/>
      <c r="W13" s="250"/>
      <c r="X13" s="250"/>
      <c r="Y13" s="250"/>
      <c r="Z13" s="250"/>
      <c r="AA13" s="250"/>
      <c r="AB13" s="250"/>
      <c r="AC13" s="250"/>
    </row>
    <row r="14" spans="1:29" ht="15.75" customHeight="1" x14ac:dyDescent="0.25">
      <c r="A14" s="97" t="s">
        <v>373</v>
      </c>
      <c r="B14" s="249">
        <v>46236</v>
      </c>
      <c r="C14" s="246">
        <v>0.45833333333333331</v>
      </c>
      <c r="D14" s="246">
        <v>0.5</v>
      </c>
      <c r="E14" s="250">
        <v>45.6875</v>
      </c>
      <c r="F14" s="250">
        <v>2.5015625000232831</v>
      </c>
      <c r="G14" s="250">
        <v>0</v>
      </c>
      <c r="H14" s="250">
        <v>0</v>
      </c>
      <c r="I14" s="250">
        <v>0.3515625</v>
      </c>
      <c r="J14" s="250"/>
      <c r="K14" s="250"/>
      <c r="L14" s="250"/>
      <c r="M14" s="250"/>
      <c r="N14" s="250"/>
      <c r="O14" s="250"/>
      <c r="P14" s="250"/>
      <c r="Q14" s="250"/>
      <c r="R14" s="250"/>
      <c r="S14" s="250"/>
      <c r="T14" s="250"/>
      <c r="U14" s="250"/>
      <c r="V14" s="250"/>
      <c r="W14" s="250"/>
      <c r="X14" s="250"/>
      <c r="Y14" s="250"/>
      <c r="Z14" s="250"/>
      <c r="AA14" s="250"/>
      <c r="AB14" s="250"/>
      <c r="AC14" s="250"/>
    </row>
    <row r="15" spans="1:29" ht="15.75" customHeight="1" x14ac:dyDescent="0.25">
      <c r="A15" s="97" t="s">
        <v>374</v>
      </c>
      <c r="B15" s="249">
        <v>46236</v>
      </c>
      <c r="C15" s="246">
        <v>0.5</v>
      </c>
      <c r="D15" s="246">
        <v>0.54166666666666663</v>
      </c>
      <c r="E15" s="250">
        <v>38.200000000186265</v>
      </c>
      <c r="F15" s="250">
        <v>3.2375000000465661</v>
      </c>
      <c r="G15" s="250">
        <v>0</v>
      </c>
      <c r="H15" s="250">
        <v>0</v>
      </c>
      <c r="I15" s="250">
        <v>0</v>
      </c>
      <c r="J15" s="250"/>
      <c r="K15" s="250"/>
      <c r="L15" s="250"/>
      <c r="M15" s="250"/>
      <c r="N15" s="250"/>
      <c r="O15" s="250"/>
      <c r="P15" s="250"/>
      <c r="Q15" s="250"/>
      <c r="R15" s="250"/>
      <c r="S15" s="250"/>
      <c r="T15" s="250"/>
      <c r="U15" s="250"/>
      <c r="V15" s="250"/>
      <c r="W15" s="250"/>
      <c r="X15" s="250"/>
      <c r="Y15" s="250"/>
      <c r="Z15" s="250"/>
      <c r="AA15" s="250"/>
      <c r="AB15" s="250"/>
      <c r="AC15" s="250"/>
    </row>
    <row r="16" spans="1:29" ht="15.75" customHeight="1" x14ac:dyDescent="0.25">
      <c r="A16" s="97" t="s">
        <v>375</v>
      </c>
      <c r="B16" s="249">
        <v>46236</v>
      </c>
      <c r="C16" s="246">
        <v>0.54166666666666663</v>
      </c>
      <c r="D16" s="246">
        <v>0.58333333333333337</v>
      </c>
      <c r="E16" s="250">
        <v>43.440573770552874</v>
      </c>
      <c r="F16" s="250">
        <v>3.4718749999301508</v>
      </c>
      <c r="G16" s="250">
        <v>0</v>
      </c>
      <c r="H16" s="250">
        <v>0</v>
      </c>
      <c r="I16" s="250">
        <v>0</v>
      </c>
      <c r="J16" s="250"/>
      <c r="K16" s="250"/>
      <c r="L16" s="250"/>
      <c r="M16" s="250"/>
      <c r="N16" s="250"/>
      <c r="O16" s="250"/>
      <c r="P16" s="250"/>
      <c r="Q16" s="250"/>
      <c r="R16" s="250"/>
      <c r="S16" s="250"/>
      <c r="T16" s="250"/>
      <c r="U16" s="250"/>
      <c r="V16" s="250"/>
      <c r="W16" s="250"/>
      <c r="X16" s="250"/>
      <c r="Y16" s="250"/>
      <c r="Z16" s="250"/>
      <c r="AA16" s="250"/>
      <c r="AB16" s="250"/>
      <c r="AC16" s="250"/>
    </row>
    <row r="17" spans="1:29" ht="15.75" customHeight="1" x14ac:dyDescent="0.25">
      <c r="A17" s="97" t="s">
        <v>376</v>
      </c>
      <c r="B17" s="249">
        <v>46236</v>
      </c>
      <c r="C17" s="246">
        <v>0.58333333333333337</v>
      </c>
      <c r="D17" s="246">
        <v>0.625</v>
      </c>
      <c r="E17" s="250">
        <v>40.709426229353994</v>
      </c>
      <c r="F17" s="250">
        <v>3.7781250000698492</v>
      </c>
      <c r="G17" s="250">
        <v>0</v>
      </c>
      <c r="H17" s="250">
        <v>0</v>
      </c>
      <c r="I17" s="250">
        <v>0</v>
      </c>
      <c r="J17" s="250"/>
      <c r="K17" s="250"/>
      <c r="L17" s="250"/>
      <c r="M17" s="250"/>
      <c r="N17" s="250"/>
      <c r="O17" s="250"/>
      <c r="P17" s="250"/>
      <c r="Q17" s="250"/>
      <c r="R17" s="250"/>
      <c r="S17" s="250"/>
      <c r="T17" s="250"/>
      <c r="U17" s="250"/>
      <c r="V17" s="250"/>
      <c r="W17" s="250"/>
      <c r="X17" s="250"/>
      <c r="Y17" s="250"/>
      <c r="Z17" s="250"/>
      <c r="AA17" s="250"/>
      <c r="AB17" s="250"/>
      <c r="AC17" s="250"/>
    </row>
    <row r="18" spans="1:29" ht="15.75" customHeight="1" x14ac:dyDescent="0.25">
      <c r="A18" s="97" t="s">
        <v>377</v>
      </c>
      <c r="B18" s="249">
        <v>46236</v>
      </c>
      <c r="C18" s="246">
        <v>0.625</v>
      </c>
      <c r="D18" s="246">
        <v>0.66666666666666663</v>
      </c>
      <c r="E18" s="250">
        <v>45.450000000186265</v>
      </c>
      <c r="F18" s="250">
        <v>3.3703124999301508</v>
      </c>
      <c r="G18" s="250">
        <v>0</v>
      </c>
      <c r="H18" s="250">
        <v>0</v>
      </c>
      <c r="I18" s="250">
        <v>0</v>
      </c>
      <c r="J18" s="250"/>
      <c r="K18" s="250"/>
      <c r="L18" s="250"/>
      <c r="M18" s="250"/>
      <c r="N18" s="250"/>
      <c r="O18" s="250"/>
      <c r="P18" s="250"/>
      <c r="Q18" s="250"/>
      <c r="R18" s="250"/>
      <c r="S18" s="250"/>
      <c r="T18" s="250"/>
      <c r="U18" s="250"/>
      <c r="V18" s="250"/>
      <c r="W18" s="250"/>
      <c r="X18" s="250"/>
      <c r="Y18" s="250"/>
      <c r="Z18" s="250"/>
      <c r="AA18" s="250"/>
      <c r="AB18" s="250"/>
      <c r="AC18" s="250"/>
    </row>
    <row r="19" spans="1:29" ht="15.75" customHeight="1" x14ac:dyDescent="0.25">
      <c r="A19" s="97" t="s">
        <v>378</v>
      </c>
      <c r="B19" s="249">
        <v>46236</v>
      </c>
      <c r="C19" s="246">
        <v>0.66666666666666663</v>
      </c>
      <c r="D19" s="246">
        <v>0.70833333333333337</v>
      </c>
      <c r="E19" s="250">
        <v>46.199999999720603</v>
      </c>
      <c r="F19" s="250">
        <v>3.480297256144695</v>
      </c>
      <c r="G19" s="250">
        <v>0</v>
      </c>
      <c r="H19" s="250">
        <v>0</v>
      </c>
      <c r="I19" s="250">
        <v>0</v>
      </c>
      <c r="J19" s="250"/>
      <c r="K19" s="250"/>
      <c r="L19" s="250"/>
      <c r="M19" s="250"/>
      <c r="N19" s="250"/>
      <c r="O19" s="250"/>
      <c r="P19" s="250"/>
      <c r="Q19" s="250"/>
      <c r="R19" s="250"/>
      <c r="S19" s="250"/>
      <c r="T19" s="250"/>
      <c r="U19" s="250"/>
      <c r="V19" s="250"/>
      <c r="W19" s="250"/>
      <c r="X19" s="250"/>
      <c r="Y19" s="250"/>
      <c r="Z19" s="250"/>
      <c r="AA19" s="250"/>
      <c r="AB19" s="250"/>
      <c r="AC19" s="250"/>
    </row>
    <row r="20" spans="1:29" ht="15.75" customHeight="1" x14ac:dyDescent="0.25">
      <c r="A20" s="97" t="s">
        <v>379</v>
      </c>
      <c r="B20" s="249">
        <v>46236</v>
      </c>
      <c r="C20" s="246">
        <v>0.70833333333333337</v>
      </c>
      <c r="D20" s="246">
        <v>0.75</v>
      </c>
      <c r="E20" s="250">
        <v>65.894672131165862</v>
      </c>
      <c r="F20" s="250">
        <v>3.6040777439484373</v>
      </c>
      <c r="G20" s="250">
        <v>0</v>
      </c>
      <c r="H20" s="250">
        <v>0</v>
      </c>
      <c r="I20" s="250">
        <v>0</v>
      </c>
      <c r="J20" s="250"/>
      <c r="K20" s="250"/>
      <c r="L20" s="250"/>
      <c r="M20" s="250"/>
      <c r="N20" s="250"/>
      <c r="O20" s="250"/>
      <c r="P20" s="250"/>
      <c r="Q20" s="250"/>
      <c r="R20" s="250"/>
      <c r="S20" s="250"/>
      <c r="T20" s="250"/>
      <c r="U20" s="250"/>
      <c r="V20" s="250"/>
      <c r="W20" s="250"/>
      <c r="X20" s="250"/>
      <c r="Y20" s="250"/>
      <c r="Z20" s="250"/>
      <c r="AA20" s="250"/>
      <c r="AB20" s="250"/>
      <c r="AC20" s="250"/>
    </row>
    <row r="21" spans="1:29" ht="15.75" customHeight="1" x14ac:dyDescent="0.25">
      <c r="A21" s="97" t="s">
        <v>396</v>
      </c>
      <c r="B21" s="249">
        <v>46237</v>
      </c>
      <c r="C21" s="246">
        <v>0.41666666666666669</v>
      </c>
      <c r="D21" s="246">
        <v>0.45833333333333331</v>
      </c>
      <c r="E21" s="250">
        <v>117.64640804613009</v>
      </c>
      <c r="F21" s="250">
        <v>8.2462652439717203</v>
      </c>
      <c r="G21" s="250">
        <v>0</v>
      </c>
      <c r="H21" s="250">
        <v>0</v>
      </c>
      <c r="I21" s="250">
        <v>0</v>
      </c>
      <c r="J21" s="250"/>
      <c r="K21" s="250"/>
      <c r="L21" s="250"/>
      <c r="M21" s="250"/>
      <c r="N21" s="250"/>
      <c r="O21" s="250"/>
      <c r="P21" s="250"/>
      <c r="Q21" s="250"/>
      <c r="R21" s="250"/>
      <c r="S21" s="250"/>
      <c r="T21" s="250"/>
      <c r="U21" s="250"/>
      <c r="V21" s="250"/>
      <c r="W21" s="250"/>
      <c r="X21" s="250"/>
      <c r="Y21" s="250"/>
      <c r="Z21" s="250"/>
      <c r="AA21" s="250"/>
      <c r="AB21" s="250"/>
      <c r="AC21" s="250"/>
    </row>
    <row r="22" spans="1:29" ht="15.75" customHeight="1" x14ac:dyDescent="0.25">
      <c r="A22" s="97" t="s">
        <v>397</v>
      </c>
      <c r="B22" s="249">
        <v>46237</v>
      </c>
      <c r="C22" s="246">
        <v>0.45833333333333331</v>
      </c>
      <c r="D22" s="246">
        <v>0.5</v>
      </c>
      <c r="E22" s="250">
        <v>109.92083333292976</v>
      </c>
      <c r="F22" s="250">
        <v>9.7347560975467786</v>
      </c>
      <c r="G22" s="250">
        <v>0</v>
      </c>
      <c r="H22" s="250">
        <v>0</v>
      </c>
      <c r="I22" s="250">
        <v>0</v>
      </c>
      <c r="J22" s="250"/>
      <c r="K22" s="250"/>
      <c r="L22" s="250"/>
      <c r="M22" s="250"/>
      <c r="N22" s="250"/>
      <c r="O22" s="250"/>
      <c r="P22" s="250"/>
      <c r="Q22" s="250"/>
      <c r="R22" s="250"/>
      <c r="S22" s="250"/>
      <c r="T22" s="250"/>
      <c r="U22" s="250"/>
      <c r="V22" s="250"/>
      <c r="W22" s="250"/>
      <c r="X22" s="250"/>
      <c r="Y22" s="250"/>
      <c r="Z22" s="250"/>
      <c r="AA22" s="250"/>
      <c r="AB22" s="250"/>
      <c r="AC22" s="250"/>
    </row>
    <row r="23" spans="1:29" ht="15.75" customHeight="1" x14ac:dyDescent="0.25">
      <c r="A23" s="97" t="s">
        <v>398</v>
      </c>
      <c r="B23" s="249">
        <v>46237</v>
      </c>
      <c r="C23" s="246">
        <v>0.5</v>
      </c>
      <c r="D23" s="246">
        <v>0.54166666666666663</v>
      </c>
      <c r="E23" s="250">
        <v>115.08333333348855</v>
      </c>
      <c r="F23" s="250">
        <v>10.411906290100887</v>
      </c>
      <c r="G23" s="250">
        <v>0</v>
      </c>
      <c r="H23" s="250">
        <v>0</v>
      </c>
      <c r="I23" s="250">
        <v>0</v>
      </c>
      <c r="J23" s="250"/>
      <c r="K23" s="250"/>
      <c r="L23" s="250"/>
      <c r="M23" s="250"/>
      <c r="N23" s="250"/>
      <c r="O23" s="250"/>
      <c r="P23" s="250"/>
      <c r="Q23" s="250"/>
      <c r="R23" s="250"/>
      <c r="S23" s="250"/>
      <c r="T23" s="250"/>
      <c r="U23" s="250"/>
      <c r="V23" s="250"/>
      <c r="W23" s="250"/>
      <c r="X23" s="250"/>
      <c r="Y23" s="250"/>
      <c r="Z23" s="250"/>
      <c r="AA23" s="250"/>
      <c r="AB23" s="250"/>
      <c r="AC23" s="250"/>
    </row>
    <row r="24" spans="1:29" ht="15.75" customHeight="1" x14ac:dyDescent="0.25">
      <c r="A24" s="97" t="s">
        <v>399</v>
      </c>
      <c r="B24" s="249">
        <v>46237</v>
      </c>
      <c r="C24" s="246">
        <v>0.54166666666666663</v>
      </c>
      <c r="D24" s="246">
        <v>0.58333333333333337</v>
      </c>
      <c r="E24" s="250">
        <v>118.33387978142127</v>
      </c>
      <c r="F24" s="250">
        <v>10.105509868357331</v>
      </c>
      <c r="G24" s="250">
        <v>0</v>
      </c>
      <c r="H24" s="250">
        <v>0</v>
      </c>
      <c r="I24" s="250">
        <v>0</v>
      </c>
      <c r="J24" s="250"/>
      <c r="K24" s="250"/>
      <c r="L24" s="250"/>
      <c r="M24" s="250"/>
      <c r="N24" s="250"/>
      <c r="O24" s="250"/>
      <c r="P24" s="250"/>
      <c r="Q24" s="250"/>
      <c r="R24" s="250"/>
      <c r="S24" s="250"/>
      <c r="T24" s="250"/>
      <c r="U24" s="250"/>
      <c r="V24" s="250"/>
      <c r="W24" s="250"/>
      <c r="X24" s="250"/>
      <c r="Y24" s="250"/>
      <c r="Z24" s="250"/>
      <c r="AA24" s="250"/>
      <c r="AB24" s="250"/>
      <c r="AC24" s="250"/>
    </row>
    <row r="25" spans="1:29" ht="15.75" customHeight="1" x14ac:dyDescent="0.25">
      <c r="A25" s="97" t="s">
        <v>400</v>
      </c>
      <c r="B25" s="249">
        <v>46237</v>
      </c>
      <c r="C25" s="246">
        <v>0.58333333333333337</v>
      </c>
      <c r="D25" s="246">
        <v>0.625</v>
      </c>
      <c r="E25" s="250">
        <v>114.39945355197415</v>
      </c>
      <c r="F25" s="250">
        <v>10.048132622032426</v>
      </c>
      <c r="G25" s="250">
        <v>0</v>
      </c>
      <c r="H25" s="250">
        <v>0</v>
      </c>
      <c r="I25" s="250">
        <v>0</v>
      </c>
      <c r="J25" s="250"/>
      <c r="K25" s="250"/>
      <c r="L25" s="250"/>
      <c r="M25" s="250"/>
      <c r="N25" s="250"/>
      <c r="O25" s="250"/>
      <c r="P25" s="250"/>
      <c r="Q25" s="250"/>
      <c r="R25" s="250"/>
      <c r="S25" s="250"/>
      <c r="T25" s="250"/>
      <c r="U25" s="250"/>
      <c r="V25" s="250"/>
      <c r="W25" s="250"/>
      <c r="X25" s="250"/>
      <c r="Y25" s="250"/>
      <c r="Z25" s="250"/>
      <c r="AA25" s="250"/>
      <c r="AB25" s="250"/>
      <c r="AC25" s="250"/>
    </row>
    <row r="26" spans="1:29" ht="15.75" customHeight="1" x14ac:dyDescent="0.25">
      <c r="A26" s="97" t="s">
        <v>401</v>
      </c>
      <c r="B26" s="249">
        <v>46237</v>
      </c>
      <c r="C26" s="246">
        <v>0.625</v>
      </c>
      <c r="D26" s="246">
        <v>0.66666666666666663</v>
      </c>
      <c r="E26" s="250">
        <v>112.39999999990687</v>
      </c>
      <c r="F26" s="250">
        <v>11.331554878037423</v>
      </c>
      <c r="G26" s="250">
        <v>0</v>
      </c>
      <c r="H26" s="250">
        <v>0</v>
      </c>
      <c r="I26" s="250">
        <v>0</v>
      </c>
      <c r="J26" s="250"/>
      <c r="K26" s="250"/>
      <c r="L26" s="250"/>
      <c r="M26" s="250"/>
      <c r="N26" s="250"/>
      <c r="O26" s="250"/>
      <c r="P26" s="250"/>
      <c r="Q26" s="250"/>
      <c r="R26" s="250"/>
      <c r="S26" s="250"/>
      <c r="T26" s="250"/>
      <c r="U26" s="250"/>
      <c r="V26" s="250"/>
      <c r="W26" s="250"/>
      <c r="X26" s="250"/>
      <c r="Y26" s="250"/>
      <c r="Z26" s="250"/>
      <c r="AA26" s="250"/>
      <c r="AB26" s="250"/>
      <c r="AC26" s="250"/>
    </row>
    <row r="27" spans="1:29" ht="15.75" customHeight="1" x14ac:dyDescent="0.25">
      <c r="A27" s="97" t="s">
        <v>402</v>
      </c>
      <c r="B27" s="249">
        <v>46237</v>
      </c>
      <c r="C27" s="246">
        <v>0.66666666666666663</v>
      </c>
      <c r="D27" s="246">
        <v>0.70833333333333337</v>
      </c>
      <c r="E27" s="250">
        <v>104.10416666651145</v>
      </c>
      <c r="F27" s="250">
        <v>12.473323170794174</v>
      </c>
      <c r="G27" s="250">
        <v>0</v>
      </c>
      <c r="H27" s="250">
        <v>0</v>
      </c>
      <c r="I27" s="250">
        <v>0</v>
      </c>
      <c r="J27" s="250"/>
      <c r="K27" s="250"/>
      <c r="L27" s="250"/>
      <c r="M27" s="250"/>
      <c r="N27" s="250"/>
      <c r="O27" s="250"/>
      <c r="P27" s="250"/>
      <c r="Q27" s="250"/>
      <c r="R27" s="250"/>
      <c r="S27" s="250"/>
      <c r="T27" s="250"/>
      <c r="U27" s="250"/>
      <c r="V27" s="250"/>
      <c r="W27" s="250"/>
      <c r="X27" s="250"/>
      <c r="Y27" s="250"/>
      <c r="Z27" s="250"/>
      <c r="AA27" s="250"/>
      <c r="AB27" s="250"/>
      <c r="AC27" s="250"/>
    </row>
    <row r="28" spans="1:29" ht="15.75" customHeight="1" x14ac:dyDescent="0.25">
      <c r="A28" s="97" t="s">
        <v>403</v>
      </c>
      <c r="B28" s="249">
        <v>46237</v>
      </c>
      <c r="C28" s="246">
        <v>0.70833333333333337</v>
      </c>
      <c r="D28" s="246">
        <v>0.75</v>
      </c>
      <c r="E28" s="250">
        <v>96.93951149424538</v>
      </c>
      <c r="F28" s="250">
        <v>15.942542213830166</v>
      </c>
      <c r="G28" s="250">
        <v>0</v>
      </c>
      <c r="H28" s="250">
        <v>0</v>
      </c>
      <c r="I28" s="250">
        <v>0</v>
      </c>
      <c r="J28" s="250"/>
      <c r="K28" s="250"/>
      <c r="L28" s="250"/>
      <c r="M28" s="250"/>
      <c r="N28" s="250"/>
      <c r="O28" s="250"/>
      <c r="P28" s="250"/>
      <c r="Q28" s="250"/>
      <c r="R28" s="250"/>
      <c r="S28" s="250"/>
      <c r="T28" s="250"/>
      <c r="U28" s="250"/>
      <c r="V28" s="250"/>
      <c r="W28" s="250"/>
      <c r="X28" s="250"/>
      <c r="Y28" s="250"/>
      <c r="Z28" s="250"/>
      <c r="AA28" s="250"/>
      <c r="AB28" s="250"/>
      <c r="AC28" s="250"/>
    </row>
    <row r="29" spans="1:29" ht="15.75" customHeight="1" x14ac:dyDescent="0.25">
      <c r="A29" s="97" t="s">
        <v>420</v>
      </c>
      <c r="B29" s="249">
        <v>46238</v>
      </c>
      <c r="C29" s="246">
        <v>0.41666666666666669</v>
      </c>
      <c r="D29" s="246">
        <v>0.45833333333333331</v>
      </c>
      <c r="E29" s="250">
        <v>118.8607526877895</v>
      </c>
      <c r="F29" s="250">
        <v>9.3171875000698492</v>
      </c>
      <c r="G29" s="250">
        <v>0</v>
      </c>
      <c r="H29" s="250">
        <v>0</v>
      </c>
      <c r="I29" s="250">
        <v>0</v>
      </c>
      <c r="J29" s="250"/>
      <c r="K29" s="250"/>
      <c r="L29" s="250"/>
      <c r="M29" s="250"/>
      <c r="N29" s="250"/>
      <c r="O29" s="250"/>
      <c r="P29" s="250"/>
      <c r="Q29" s="250"/>
      <c r="R29" s="250"/>
      <c r="S29" s="250"/>
      <c r="T29" s="250"/>
      <c r="U29" s="250"/>
      <c r="V29" s="250"/>
      <c r="W29" s="250"/>
      <c r="X29" s="250"/>
      <c r="Y29" s="250"/>
      <c r="Z29" s="250"/>
      <c r="AA29" s="250"/>
      <c r="AB29" s="250"/>
      <c r="AC29" s="250"/>
    </row>
    <row r="30" spans="1:29" ht="15.75" customHeight="1" x14ac:dyDescent="0.25">
      <c r="A30" s="97" t="s">
        <v>421</v>
      </c>
      <c r="B30" s="249">
        <v>46238</v>
      </c>
      <c r="C30" s="246">
        <v>0.45833333333333331</v>
      </c>
      <c r="D30" s="246">
        <v>0.5</v>
      </c>
      <c r="E30" s="250">
        <v>120.12674731202424</v>
      </c>
      <c r="F30" s="250">
        <v>14.459946646355093</v>
      </c>
      <c r="G30" s="250">
        <v>0</v>
      </c>
      <c r="H30" s="250">
        <v>0</v>
      </c>
      <c r="I30" s="250">
        <v>0</v>
      </c>
      <c r="J30" s="250"/>
      <c r="K30" s="250"/>
      <c r="L30" s="250"/>
      <c r="M30" s="250"/>
      <c r="N30" s="250"/>
      <c r="O30" s="250"/>
      <c r="P30" s="250"/>
      <c r="Q30" s="250"/>
      <c r="R30" s="250"/>
      <c r="S30" s="250"/>
      <c r="T30" s="250"/>
      <c r="U30" s="250"/>
      <c r="V30" s="250"/>
      <c r="W30" s="250"/>
      <c r="X30" s="250"/>
      <c r="Y30" s="250"/>
      <c r="Z30" s="250"/>
      <c r="AA30" s="250"/>
      <c r="AB30" s="250"/>
      <c r="AC30" s="250"/>
    </row>
    <row r="31" spans="1:29" ht="15.75" customHeight="1" x14ac:dyDescent="0.25">
      <c r="A31" s="97" t="s">
        <v>422</v>
      </c>
      <c r="B31" s="249">
        <v>46238</v>
      </c>
      <c r="C31" s="246">
        <v>0.5</v>
      </c>
      <c r="D31" s="246">
        <v>0.54166666666666663</v>
      </c>
      <c r="E31" s="250">
        <v>109.44583333330229</v>
      </c>
      <c r="F31" s="250">
        <v>17.122865853714757</v>
      </c>
      <c r="G31" s="250">
        <v>0</v>
      </c>
      <c r="H31" s="250">
        <v>0</v>
      </c>
      <c r="I31" s="250">
        <v>0</v>
      </c>
      <c r="J31" s="250"/>
      <c r="K31" s="250"/>
      <c r="L31" s="250"/>
      <c r="M31" s="250"/>
      <c r="N31" s="250"/>
      <c r="O31" s="250"/>
      <c r="P31" s="250"/>
      <c r="Q31" s="250"/>
      <c r="R31" s="250"/>
      <c r="S31" s="250"/>
      <c r="T31" s="250"/>
      <c r="U31" s="250"/>
      <c r="V31" s="250"/>
      <c r="W31" s="250"/>
      <c r="X31" s="250"/>
      <c r="Y31" s="250"/>
      <c r="Z31" s="250"/>
      <c r="AA31" s="250"/>
      <c r="AB31" s="250"/>
      <c r="AC31" s="250"/>
    </row>
    <row r="32" spans="1:29" ht="15.75" customHeight="1" x14ac:dyDescent="0.25">
      <c r="A32" s="97" t="s">
        <v>423</v>
      </c>
      <c r="B32" s="249">
        <v>46238</v>
      </c>
      <c r="C32" s="246">
        <v>0.54166666666666663</v>
      </c>
      <c r="D32" s="246">
        <v>0.58333333333333337</v>
      </c>
      <c r="E32" s="250">
        <v>117.61666666669771</v>
      </c>
      <c r="F32" s="250">
        <v>12.542187499930151</v>
      </c>
      <c r="G32" s="250">
        <v>0</v>
      </c>
      <c r="H32" s="250">
        <v>0</v>
      </c>
      <c r="I32" s="250">
        <v>0</v>
      </c>
      <c r="J32" s="250"/>
      <c r="K32" s="250"/>
      <c r="L32" s="250"/>
      <c r="M32" s="250"/>
      <c r="N32" s="250"/>
      <c r="O32" s="250"/>
      <c r="P32" s="250"/>
      <c r="Q32" s="250"/>
      <c r="R32" s="250"/>
      <c r="S32" s="250"/>
      <c r="T32" s="250"/>
      <c r="U32" s="250"/>
      <c r="V32" s="250"/>
      <c r="W32" s="250"/>
      <c r="X32" s="250"/>
      <c r="Y32" s="250"/>
      <c r="Z32" s="250"/>
      <c r="AA32" s="250"/>
      <c r="AB32" s="250"/>
      <c r="AC32" s="250"/>
    </row>
    <row r="33" spans="1:29" ht="15.75" customHeight="1" x14ac:dyDescent="0.25">
      <c r="A33" s="97" t="s">
        <v>424</v>
      </c>
      <c r="B33" s="249">
        <v>46238</v>
      </c>
      <c r="C33" s="246">
        <v>0.58333333333333337</v>
      </c>
      <c r="D33" s="246">
        <v>0.625</v>
      </c>
      <c r="E33" s="250">
        <v>124.41666666651145</v>
      </c>
      <c r="F33" s="250">
        <v>11.167187499930151</v>
      </c>
      <c r="G33" s="250">
        <v>0</v>
      </c>
      <c r="H33" s="250">
        <v>0</v>
      </c>
      <c r="I33" s="250">
        <v>0</v>
      </c>
      <c r="J33" s="250"/>
      <c r="K33" s="250"/>
      <c r="L33" s="250"/>
      <c r="M33" s="250"/>
      <c r="N33" s="250"/>
      <c r="O33" s="250"/>
      <c r="P33" s="250"/>
      <c r="Q33" s="250"/>
      <c r="R33" s="250"/>
      <c r="S33" s="250"/>
      <c r="T33" s="250"/>
      <c r="U33" s="250"/>
      <c r="V33" s="250"/>
      <c r="W33" s="250"/>
      <c r="X33" s="250"/>
      <c r="Y33" s="250"/>
      <c r="Z33" s="250"/>
      <c r="AA33" s="250"/>
      <c r="AB33" s="250"/>
      <c r="AC33" s="250"/>
    </row>
    <row r="34" spans="1:29" ht="15.75" customHeight="1" x14ac:dyDescent="0.25">
      <c r="A34" s="97" t="s">
        <v>425</v>
      </c>
      <c r="B34" s="249">
        <v>46238</v>
      </c>
      <c r="C34" s="246">
        <v>0.625</v>
      </c>
      <c r="D34" s="246">
        <v>0.66666666666666663</v>
      </c>
      <c r="E34" s="250">
        <v>114.30564971780404</v>
      </c>
      <c r="F34" s="250">
        <v>10.917759146424942</v>
      </c>
      <c r="G34" s="250">
        <v>0</v>
      </c>
      <c r="H34" s="250">
        <v>0</v>
      </c>
      <c r="I34" s="250">
        <v>0</v>
      </c>
      <c r="J34" s="250"/>
      <c r="K34" s="250"/>
      <c r="L34" s="250"/>
      <c r="M34" s="250"/>
      <c r="N34" s="250"/>
      <c r="O34" s="250"/>
      <c r="P34" s="250"/>
      <c r="Q34" s="250"/>
      <c r="R34" s="250"/>
      <c r="S34" s="250"/>
      <c r="T34" s="250"/>
      <c r="U34" s="250"/>
      <c r="V34" s="250"/>
      <c r="W34" s="250"/>
      <c r="X34" s="250"/>
      <c r="Y34" s="250"/>
      <c r="Z34" s="250"/>
      <c r="AA34" s="250"/>
      <c r="AB34" s="250"/>
      <c r="AC34" s="250"/>
    </row>
    <row r="35" spans="1:29" ht="15.75" customHeight="1" x14ac:dyDescent="0.25">
      <c r="A35" s="97" t="s">
        <v>426</v>
      </c>
      <c r="B35" s="249">
        <v>46238</v>
      </c>
      <c r="C35" s="246">
        <v>0.66666666666666663</v>
      </c>
      <c r="D35" s="246">
        <v>0.70833333333333337</v>
      </c>
      <c r="E35" s="250">
        <v>115.06101694889367</v>
      </c>
      <c r="F35" s="250">
        <v>11.521303353598341</v>
      </c>
      <c r="G35" s="250">
        <v>0</v>
      </c>
      <c r="H35" s="250">
        <v>0</v>
      </c>
      <c r="I35" s="250">
        <v>0</v>
      </c>
      <c r="J35" s="250"/>
      <c r="K35" s="250"/>
      <c r="L35" s="250"/>
      <c r="M35" s="250"/>
      <c r="N35" s="250"/>
      <c r="O35" s="250"/>
      <c r="P35" s="250"/>
      <c r="Q35" s="250"/>
      <c r="R35" s="250"/>
      <c r="S35" s="250"/>
      <c r="T35" s="250"/>
      <c r="U35" s="250"/>
      <c r="V35" s="250"/>
      <c r="W35" s="250"/>
      <c r="X35" s="250"/>
      <c r="Y35" s="250"/>
      <c r="Z35" s="250"/>
      <c r="AA35" s="250"/>
      <c r="AB35" s="250"/>
      <c r="AC35" s="250"/>
    </row>
    <row r="36" spans="1:29" ht="15.75" customHeight="1" x14ac:dyDescent="0.25">
      <c r="A36" s="97" t="s">
        <v>427</v>
      </c>
      <c r="B36" s="249">
        <v>46238</v>
      </c>
      <c r="C36" s="246">
        <v>0.70833333333333337</v>
      </c>
      <c r="D36" s="246">
        <v>0.75</v>
      </c>
      <c r="E36" s="250">
        <v>96.950000000186265</v>
      </c>
      <c r="F36" s="250">
        <v>13.876562500023283</v>
      </c>
      <c r="G36" s="250">
        <v>0</v>
      </c>
      <c r="H36" s="250">
        <v>0</v>
      </c>
      <c r="I36" s="250">
        <v>0</v>
      </c>
      <c r="J36" s="250"/>
      <c r="K36" s="250"/>
      <c r="L36" s="250"/>
      <c r="M36" s="250"/>
      <c r="N36" s="250"/>
      <c r="O36" s="250"/>
      <c r="P36" s="250"/>
      <c r="Q36" s="250"/>
      <c r="R36" s="250"/>
      <c r="S36" s="250"/>
      <c r="T36" s="250"/>
      <c r="U36" s="250"/>
      <c r="V36" s="250"/>
      <c r="W36" s="250"/>
      <c r="X36" s="250"/>
      <c r="Y36" s="250"/>
      <c r="Z36" s="250"/>
      <c r="AA36" s="250"/>
      <c r="AB36" s="250"/>
      <c r="AC36" s="250"/>
    </row>
    <row r="37" spans="1:29" ht="15.75" customHeight="1" x14ac:dyDescent="0.25">
      <c r="A37" s="97" t="s">
        <v>444</v>
      </c>
      <c r="B37" s="249">
        <v>46239</v>
      </c>
      <c r="C37" s="246">
        <v>0.41666666666666669</v>
      </c>
      <c r="D37" s="246">
        <v>0.45833333333333331</v>
      </c>
      <c r="E37" s="250">
        <v>117.78750000009313</v>
      </c>
      <c r="F37" s="250">
        <v>9.4502976190997288</v>
      </c>
      <c r="G37" s="250">
        <v>0</v>
      </c>
      <c r="H37" s="250">
        <v>0</v>
      </c>
      <c r="I37" s="250">
        <v>0</v>
      </c>
      <c r="J37" s="250"/>
      <c r="K37" s="250"/>
      <c r="L37" s="250"/>
      <c r="M37" s="250"/>
      <c r="N37" s="250"/>
      <c r="O37" s="250"/>
      <c r="P37" s="250"/>
      <c r="Q37" s="250"/>
      <c r="R37" s="250"/>
      <c r="S37" s="250"/>
      <c r="T37" s="250"/>
      <c r="U37" s="250"/>
      <c r="V37" s="250"/>
      <c r="W37" s="250"/>
      <c r="X37" s="250"/>
      <c r="Y37" s="250"/>
      <c r="Z37" s="250"/>
      <c r="AA37" s="250"/>
      <c r="AB37" s="250"/>
      <c r="AC37" s="250"/>
    </row>
    <row r="38" spans="1:29" ht="15.75" customHeight="1" x14ac:dyDescent="0.25">
      <c r="A38" s="97" t="s">
        <v>445</v>
      </c>
      <c r="B38" s="249">
        <v>46239</v>
      </c>
      <c r="C38" s="246">
        <v>0.45833333333333331</v>
      </c>
      <c r="D38" s="246">
        <v>0.5</v>
      </c>
      <c r="E38" s="250">
        <v>113.34166666632518</v>
      </c>
      <c r="F38" s="250">
        <v>8.9845708019565791</v>
      </c>
      <c r="G38" s="250">
        <v>0</v>
      </c>
      <c r="H38" s="250">
        <v>0</v>
      </c>
      <c r="I38" s="250">
        <v>0</v>
      </c>
      <c r="J38" s="250"/>
      <c r="K38" s="250"/>
      <c r="L38" s="250"/>
      <c r="M38" s="250"/>
      <c r="N38" s="250"/>
      <c r="O38" s="250"/>
      <c r="P38" s="250"/>
      <c r="Q38" s="250"/>
      <c r="R38" s="250"/>
      <c r="S38" s="250"/>
      <c r="T38" s="250"/>
      <c r="U38" s="250"/>
      <c r="V38" s="250"/>
      <c r="W38" s="250"/>
      <c r="X38" s="250"/>
      <c r="Y38" s="250"/>
      <c r="Z38" s="250"/>
      <c r="AA38" s="250"/>
      <c r="AB38" s="250"/>
      <c r="AC38" s="250"/>
    </row>
    <row r="39" spans="1:29" ht="15.75" customHeight="1" x14ac:dyDescent="0.25">
      <c r="A39" s="97" t="s">
        <v>446</v>
      </c>
      <c r="B39" s="249">
        <v>46239</v>
      </c>
      <c r="C39" s="246">
        <v>0.5</v>
      </c>
      <c r="D39" s="246">
        <v>0.54166666666666663</v>
      </c>
      <c r="E39" s="250">
        <v>105.12083333358169</v>
      </c>
      <c r="F39" s="250">
        <v>11.499506579013541</v>
      </c>
      <c r="G39" s="250">
        <v>0</v>
      </c>
      <c r="H39" s="250">
        <v>0</v>
      </c>
      <c r="I39" s="250">
        <v>0</v>
      </c>
      <c r="J39" s="250"/>
      <c r="K39" s="250"/>
      <c r="L39" s="250"/>
      <c r="M39" s="250"/>
      <c r="N39" s="250"/>
      <c r="O39" s="250"/>
      <c r="P39" s="250"/>
      <c r="Q39" s="250"/>
      <c r="R39" s="250"/>
      <c r="S39" s="250"/>
      <c r="T39" s="250"/>
      <c r="U39" s="250"/>
      <c r="V39" s="250"/>
      <c r="W39" s="250"/>
      <c r="X39" s="250"/>
      <c r="Y39" s="250"/>
      <c r="Z39" s="250"/>
      <c r="AA39" s="250"/>
      <c r="AB39" s="250"/>
      <c r="AC39" s="250"/>
    </row>
    <row r="40" spans="1:29" ht="15.75" customHeight="1" x14ac:dyDescent="0.25">
      <c r="A40" s="97" t="s">
        <v>447</v>
      </c>
      <c r="B40" s="249">
        <v>46239</v>
      </c>
      <c r="C40" s="246">
        <v>0.54166666666666663</v>
      </c>
      <c r="D40" s="246">
        <v>0.58333333333333337</v>
      </c>
      <c r="E40" s="250">
        <v>110.82520491816103</v>
      </c>
      <c r="F40" s="250">
        <v>11.892301829298958</v>
      </c>
      <c r="G40" s="250">
        <v>0</v>
      </c>
      <c r="H40" s="250">
        <v>0</v>
      </c>
      <c r="I40" s="250">
        <v>0</v>
      </c>
      <c r="J40" s="250"/>
      <c r="K40" s="250"/>
      <c r="L40" s="250"/>
      <c r="M40" s="250"/>
      <c r="N40" s="250"/>
      <c r="O40" s="250"/>
      <c r="P40" s="250"/>
      <c r="Q40" s="250"/>
      <c r="R40" s="250"/>
      <c r="S40" s="250"/>
      <c r="T40" s="250"/>
      <c r="U40" s="250"/>
      <c r="V40" s="250"/>
      <c r="W40" s="250"/>
      <c r="X40" s="250"/>
      <c r="Y40" s="250"/>
      <c r="Z40" s="250"/>
      <c r="AA40" s="250"/>
      <c r="AB40" s="250"/>
      <c r="AC40" s="250"/>
    </row>
    <row r="41" spans="1:29" ht="15.75" customHeight="1" x14ac:dyDescent="0.25">
      <c r="A41" s="97" t="s">
        <v>448</v>
      </c>
      <c r="B41" s="249">
        <v>46239</v>
      </c>
      <c r="C41" s="246">
        <v>0.58333333333333337</v>
      </c>
      <c r="D41" s="246">
        <v>0.625</v>
      </c>
      <c r="E41" s="250">
        <v>118.29562841495499</v>
      </c>
      <c r="F41" s="250">
        <v>12.001448170631193</v>
      </c>
      <c r="G41" s="250">
        <v>0</v>
      </c>
      <c r="H41" s="250">
        <v>0</v>
      </c>
      <c r="I41" s="250">
        <v>0</v>
      </c>
      <c r="J41" s="250"/>
      <c r="K41" s="250"/>
      <c r="L41" s="250"/>
      <c r="M41" s="250"/>
      <c r="N41" s="250"/>
      <c r="O41" s="250"/>
      <c r="P41" s="250"/>
      <c r="Q41" s="250"/>
      <c r="R41" s="250"/>
      <c r="S41" s="250"/>
      <c r="T41" s="250"/>
      <c r="U41" s="250"/>
      <c r="V41" s="250"/>
      <c r="W41" s="250"/>
      <c r="X41" s="250"/>
      <c r="Y41" s="250"/>
      <c r="Z41" s="250"/>
      <c r="AA41" s="250"/>
      <c r="AB41" s="250"/>
      <c r="AC41" s="250"/>
    </row>
    <row r="42" spans="1:29" ht="15.75" customHeight="1" x14ac:dyDescent="0.25">
      <c r="A42" s="97" t="s">
        <v>449</v>
      </c>
      <c r="B42" s="249">
        <v>46239</v>
      </c>
      <c r="C42" s="246">
        <v>0.625</v>
      </c>
      <c r="D42" s="246">
        <v>0.66666666666666663</v>
      </c>
      <c r="E42" s="250">
        <v>112.37768361577764</v>
      </c>
      <c r="F42" s="250">
        <v>11.167759146424942</v>
      </c>
      <c r="G42" s="250">
        <v>0</v>
      </c>
      <c r="H42" s="250">
        <v>0</v>
      </c>
      <c r="I42" s="250">
        <v>0</v>
      </c>
      <c r="J42" s="250"/>
      <c r="K42" s="250"/>
      <c r="L42" s="250"/>
      <c r="M42" s="250"/>
      <c r="N42" s="250"/>
      <c r="O42" s="250"/>
      <c r="P42" s="250"/>
      <c r="Q42" s="250"/>
      <c r="R42" s="250"/>
      <c r="S42" s="250"/>
      <c r="T42" s="250"/>
      <c r="U42" s="250"/>
      <c r="V42" s="250"/>
      <c r="W42" s="250"/>
      <c r="X42" s="250"/>
      <c r="Y42" s="250"/>
      <c r="Z42" s="250"/>
      <c r="AA42" s="250"/>
      <c r="AB42" s="250"/>
      <c r="AC42" s="250"/>
    </row>
    <row r="43" spans="1:29" ht="15.75" customHeight="1" x14ac:dyDescent="0.25">
      <c r="A43" s="97" t="s">
        <v>450</v>
      </c>
      <c r="B43" s="249">
        <v>46239</v>
      </c>
      <c r="C43" s="246">
        <v>0.66666666666666663</v>
      </c>
      <c r="D43" s="246">
        <v>0.70833333333333337</v>
      </c>
      <c r="E43" s="250">
        <v>112.60564971761778</v>
      </c>
      <c r="F43" s="250">
        <v>12.705792682943866</v>
      </c>
      <c r="G43" s="250">
        <v>0</v>
      </c>
      <c r="H43" s="250">
        <v>0</v>
      </c>
      <c r="I43" s="250">
        <v>0</v>
      </c>
      <c r="J43" s="250"/>
      <c r="K43" s="250"/>
      <c r="L43" s="250"/>
      <c r="M43" s="250"/>
      <c r="N43" s="250"/>
      <c r="O43" s="250"/>
      <c r="P43" s="250"/>
      <c r="Q43" s="250"/>
      <c r="R43" s="250"/>
      <c r="S43" s="250"/>
      <c r="T43" s="250"/>
      <c r="U43" s="250"/>
      <c r="V43" s="250"/>
      <c r="W43" s="250"/>
      <c r="X43" s="250"/>
      <c r="Y43" s="250"/>
      <c r="Z43" s="250"/>
      <c r="AA43" s="250"/>
      <c r="AB43" s="250"/>
      <c r="AC43" s="250"/>
    </row>
    <row r="44" spans="1:29" ht="15.75" customHeight="1" x14ac:dyDescent="0.25">
      <c r="A44" s="97" t="s">
        <v>451</v>
      </c>
      <c r="B44" s="249">
        <v>46239</v>
      </c>
      <c r="C44" s="246">
        <v>0.70833333333333337</v>
      </c>
      <c r="D44" s="246">
        <v>0.75</v>
      </c>
      <c r="E44" s="250">
        <v>99.408333333209157</v>
      </c>
      <c r="F44" s="250">
        <v>13.335823170724325</v>
      </c>
      <c r="G44" s="250">
        <v>0</v>
      </c>
      <c r="H44" s="250">
        <v>0</v>
      </c>
      <c r="I44" s="250">
        <v>0</v>
      </c>
      <c r="J44" s="250"/>
      <c r="K44" s="250"/>
      <c r="L44" s="250"/>
      <c r="M44" s="250"/>
      <c r="N44" s="250"/>
      <c r="O44" s="250"/>
      <c r="P44" s="250"/>
      <c r="Q44" s="250"/>
      <c r="R44" s="250"/>
      <c r="S44" s="250"/>
      <c r="T44" s="250"/>
      <c r="U44" s="250"/>
      <c r="V44" s="250"/>
      <c r="W44" s="250"/>
      <c r="X44" s="250"/>
      <c r="Y44" s="250"/>
      <c r="Z44" s="250"/>
      <c r="AA44" s="250"/>
      <c r="AB44" s="250"/>
      <c r="AC44" s="250"/>
    </row>
    <row r="45" spans="1:29" ht="15.75" customHeight="1" x14ac:dyDescent="0.25">
      <c r="A45" s="97" t="s">
        <v>468</v>
      </c>
      <c r="B45" s="249">
        <v>46240</v>
      </c>
      <c r="C45" s="246">
        <v>0.41666666666666669</v>
      </c>
      <c r="D45" s="246">
        <v>0.45833333333333331</v>
      </c>
      <c r="E45" s="250">
        <v>121.08333333302289</v>
      </c>
      <c r="F45" s="250">
        <v>8.2906250000232831</v>
      </c>
      <c r="G45" s="250">
        <v>0</v>
      </c>
      <c r="H45" s="250">
        <v>0</v>
      </c>
      <c r="I45" s="250">
        <v>0</v>
      </c>
      <c r="J45" s="250"/>
      <c r="K45" s="250"/>
      <c r="L45" s="250"/>
      <c r="M45" s="250"/>
      <c r="N45" s="250"/>
      <c r="O45" s="250"/>
      <c r="P45" s="250"/>
      <c r="Q45" s="250"/>
      <c r="R45" s="250"/>
      <c r="S45" s="250"/>
      <c r="T45" s="250"/>
      <c r="U45" s="250"/>
      <c r="V45" s="250"/>
      <c r="W45" s="250"/>
      <c r="X45" s="250"/>
      <c r="Y45" s="250"/>
      <c r="Z45" s="250"/>
      <c r="AA45" s="250"/>
      <c r="AB45" s="250"/>
      <c r="AC45" s="250"/>
    </row>
    <row r="46" spans="1:29" ht="15.75" customHeight="1" x14ac:dyDescent="0.25">
      <c r="A46" s="97" t="s">
        <v>469</v>
      </c>
      <c r="B46" s="249">
        <v>46240</v>
      </c>
      <c r="C46" s="246">
        <v>0.45833333333333331</v>
      </c>
      <c r="D46" s="246">
        <v>0.5</v>
      </c>
      <c r="E46" s="250">
        <v>114.00983606558293</v>
      </c>
      <c r="F46" s="250">
        <v>9.9281249999767169</v>
      </c>
      <c r="G46" s="250">
        <v>0</v>
      </c>
      <c r="H46" s="250">
        <v>0</v>
      </c>
      <c r="I46" s="250">
        <v>0</v>
      </c>
      <c r="J46" s="250"/>
      <c r="K46" s="250"/>
      <c r="L46" s="250"/>
      <c r="M46" s="250"/>
      <c r="N46" s="250"/>
      <c r="O46" s="250"/>
      <c r="P46" s="250"/>
      <c r="Q46" s="250"/>
      <c r="R46" s="250"/>
      <c r="S46" s="250"/>
      <c r="T46" s="250"/>
      <c r="U46" s="250"/>
      <c r="V46" s="250"/>
      <c r="W46" s="250"/>
      <c r="X46" s="250"/>
      <c r="Y46" s="250"/>
      <c r="Z46" s="250"/>
      <c r="AA46" s="250"/>
      <c r="AB46" s="250"/>
      <c r="AC46" s="250"/>
    </row>
    <row r="47" spans="1:29" ht="15.75" customHeight="1" x14ac:dyDescent="0.25">
      <c r="A47" s="97" t="s">
        <v>470</v>
      </c>
      <c r="B47" s="249">
        <v>46240</v>
      </c>
      <c r="C47" s="246">
        <v>0.5</v>
      </c>
      <c r="D47" s="246">
        <v>0.54166666666666663</v>
      </c>
      <c r="E47" s="250">
        <v>105.77564780553803</v>
      </c>
      <c r="F47" s="250">
        <v>10.153124999953434</v>
      </c>
      <c r="G47" s="250">
        <v>0</v>
      </c>
      <c r="H47" s="250">
        <v>0</v>
      </c>
      <c r="I47" s="250">
        <v>0</v>
      </c>
      <c r="J47" s="250"/>
      <c r="K47" s="250"/>
      <c r="L47" s="250"/>
      <c r="M47" s="250"/>
      <c r="N47" s="250"/>
      <c r="O47" s="250"/>
      <c r="P47" s="250"/>
      <c r="Q47" s="250"/>
      <c r="R47" s="250"/>
      <c r="S47" s="250"/>
      <c r="T47" s="250"/>
      <c r="U47" s="250"/>
      <c r="V47" s="250"/>
      <c r="W47" s="250"/>
      <c r="X47" s="250"/>
      <c r="Y47" s="250"/>
      <c r="Z47" s="250"/>
      <c r="AA47" s="250"/>
      <c r="AB47" s="250"/>
      <c r="AC47" s="250"/>
    </row>
    <row r="48" spans="1:29" ht="15.75" customHeight="1" x14ac:dyDescent="0.25">
      <c r="A48" s="97" t="s">
        <v>471</v>
      </c>
      <c r="B48" s="249">
        <v>46240</v>
      </c>
      <c r="C48" s="246">
        <v>0.54166666666666663</v>
      </c>
      <c r="D48" s="246">
        <v>0.58333333333333337</v>
      </c>
      <c r="E48" s="250">
        <v>107.44368279585615</v>
      </c>
      <c r="F48" s="250">
        <v>10.795312499976717</v>
      </c>
      <c r="G48" s="250">
        <v>0</v>
      </c>
      <c r="H48" s="250">
        <v>0</v>
      </c>
      <c r="I48" s="250">
        <v>0</v>
      </c>
      <c r="J48" s="250"/>
      <c r="K48" s="250"/>
      <c r="L48" s="250"/>
      <c r="M48" s="250"/>
      <c r="N48" s="250"/>
      <c r="O48" s="250"/>
      <c r="P48" s="250"/>
      <c r="Q48" s="250"/>
      <c r="R48" s="250"/>
      <c r="S48" s="250"/>
      <c r="T48" s="250"/>
      <c r="U48" s="250"/>
      <c r="V48" s="250"/>
      <c r="W48" s="250"/>
      <c r="X48" s="250"/>
      <c r="Y48" s="250"/>
      <c r="Z48" s="250"/>
      <c r="AA48" s="250"/>
      <c r="AB48" s="250"/>
      <c r="AC48" s="250"/>
    </row>
    <row r="49" spans="1:29" ht="15.75" customHeight="1" x14ac:dyDescent="0.25">
      <c r="A49" s="97" t="s">
        <v>472</v>
      </c>
      <c r="B49" s="249">
        <v>46240</v>
      </c>
      <c r="C49" s="246">
        <v>0.58333333333333337</v>
      </c>
      <c r="D49" s="246">
        <v>0.625</v>
      </c>
      <c r="E49" s="250">
        <v>111.6374999997206</v>
      </c>
      <c r="F49" s="250">
        <v>12.485937500023283</v>
      </c>
      <c r="G49" s="250">
        <v>0</v>
      </c>
      <c r="H49" s="250">
        <v>0</v>
      </c>
      <c r="I49" s="250">
        <v>0</v>
      </c>
      <c r="J49" s="250"/>
      <c r="K49" s="250"/>
      <c r="L49" s="250"/>
      <c r="M49" s="250"/>
      <c r="N49" s="250"/>
      <c r="O49" s="250"/>
      <c r="P49" s="250"/>
      <c r="Q49" s="250"/>
      <c r="R49" s="250"/>
      <c r="S49" s="250"/>
      <c r="T49" s="250"/>
      <c r="U49" s="250"/>
      <c r="V49" s="250"/>
      <c r="W49" s="250"/>
      <c r="X49" s="250"/>
      <c r="Y49" s="250"/>
      <c r="Z49" s="250"/>
      <c r="AA49" s="250"/>
      <c r="AB49" s="250"/>
      <c r="AC49" s="250"/>
    </row>
    <row r="50" spans="1:29" ht="15.75" customHeight="1" x14ac:dyDescent="0.25">
      <c r="A50" s="97" t="s">
        <v>473</v>
      </c>
      <c r="B50" s="249">
        <v>46240</v>
      </c>
      <c r="C50" s="246">
        <v>0.625</v>
      </c>
      <c r="D50" s="246">
        <v>0.66666666666666663</v>
      </c>
      <c r="E50" s="250">
        <v>109.60000000009313</v>
      </c>
      <c r="F50" s="250">
        <v>14.069471153896302</v>
      </c>
      <c r="G50" s="250">
        <v>0</v>
      </c>
      <c r="H50" s="250">
        <v>0</v>
      </c>
      <c r="I50" s="250">
        <v>0</v>
      </c>
      <c r="J50" s="250"/>
      <c r="K50" s="250"/>
      <c r="L50" s="250"/>
      <c r="M50" s="250"/>
      <c r="N50" s="250"/>
      <c r="O50" s="250"/>
      <c r="P50" s="250"/>
      <c r="Q50" s="250"/>
      <c r="R50" s="250"/>
      <c r="S50" s="250"/>
      <c r="T50" s="250"/>
      <c r="U50" s="250"/>
      <c r="V50" s="250"/>
      <c r="W50" s="250"/>
      <c r="X50" s="250"/>
      <c r="Y50" s="250"/>
      <c r="Z50" s="250"/>
      <c r="AA50" s="250"/>
      <c r="AB50" s="250"/>
      <c r="AC50" s="250"/>
    </row>
    <row r="51" spans="1:29" ht="15.75" customHeight="1" x14ac:dyDescent="0.25">
      <c r="A51" s="97" t="s">
        <v>474</v>
      </c>
      <c r="B51" s="249">
        <v>46240</v>
      </c>
      <c r="C51" s="246">
        <v>0.66666666666666663</v>
      </c>
      <c r="D51" s="246">
        <v>0.70833333333333337</v>
      </c>
      <c r="E51" s="250">
        <v>111.35833333339542</v>
      </c>
      <c r="F51" s="250">
        <v>14.094629455939867</v>
      </c>
      <c r="G51" s="250">
        <v>0</v>
      </c>
      <c r="H51" s="250">
        <v>0</v>
      </c>
      <c r="I51" s="250">
        <v>0</v>
      </c>
      <c r="J51" s="250"/>
      <c r="K51" s="250"/>
      <c r="L51" s="250"/>
      <c r="M51" s="250"/>
      <c r="N51" s="250"/>
      <c r="O51" s="250"/>
      <c r="P51" s="250"/>
      <c r="Q51" s="250"/>
      <c r="R51" s="250"/>
      <c r="S51" s="250"/>
      <c r="T51" s="250"/>
      <c r="U51" s="250"/>
      <c r="V51" s="250"/>
      <c r="W51" s="250"/>
      <c r="X51" s="250"/>
      <c r="Y51" s="250"/>
      <c r="Z51" s="250"/>
      <c r="AA51" s="250"/>
      <c r="AB51" s="250"/>
      <c r="AC51" s="250"/>
    </row>
    <row r="52" spans="1:29" ht="15.75" customHeight="1" x14ac:dyDescent="0.25">
      <c r="A52" s="97" t="s">
        <v>475</v>
      </c>
      <c r="B52" s="249">
        <v>46240</v>
      </c>
      <c r="C52" s="246">
        <v>0.70833333333333337</v>
      </c>
      <c r="D52" s="246">
        <v>0.75</v>
      </c>
      <c r="E52" s="250">
        <v>99.625</v>
      </c>
      <c r="F52" s="250">
        <v>12.267149390187114</v>
      </c>
      <c r="G52" s="250">
        <v>0</v>
      </c>
      <c r="H52" s="250">
        <v>0</v>
      </c>
      <c r="I52" s="250">
        <v>0</v>
      </c>
      <c r="J52" s="250"/>
      <c r="K52" s="250"/>
      <c r="L52" s="250"/>
      <c r="M52" s="250"/>
      <c r="N52" s="250"/>
      <c r="O52" s="250"/>
      <c r="P52" s="250"/>
      <c r="Q52" s="250"/>
      <c r="R52" s="250"/>
      <c r="S52" s="250"/>
      <c r="T52" s="250"/>
      <c r="U52" s="250"/>
      <c r="V52" s="250"/>
      <c r="W52" s="250"/>
      <c r="X52" s="250"/>
      <c r="Y52" s="250"/>
      <c r="Z52" s="250"/>
      <c r="AA52" s="250"/>
      <c r="AB52" s="250"/>
      <c r="AC52" s="250"/>
    </row>
    <row r="53" spans="1:29" ht="15.75" customHeight="1" x14ac:dyDescent="0.25">
      <c r="A53" s="97" t="s">
        <v>492</v>
      </c>
      <c r="B53" s="249">
        <v>46241</v>
      </c>
      <c r="C53" s="246">
        <v>0.41666666666666669</v>
      </c>
      <c r="D53" s="246">
        <v>0.45833333333333331</v>
      </c>
      <c r="E53" s="250">
        <v>123.36666666669771</v>
      </c>
      <c r="F53" s="250">
        <v>8.1417682926403359</v>
      </c>
      <c r="G53" s="250">
        <v>0</v>
      </c>
      <c r="H53" s="250">
        <v>0</v>
      </c>
      <c r="I53" s="250">
        <v>0</v>
      </c>
      <c r="J53" s="250"/>
      <c r="K53" s="250"/>
      <c r="L53" s="250"/>
      <c r="M53" s="250"/>
      <c r="N53" s="250"/>
      <c r="O53" s="250"/>
      <c r="P53" s="250"/>
      <c r="Q53" s="250"/>
      <c r="R53" s="250"/>
      <c r="S53" s="250"/>
      <c r="T53" s="250"/>
      <c r="U53" s="250"/>
      <c r="V53" s="250"/>
      <c r="W53" s="250"/>
      <c r="X53" s="250"/>
      <c r="Y53" s="250"/>
      <c r="Z53" s="250"/>
      <c r="AA53" s="250"/>
      <c r="AB53" s="250"/>
      <c r="AC53" s="250"/>
    </row>
    <row r="54" spans="1:29" ht="15.75" customHeight="1" x14ac:dyDescent="0.25">
      <c r="A54" s="97" t="s">
        <v>493</v>
      </c>
      <c r="B54" s="249">
        <v>46241</v>
      </c>
      <c r="C54" s="246">
        <v>0.45833333333333331</v>
      </c>
      <c r="D54" s="246">
        <v>0.5</v>
      </c>
      <c r="E54" s="250">
        <v>122.28333333367482</v>
      </c>
      <c r="F54" s="250">
        <v>8.3636051829671487</v>
      </c>
      <c r="G54" s="250">
        <v>0</v>
      </c>
      <c r="H54" s="250">
        <v>0</v>
      </c>
      <c r="I54" s="250">
        <v>0</v>
      </c>
      <c r="J54" s="250"/>
      <c r="K54" s="250"/>
      <c r="L54" s="250"/>
      <c r="M54" s="250"/>
      <c r="N54" s="250"/>
      <c r="O54" s="250"/>
      <c r="P54" s="250"/>
      <c r="Q54" s="250"/>
      <c r="R54" s="250"/>
      <c r="S54" s="250"/>
      <c r="T54" s="250"/>
      <c r="U54" s="250"/>
      <c r="V54" s="250"/>
      <c r="W54" s="250"/>
      <c r="X54" s="250"/>
      <c r="Y54" s="250"/>
      <c r="Z54" s="250"/>
      <c r="AA54" s="250"/>
      <c r="AB54" s="250"/>
      <c r="AC54" s="250"/>
    </row>
    <row r="55" spans="1:29" ht="15.75" customHeight="1" x14ac:dyDescent="0.25">
      <c r="A55" s="97" t="s">
        <v>494</v>
      </c>
      <c r="B55" s="249">
        <v>46241</v>
      </c>
      <c r="C55" s="246">
        <v>0.5</v>
      </c>
      <c r="D55" s="246">
        <v>0.54166666666666663</v>
      </c>
      <c r="E55" s="250">
        <v>108.97083333320916</v>
      </c>
      <c r="F55" s="250">
        <v>12.290625000023283</v>
      </c>
      <c r="G55" s="250">
        <v>0</v>
      </c>
      <c r="H55" s="250">
        <v>0</v>
      </c>
      <c r="I55" s="250">
        <v>0</v>
      </c>
      <c r="J55" s="250"/>
      <c r="K55" s="250"/>
      <c r="L55" s="250"/>
      <c r="M55" s="250"/>
      <c r="N55" s="250"/>
      <c r="O55" s="250"/>
      <c r="P55" s="250"/>
      <c r="Q55" s="250"/>
      <c r="R55" s="250"/>
      <c r="S55" s="250"/>
      <c r="T55" s="250"/>
      <c r="U55" s="250"/>
      <c r="V55" s="250"/>
      <c r="W55" s="250"/>
      <c r="X55" s="250"/>
      <c r="Y55" s="250"/>
      <c r="Z55" s="250"/>
      <c r="AA55" s="250"/>
      <c r="AB55" s="250"/>
      <c r="AC55" s="250"/>
    </row>
    <row r="56" spans="1:29" ht="15.75" customHeight="1" x14ac:dyDescent="0.25">
      <c r="A56" s="97" t="s">
        <v>495</v>
      </c>
      <c r="B56" s="249">
        <v>46241</v>
      </c>
      <c r="C56" s="246">
        <v>0.54166666666666663</v>
      </c>
      <c r="D56" s="246">
        <v>0.58333333333333337</v>
      </c>
      <c r="E56" s="250">
        <v>104.7624999997206</v>
      </c>
      <c r="F56" s="250">
        <v>10.217187499976717</v>
      </c>
      <c r="G56" s="250">
        <v>0</v>
      </c>
      <c r="H56" s="250">
        <v>0</v>
      </c>
      <c r="I56" s="250">
        <v>0</v>
      </c>
      <c r="J56" s="250"/>
      <c r="K56" s="250"/>
      <c r="L56" s="250"/>
      <c r="M56" s="250"/>
      <c r="N56" s="250"/>
      <c r="O56" s="250"/>
      <c r="P56" s="250"/>
      <c r="Q56" s="250"/>
      <c r="R56" s="250"/>
      <c r="S56" s="250"/>
      <c r="T56" s="250"/>
      <c r="U56" s="250"/>
      <c r="V56" s="250"/>
      <c r="W56" s="250"/>
      <c r="X56" s="250"/>
      <c r="Y56" s="250"/>
      <c r="Z56" s="250"/>
      <c r="AA56" s="250"/>
      <c r="AB56" s="250"/>
      <c r="AC56" s="250"/>
    </row>
    <row r="57" spans="1:29" ht="15.75" customHeight="1" x14ac:dyDescent="0.25">
      <c r="A57" s="97" t="s">
        <v>496</v>
      </c>
      <c r="B57" s="249">
        <v>46241</v>
      </c>
      <c r="C57" s="246">
        <v>0.58333333333333337</v>
      </c>
      <c r="D57" s="246">
        <v>0.625</v>
      </c>
      <c r="E57" s="250">
        <v>102.375</v>
      </c>
      <c r="F57" s="250">
        <v>10.328125</v>
      </c>
      <c r="G57" s="250">
        <v>0</v>
      </c>
      <c r="H57" s="250">
        <v>0</v>
      </c>
      <c r="I57" s="250">
        <v>0</v>
      </c>
      <c r="J57" s="250"/>
      <c r="K57" s="250"/>
      <c r="L57" s="250"/>
      <c r="M57" s="250"/>
      <c r="N57" s="250"/>
      <c r="O57" s="250"/>
      <c r="P57" s="250"/>
      <c r="Q57" s="250"/>
      <c r="R57" s="250"/>
      <c r="S57" s="250"/>
      <c r="T57" s="250"/>
      <c r="U57" s="250"/>
      <c r="V57" s="250"/>
      <c r="W57" s="250"/>
      <c r="X57" s="250"/>
      <c r="Y57" s="250"/>
      <c r="Z57" s="250"/>
      <c r="AA57" s="250"/>
      <c r="AB57" s="250"/>
      <c r="AC57" s="250"/>
    </row>
    <row r="58" spans="1:29" ht="15.75" customHeight="1" x14ac:dyDescent="0.25">
      <c r="A58" s="97" t="s">
        <v>497</v>
      </c>
      <c r="B58" s="249">
        <v>46241</v>
      </c>
      <c r="C58" s="246">
        <v>0.625</v>
      </c>
      <c r="D58" s="246">
        <v>0.66666666666666663</v>
      </c>
      <c r="E58" s="250">
        <v>102.1750000002794</v>
      </c>
      <c r="F58" s="250">
        <v>13.337042682920583</v>
      </c>
      <c r="G58" s="250">
        <v>0</v>
      </c>
      <c r="H58" s="250">
        <v>0</v>
      </c>
      <c r="I58" s="250">
        <v>0</v>
      </c>
      <c r="J58" s="250"/>
      <c r="K58" s="250"/>
      <c r="L58" s="250"/>
      <c r="M58" s="250"/>
      <c r="N58" s="250"/>
      <c r="O58" s="250"/>
      <c r="P58" s="250"/>
      <c r="Q58" s="250"/>
      <c r="R58" s="250"/>
      <c r="S58" s="250"/>
      <c r="T58" s="250"/>
      <c r="U58" s="250"/>
      <c r="V58" s="250"/>
      <c r="W58" s="250"/>
      <c r="X58" s="250"/>
      <c r="Y58" s="250"/>
      <c r="Z58" s="250"/>
      <c r="AA58" s="250"/>
      <c r="AB58" s="250"/>
      <c r="AC58" s="250"/>
    </row>
    <row r="59" spans="1:29" ht="15.75" customHeight="1" x14ac:dyDescent="0.25">
      <c r="A59" s="97" t="s">
        <v>498</v>
      </c>
      <c r="B59" s="249">
        <v>46241</v>
      </c>
      <c r="C59" s="246">
        <v>0.66666666666666663</v>
      </c>
      <c r="D59" s="246">
        <v>0.70833333333333337</v>
      </c>
      <c r="E59" s="250">
        <v>103.35416666651145</v>
      </c>
      <c r="F59" s="250">
        <v>13.197332317009568</v>
      </c>
      <c r="G59" s="250">
        <v>0</v>
      </c>
      <c r="H59" s="250">
        <v>0</v>
      </c>
      <c r="I59" s="250">
        <v>0</v>
      </c>
      <c r="J59" s="250"/>
      <c r="K59" s="250"/>
      <c r="L59" s="250"/>
      <c r="M59" s="250"/>
      <c r="N59" s="250"/>
      <c r="O59" s="250"/>
      <c r="P59" s="250"/>
      <c r="Q59" s="250"/>
      <c r="R59" s="250"/>
      <c r="S59" s="250"/>
      <c r="T59" s="250"/>
      <c r="U59" s="250"/>
      <c r="V59" s="250"/>
      <c r="W59" s="250"/>
      <c r="X59" s="250"/>
      <c r="Y59" s="250"/>
      <c r="Z59" s="250"/>
      <c r="AA59" s="250"/>
      <c r="AB59" s="250"/>
      <c r="AC59" s="250"/>
    </row>
    <row r="60" spans="1:29" ht="15.75" customHeight="1" x14ac:dyDescent="0.25">
      <c r="A60" s="97" t="s">
        <v>499</v>
      </c>
      <c r="B60" s="249">
        <v>46241</v>
      </c>
      <c r="C60" s="246">
        <v>0.70833333333333337</v>
      </c>
      <c r="D60" s="246">
        <v>0.75</v>
      </c>
      <c r="E60" s="250">
        <v>93.837499999906868</v>
      </c>
      <c r="F60" s="250">
        <v>14.934375000069849</v>
      </c>
      <c r="G60" s="250">
        <v>0</v>
      </c>
      <c r="H60" s="250">
        <v>0</v>
      </c>
      <c r="I60" s="250">
        <v>0</v>
      </c>
      <c r="J60" s="250"/>
      <c r="K60" s="250"/>
      <c r="L60" s="250"/>
      <c r="M60" s="250"/>
      <c r="N60" s="250"/>
      <c r="O60" s="250"/>
      <c r="P60" s="250"/>
      <c r="Q60" s="250"/>
      <c r="R60" s="250"/>
      <c r="S60" s="250"/>
      <c r="T60" s="250"/>
      <c r="U60" s="250"/>
      <c r="V60" s="250"/>
      <c r="W60" s="250"/>
      <c r="X60" s="250"/>
      <c r="Y60" s="250"/>
      <c r="Z60" s="250"/>
      <c r="AA60" s="250"/>
      <c r="AB60" s="250"/>
      <c r="AC60" s="250"/>
    </row>
    <row r="61" spans="1:29" ht="15.75" customHeight="1" x14ac:dyDescent="0.25">
      <c r="A61" s="97" t="s">
        <v>516</v>
      </c>
      <c r="B61" s="249">
        <v>46242</v>
      </c>
      <c r="C61" s="246">
        <v>0.41666666666666669</v>
      </c>
      <c r="D61" s="246">
        <v>0.45833333333333331</v>
      </c>
      <c r="E61" s="250">
        <v>63.083674863446504</v>
      </c>
      <c r="F61" s="250">
        <v>8.7060855262679979</v>
      </c>
      <c r="G61" s="250">
        <v>0</v>
      </c>
      <c r="H61" s="250">
        <v>0</v>
      </c>
      <c r="I61" s="250">
        <v>0</v>
      </c>
      <c r="J61" s="250"/>
      <c r="K61" s="250"/>
      <c r="L61" s="250"/>
      <c r="M61" s="250"/>
      <c r="N61" s="250"/>
      <c r="O61" s="250"/>
      <c r="P61" s="250"/>
      <c r="Q61" s="250"/>
      <c r="R61" s="250"/>
      <c r="S61" s="250"/>
      <c r="T61" s="250"/>
      <c r="U61" s="250"/>
      <c r="V61" s="250"/>
      <c r="W61" s="250"/>
      <c r="X61" s="250"/>
      <c r="Y61" s="250"/>
      <c r="Z61" s="250"/>
      <c r="AA61" s="250"/>
      <c r="AB61" s="250"/>
      <c r="AC61" s="250"/>
    </row>
    <row r="62" spans="1:29" ht="15.75" customHeight="1" x14ac:dyDescent="0.25">
      <c r="A62" s="97" t="s">
        <v>517</v>
      </c>
      <c r="B62" s="249">
        <v>46242</v>
      </c>
      <c r="C62" s="246">
        <v>0.45833333333333331</v>
      </c>
      <c r="D62" s="246">
        <v>0.5</v>
      </c>
      <c r="E62" s="250">
        <v>65.633538251277059</v>
      </c>
      <c r="F62" s="250">
        <v>9.3282894736621529</v>
      </c>
      <c r="G62" s="250">
        <v>0</v>
      </c>
      <c r="H62" s="250">
        <v>0</v>
      </c>
      <c r="I62" s="250">
        <v>0</v>
      </c>
      <c r="J62" s="250"/>
      <c r="K62" s="250"/>
      <c r="L62" s="250"/>
      <c r="M62" s="250"/>
      <c r="N62" s="250"/>
      <c r="O62" s="250"/>
      <c r="P62" s="250"/>
      <c r="Q62" s="250"/>
      <c r="R62" s="250"/>
      <c r="S62" s="250"/>
      <c r="T62" s="250"/>
      <c r="U62" s="250"/>
      <c r="V62" s="250"/>
      <c r="W62" s="250"/>
      <c r="X62" s="250"/>
      <c r="Y62" s="250"/>
      <c r="Z62" s="250"/>
      <c r="AA62" s="250"/>
      <c r="AB62" s="250"/>
      <c r="AC62" s="250"/>
    </row>
    <row r="63" spans="1:29" ht="15.75" customHeight="1" x14ac:dyDescent="0.25">
      <c r="A63" s="97" t="s">
        <v>518</v>
      </c>
      <c r="B63" s="249">
        <v>46242</v>
      </c>
      <c r="C63" s="246">
        <v>0.5</v>
      </c>
      <c r="D63" s="246">
        <v>0.54166666666666663</v>
      </c>
      <c r="E63" s="250">
        <v>61.143442623317242</v>
      </c>
      <c r="F63" s="250">
        <v>11.065625000046566</v>
      </c>
      <c r="G63" s="250">
        <v>0</v>
      </c>
      <c r="H63" s="250">
        <v>0</v>
      </c>
      <c r="I63" s="250">
        <v>0</v>
      </c>
      <c r="J63" s="250"/>
      <c r="K63" s="250"/>
      <c r="L63" s="250"/>
      <c r="M63" s="250"/>
      <c r="N63" s="250"/>
      <c r="O63" s="250"/>
      <c r="P63" s="250"/>
      <c r="Q63" s="250"/>
      <c r="R63" s="250"/>
      <c r="S63" s="250"/>
      <c r="T63" s="250"/>
      <c r="U63" s="250"/>
      <c r="V63" s="250"/>
      <c r="W63" s="250"/>
      <c r="X63" s="250"/>
      <c r="Y63" s="250"/>
      <c r="Z63" s="250"/>
      <c r="AA63" s="250"/>
      <c r="AB63" s="250"/>
      <c r="AC63" s="250"/>
    </row>
    <row r="64" spans="1:29" ht="15.75" customHeight="1" x14ac:dyDescent="0.25">
      <c r="A64" s="97" t="s">
        <v>519</v>
      </c>
      <c r="B64" s="249">
        <v>46242</v>
      </c>
      <c r="C64" s="246">
        <v>0.54166666666666663</v>
      </c>
      <c r="D64" s="246">
        <v>0.58333333333333337</v>
      </c>
      <c r="E64" s="250">
        <v>55.181352458894253</v>
      </c>
      <c r="F64" s="250">
        <v>11.215624999953434</v>
      </c>
      <c r="G64" s="250">
        <v>0</v>
      </c>
      <c r="H64" s="250">
        <v>0</v>
      </c>
      <c r="I64" s="250">
        <v>0</v>
      </c>
      <c r="J64" s="250"/>
      <c r="K64" s="250"/>
      <c r="L64" s="250"/>
      <c r="M64" s="250"/>
      <c r="N64" s="250"/>
      <c r="O64" s="250"/>
      <c r="P64" s="250"/>
      <c r="Q64" s="250"/>
      <c r="R64" s="250"/>
      <c r="S64" s="250"/>
      <c r="T64" s="250"/>
      <c r="U64" s="250"/>
      <c r="V64" s="250"/>
      <c r="W64" s="250"/>
      <c r="X64" s="250"/>
      <c r="Y64" s="250"/>
      <c r="Z64" s="250"/>
      <c r="AA64" s="250"/>
      <c r="AB64" s="250"/>
      <c r="AC64" s="250"/>
    </row>
    <row r="65" spans="1:29" ht="15.75" customHeight="1" x14ac:dyDescent="0.25">
      <c r="A65" s="97" t="s">
        <v>520</v>
      </c>
      <c r="B65" s="249">
        <v>46242</v>
      </c>
      <c r="C65" s="246">
        <v>0.58333333333333337</v>
      </c>
      <c r="D65" s="246">
        <v>0.625</v>
      </c>
      <c r="E65" s="250">
        <v>57.270833333488554</v>
      </c>
      <c r="F65" s="250">
        <v>7.3703125000465661</v>
      </c>
      <c r="G65" s="250">
        <v>0</v>
      </c>
      <c r="H65" s="250">
        <v>0</v>
      </c>
      <c r="I65" s="250">
        <v>1.76953125</v>
      </c>
      <c r="J65" s="250"/>
      <c r="K65" s="250"/>
      <c r="L65" s="250"/>
      <c r="M65" s="250"/>
      <c r="N65" s="250"/>
      <c r="O65" s="250"/>
      <c r="P65" s="250"/>
      <c r="Q65" s="250"/>
      <c r="R65" s="250"/>
      <c r="S65" s="250"/>
      <c r="T65" s="250"/>
      <c r="U65" s="250"/>
      <c r="V65" s="250"/>
      <c r="W65" s="250"/>
      <c r="X65" s="250"/>
      <c r="Y65" s="250"/>
      <c r="Z65" s="250"/>
      <c r="AA65" s="250"/>
      <c r="AB65" s="250"/>
      <c r="AC65" s="250"/>
    </row>
    <row r="66" spans="1:29" ht="15.75" customHeight="1" x14ac:dyDescent="0.25">
      <c r="A66" s="97" t="s">
        <v>521</v>
      </c>
      <c r="B66" s="249">
        <v>46242</v>
      </c>
      <c r="C66" s="246">
        <v>0.625</v>
      </c>
      <c r="D66" s="246">
        <v>0.66666666666666663</v>
      </c>
      <c r="E66" s="250">
        <v>52.581920903641731</v>
      </c>
      <c r="F66" s="250">
        <v>6.4609375</v>
      </c>
      <c r="G66" s="250">
        <v>0</v>
      </c>
      <c r="H66" s="250">
        <v>0</v>
      </c>
      <c r="I66" s="250">
        <v>0</v>
      </c>
      <c r="J66" s="250"/>
      <c r="K66" s="250"/>
      <c r="L66" s="250"/>
      <c r="M66" s="250"/>
      <c r="N66" s="250"/>
      <c r="O66" s="250"/>
      <c r="P66" s="250"/>
      <c r="Q66" s="250"/>
      <c r="R66" s="250"/>
      <c r="S66" s="250"/>
      <c r="T66" s="250"/>
      <c r="U66" s="250"/>
      <c r="V66" s="250"/>
      <c r="W66" s="250"/>
      <c r="X66" s="250"/>
      <c r="Y66" s="250"/>
      <c r="Z66" s="250"/>
      <c r="AA66" s="250"/>
      <c r="AB66" s="250"/>
      <c r="AC66" s="250"/>
    </row>
    <row r="67" spans="1:29" ht="15.75" customHeight="1" x14ac:dyDescent="0.25">
      <c r="A67" s="97" t="s">
        <v>522</v>
      </c>
      <c r="B67" s="249">
        <v>46242</v>
      </c>
      <c r="C67" s="246">
        <v>0.66666666666666663</v>
      </c>
      <c r="D67" s="246">
        <v>0.70833333333333337</v>
      </c>
      <c r="E67" s="250">
        <v>46.209745762869716</v>
      </c>
      <c r="F67" s="250">
        <v>13.493902439018711</v>
      </c>
      <c r="G67" s="250">
        <v>0</v>
      </c>
      <c r="H67" s="250">
        <v>0</v>
      </c>
      <c r="I67" s="250">
        <v>0</v>
      </c>
      <c r="J67" s="250"/>
      <c r="K67" s="250"/>
      <c r="L67" s="250"/>
      <c r="M67" s="250"/>
      <c r="N67" s="250"/>
      <c r="O67" s="250"/>
      <c r="P67" s="250"/>
      <c r="Q67" s="250"/>
      <c r="R67" s="250"/>
      <c r="S67" s="250"/>
      <c r="T67" s="250"/>
      <c r="U67" s="250"/>
      <c r="V67" s="250"/>
      <c r="W67" s="250"/>
      <c r="X67" s="250"/>
      <c r="Y67" s="250"/>
      <c r="Z67" s="250"/>
      <c r="AA67" s="250"/>
      <c r="AB67" s="250"/>
      <c r="AC67" s="250"/>
    </row>
    <row r="68" spans="1:29" ht="15.75" customHeight="1" x14ac:dyDescent="0.25">
      <c r="A68" s="97" t="s">
        <v>523</v>
      </c>
      <c r="B68" s="249">
        <v>46242</v>
      </c>
      <c r="C68" s="246">
        <v>0.70833333333333337</v>
      </c>
      <c r="D68" s="246">
        <v>0.75</v>
      </c>
      <c r="E68" s="250">
        <v>15.501864058896899</v>
      </c>
      <c r="F68" s="250">
        <v>11.435785060981289</v>
      </c>
      <c r="G68" s="250">
        <v>30.98046875</v>
      </c>
      <c r="H68" s="250">
        <v>0</v>
      </c>
      <c r="I68" s="250">
        <v>0</v>
      </c>
      <c r="J68" s="250"/>
      <c r="K68" s="250"/>
      <c r="L68" s="250"/>
      <c r="M68" s="250"/>
      <c r="N68" s="250"/>
      <c r="O68" s="250"/>
      <c r="P68" s="250"/>
      <c r="Q68" s="250"/>
      <c r="R68" s="250"/>
      <c r="S68" s="250"/>
      <c r="T68" s="250"/>
      <c r="U68" s="250"/>
      <c r="V68" s="250"/>
      <c r="W68" s="250"/>
      <c r="X68" s="250"/>
      <c r="Y68" s="250"/>
      <c r="Z68" s="250"/>
      <c r="AA68" s="250"/>
      <c r="AB68" s="250"/>
      <c r="AC68" s="250"/>
    </row>
    <row r="69" spans="1:29" ht="15.75" customHeight="1" x14ac:dyDescent="0.25">
      <c r="A69" s="97" t="s">
        <v>540</v>
      </c>
      <c r="B69" s="249">
        <v>46243</v>
      </c>
      <c r="C69" s="246">
        <v>0.41666666666666669</v>
      </c>
      <c r="D69" s="246">
        <v>0.45833333333333331</v>
      </c>
      <c r="E69" s="250">
        <v>36.208333333022892</v>
      </c>
      <c r="F69" s="250">
        <v>2.3125</v>
      </c>
      <c r="G69" s="250">
        <v>0</v>
      </c>
      <c r="H69" s="250">
        <v>0</v>
      </c>
      <c r="I69" s="250">
        <v>0</v>
      </c>
      <c r="J69" s="250"/>
      <c r="K69" s="250"/>
      <c r="L69" s="250"/>
      <c r="M69" s="250"/>
      <c r="N69" s="250"/>
      <c r="O69" s="250"/>
      <c r="P69" s="250"/>
      <c r="Q69" s="250"/>
      <c r="R69" s="250"/>
      <c r="S69" s="250"/>
      <c r="T69" s="250"/>
      <c r="U69" s="250"/>
      <c r="V69" s="250"/>
      <c r="W69" s="250"/>
      <c r="X69" s="250"/>
      <c r="Y69" s="250"/>
      <c r="Z69" s="250"/>
      <c r="AA69" s="250"/>
      <c r="AB69" s="250"/>
      <c r="AC69" s="250"/>
    </row>
    <row r="70" spans="1:29" ht="15.75" customHeight="1" x14ac:dyDescent="0.25">
      <c r="A70" s="97" t="s">
        <v>541</v>
      </c>
      <c r="B70" s="249">
        <v>46243</v>
      </c>
      <c r="C70" s="246">
        <v>0.45833333333333331</v>
      </c>
      <c r="D70" s="246">
        <v>0.5</v>
      </c>
      <c r="E70" s="250">
        <v>35.45086206914857</v>
      </c>
      <c r="F70" s="250">
        <v>2.4527439024532214</v>
      </c>
      <c r="G70" s="250">
        <v>0</v>
      </c>
      <c r="H70" s="250">
        <v>0</v>
      </c>
      <c r="I70" s="250">
        <v>0</v>
      </c>
      <c r="J70" s="250"/>
      <c r="K70" s="250"/>
      <c r="L70" s="250"/>
      <c r="M70" s="250"/>
      <c r="N70" s="250"/>
      <c r="O70" s="250"/>
      <c r="P70" s="250"/>
      <c r="Q70" s="250"/>
      <c r="R70" s="250"/>
      <c r="S70" s="250"/>
      <c r="T70" s="250"/>
      <c r="U70" s="250"/>
      <c r="V70" s="250"/>
      <c r="W70" s="250"/>
      <c r="X70" s="250"/>
      <c r="Y70" s="250"/>
      <c r="Z70" s="250"/>
      <c r="AA70" s="250"/>
      <c r="AB70" s="250"/>
      <c r="AC70" s="250"/>
    </row>
    <row r="71" spans="1:29" ht="15.75" customHeight="1" x14ac:dyDescent="0.25">
      <c r="A71" s="97" t="s">
        <v>542</v>
      </c>
      <c r="B71" s="249">
        <v>46243</v>
      </c>
      <c r="C71" s="246">
        <v>0.5</v>
      </c>
      <c r="D71" s="246">
        <v>0.54166666666666663</v>
      </c>
      <c r="E71" s="250">
        <v>34.715804597828537</v>
      </c>
      <c r="F71" s="250">
        <v>2.1722560975467786</v>
      </c>
      <c r="G71" s="250">
        <v>0</v>
      </c>
      <c r="H71" s="250">
        <v>0</v>
      </c>
      <c r="I71" s="250">
        <v>0</v>
      </c>
      <c r="J71" s="250"/>
      <c r="K71" s="250"/>
      <c r="L71" s="250"/>
      <c r="M71" s="250"/>
      <c r="N71" s="250"/>
      <c r="O71" s="250"/>
      <c r="P71" s="250"/>
      <c r="Q71" s="250"/>
      <c r="R71" s="250"/>
      <c r="S71" s="250"/>
      <c r="T71" s="250"/>
      <c r="U71" s="250"/>
      <c r="V71" s="250"/>
      <c r="W71" s="250"/>
      <c r="X71" s="250"/>
      <c r="Y71" s="250"/>
      <c r="Z71" s="250"/>
      <c r="AA71" s="250"/>
      <c r="AB71" s="250"/>
      <c r="AC71" s="250"/>
    </row>
    <row r="72" spans="1:29" ht="15.75" customHeight="1" x14ac:dyDescent="0.25">
      <c r="A72" s="97" t="s">
        <v>543</v>
      </c>
      <c r="B72" s="249">
        <v>46243</v>
      </c>
      <c r="C72" s="246">
        <v>0.54166666666666663</v>
      </c>
      <c r="D72" s="246">
        <v>0.58333333333333337</v>
      </c>
      <c r="E72" s="250">
        <v>38.958333333488554</v>
      </c>
      <c r="F72" s="250">
        <v>3.2203947368543595</v>
      </c>
      <c r="G72" s="250">
        <v>0</v>
      </c>
      <c r="H72" s="250">
        <v>0</v>
      </c>
      <c r="I72" s="250">
        <v>0</v>
      </c>
      <c r="J72" s="250"/>
      <c r="K72" s="250"/>
      <c r="L72" s="250"/>
      <c r="M72" s="250"/>
      <c r="N72" s="250"/>
      <c r="O72" s="250"/>
      <c r="P72" s="250"/>
      <c r="Q72" s="250"/>
      <c r="R72" s="250"/>
      <c r="S72" s="250"/>
      <c r="T72" s="250"/>
      <c r="U72" s="250"/>
      <c r="V72" s="250"/>
      <c r="W72" s="250"/>
      <c r="X72" s="250"/>
      <c r="Y72" s="250"/>
      <c r="Z72" s="250"/>
      <c r="AA72" s="250"/>
      <c r="AB72" s="250"/>
      <c r="AC72" s="250"/>
    </row>
    <row r="73" spans="1:29" ht="15.75" customHeight="1" x14ac:dyDescent="0.25">
      <c r="A73" s="97" t="s">
        <v>544</v>
      </c>
      <c r="B73" s="249">
        <v>46243</v>
      </c>
      <c r="C73" s="246">
        <v>0.58333333333333337</v>
      </c>
      <c r="D73" s="246">
        <v>0.625</v>
      </c>
      <c r="E73" s="250">
        <v>35.458333333022892</v>
      </c>
      <c r="F73" s="250">
        <v>3.1046052630990744</v>
      </c>
      <c r="G73" s="250">
        <v>0</v>
      </c>
      <c r="H73" s="250">
        <v>0</v>
      </c>
      <c r="I73" s="250">
        <v>0</v>
      </c>
      <c r="J73" s="250"/>
      <c r="K73" s="250"/>
      <c r="L73" s="250"/>
      <c r="M73" s="250"/>
      <c r="N73" s="250"/>
      <c r="O73" s="250"/>
      <c r="P73" s="250"/>
      <c r="Q73" s="250"/>
      <c r="R73" s="250"/>
      <c r="S73" s="250"/>
      <c r="T73" s="250"/>
      <c r="U73" s="250"/>
      <c r="V73" s="250"/>
      <c r="W73" s="250"/>
      <c r="X73" s="250"/>
      <c r="Y73" s="250"/>
      <c r="Z73" s="250"/>
      <c r="AA73" s="250"/>
      <c r="AB73" s="250"/>
      <c r="AC73" s="250"/>
    </row>
    <row r="74" spans="1:29" ht="15.75" customHeight="1" x14ac:dyDescent="0.25">
      <c r="A74" s="97" t="s">
        <v>545</v>
      </c>
      <c r="B74" s="249">
        <v>46243</v>
      </c>
      <c r="C74" s="246">
        <v>0.625</v>
      </c>
      <c r="D74" s="246">
        <v>0.66666666666666663</v>
      </c>
      <c r="E74" s="250">
        <v>33.960310734808445</v>
      </c>
      <c r="F74" s="250">
        <v>3.5421875000465661</v>
      </c>
      <c r="G74" s="250">
        <v>2.8984375</v>
      </c>
      <c r="H74" s="250">
        <v>0</v>
      </c>
      <c r="I74" s="250">
        <v>0</v>
      </c>
      <c r="J74" s="250"/>
      <c r="K74" s="250"/>
      <c r="L74" s="250"/>
      <c r="M74" s="250"/>
      <c r="N74" s="250"/>
      <c r="O74" s="250"/>
      <c r="P74" s="250"/>
      <c r="Q74" s="250"/>
      <c r="R74" s="250"/>
      <c r="S74" s="250"/>
      <c r="T74" s="250"/>
      <c r="U74" s="250"/>
      <c r="V74" s="250"/>
      <c r="W74" s="250"/>
      <c r="X74" s="250"/>
      <c r="Y74" s="250"/>
      <c r="Z74" s="250"/>
      <c r="AA74" s="250"/>
      <c r="AB74" s="250"/>
      <c r="AC74" s="250"/>
    </row>
    <row r="75" spans="1:29" ht="15.75" customHeight="1" x14ac:dyDescent="0.25">
      <c r="A75" s="97" t="s">
        <v>546</v>
      </c>
      <c r="B75" s="249">
        <v>46243</v>
      </c>
      <c r="C75" s="246">
        <v>0.66666666666666663</v>
      </c>
      <c r="D75" s="246">
        <v>0.70833333333333337</v>
      </c>
      <c r="E75" s="250">
        <v>45.006355931982398</v>
      </c>
      <c r="F75" s="250">
        <v>3.8203125</v>
      </c>
      <c r="G75" s="250">
        <v>0</v>
      </c>
      <c r="H75" s="250">
        <v>0</v>
      </c>
      <c r="I75" s="250">
        <v>0</v>
      </c>
      <c r="J75" s="250"/>
      <c r="K75" s="250"/>
      <c r="L75" s="250"/>
      <c r="M75" s="250"/>
      <c r="N75" s="250"/>
      <c r="O75" s="250"/>
      <c r="P75" s="250"/>
      <c r="Q75" s="250"/>
      <c r="R75" s="250"/>
      <c r="S75" s="250"/>
      <c r="T75" s="250"/>
      <c r="U75" s="250"/>
      <c r="V75" s="250"/>
      <c r="W75" s="250"/>
      <c r="X75" s="250"/>
      <c r="Y75" s="250"/>
      <c r="Z75" s="250"/>
      <c r="AA75" s="250"/>
      <c r="AB75" s="250"/>
      <c r="AC75" s="250"/>
    </row>
    <row r="76" spans="1:29" ht="15.75" customHeight="1" x14ac:dyDescent="0.25">
      <c r="A76" s="97" t="s">
        <v>547</v>
      </c>
      <c r="B76" s="249">
        <v>46243</v>
      </c>
      <c r="C76" s="246">
        <v>0.70833333333333337</v>
      </c>
      <c r="D76" s="246">
        <v>0.75</v>
      </c>
      <c r="E76" s="250">
        <v>45.4375</v>
      </c>
      <c r="F76" s="250">
        <v>4.2621951219625771</v>
      </c>
      <c r="G76" s="250">
        <v>0</v>
      </c>
      <c r="H76" s="250">
        <v>0</v>
      </c>
      <c r="I76" s="250">
        <v>0</v>
      </c>
      <c r="J76" s="250"/>
      <c r="K76" s="250"/>
      <c r="L76" s="250"/>
      <c r="M76" s="250"/>
      <c r="N76" s="250"/>
      <c r="O76" s="250"/>
      <c r="P76" s="250"/>
      <c r="Q76" s="250"/>
      <c r="R76" s="250"/>
      <c r="S76" s="250"/>
      <c r="T76" s="250"/>
      <c r="U76" s="250"/>
      <c r="V76" s="250"/>
      <c r="W76" s="250"/>
      <c r="X76" s="250"/>
      <c r="Y76" s="250"/>
      <c r="Z76" s="250"/>
      <c r="AA76" s="250"/>
      <c r="AB76" s="250"/>
      <c r="AC76" s="250"/>
    </row>
    <row r="77" spans="1:29" ht="15.75" customHeight="1" x14ac:dyDescent="0.25">
      <c r="A77" s="97" t="s">
        <v>564</v>
      </c>
      <c r="B77" s="249">
        <v>46244</v>
      </c>
      <c r="C77" s="246">
        <v>0.41666666666666669</v>
      </c>
      <c r="D77" s="246">
        <v>0.45833333333333331</v>
      </c>
      <c r="E77" s="250">
        <v>131.08333333348855</v>
      </c>
      <c r="F77" s="250">
        <v>8.7296874999301508</v>
      </c>
      <c r="G77" s="250">
        <v>0</v>
      </c>
      <c r="H77" s="250">
        <v>0</v>
      </c>
      <c r="I77" s="250">
        <v>0</v>
      </c>
      <c r="J77" s="250"/>
      <c r="K77" s="250"/>
      <c r="L77" s="250"/>
      <c r="M77" s="250"/>
      <c r="N77" s="250"/>
      <c r="O77" s="250"/>
      <c r="P77" s="250"/>
      <c r="Q77" s="250"/>
      <c r="R77" s="250"/>
      <c r="S77" s="250"/>
      <c r="T77" s="250"/>
      <c r="U77" s="250"/>
      <c r="V77" s="250"/>
      <c r="W77" s="250"/>
      <c r="X77" s="250"/>
      <c r="Y77" s="250"/>
      <c r="Z77" s="250"/>
      <c r="AA77" s="250"/>
      <c r="AB77" s="250"/>
      <c r="AC77" s="250"/>
    </row>
    <row r="78" spans="1:29" ht="15.75" customHeight="1" x14ac:dyDescent="0.25">
      <c r="A78" s="97" t="s">
        <v>565</v>
      </c>
      <c r="B78" s="249">
        <v>46244</v>
      </c>
      <c r="C78" s="246">
        <v>0.45833333333333331</v>
      </c>
      <c r="D78" s="246">
        <v>0.5</v>
      </c>
      <c r="E78" s="250">
        <v>120.18615819187835</v>
      </c>
      <c r="F78" s="250">
        <v>10.40625</v>
      </c>
      <c r="G78" s="250">
        <v>0</v>
      </c>
      <c r="H78" s="250">
        <v>0</v>
      </c>
      <c r="I78" s="250">
        <v>0</v>
      </c>
      <c r="J78" s="250"/>
      <c r="K78" s="250"/>
      <c r="L78" s="250"/>
      <c r="M78" s="250"/>
      <c r="N78" s="250"/>
      <c r="O78" s="250"/>
      <c r="P78" s="250"/>
      <c r="Q78" s="250"/>
      <c r="R78" s="250"/>
      <c r="S78" s="250"/>
      <c r="T78" s="250"/>
      <c r="U78" s="250"/>
      <c r="V78" s="250"/>
      <c r="W78" s="250"/>
      <c r="X78" s="250"/>
      <c r="Y78" s="250"/>
      <c r="Z78" s="250"/>
      <c r="AA78" s="250"/>
      <c r="AB78" s="250"/>
      <c r="AC78" s="250"/>
    </row>
    <row r="79" spans="1:29" ht="15.75" customHeight="1" x14ac:dyDescent="0.25">
      <c r="A79" s="97" t="s">
        <v>566</v>
      </c>
      <c r="B79" s="249">
        <v>46244</v>
      </c>
      <c r="C79" s="246">
        <v>0.5</v>
      </c>
      <c r="D79" s="246">
        <v>0.54166666666666663</v>
      </c>
      <c r="E79" s="250">
        <v>127.4805084746331</v>
      </c>
      <c r="F79" s="250">
        <v>11.459375000093132</v>
      </c>
      <c r="G79" s="250">
        <v>0</v>
      </c>
      <c r="H79" s="250">
        <v>0</v>
      </c>
      <c r="I79" s="250">
        <v>0</v>
      </c>
      <c r="J79" s="250"/>
      <c r="K79" s="250"/>
      <c r="L79" s="250"/>
      <c r="M79" s="250"/>
      <c r="N79" s="250"/>
      <c r="O79" s="250"/>
      <c r="P79" s="250"/>
      <c r="Q79" s="250"/>
      <c r="R79" s="250"/>
      <c r="S79" s="250"/>
      <c r="T79" s="250"/>
      <c r="U79" s="250"/>
      <c r="V79" s="250"/>
      <c r="W79" s="250"/>
      <c r="X79" s="250"/>
      <c r="Y79" s="250"/>
      <c r="Z79" s="250"/>
      <c r="AA79" s="250"/>
      <c r="AB79" s="250"/>
      <c r="AC79" s="250"/>
    </row>
    <row r="80" spans="1:29" ht="15.75" customHeight="1" x14ac:dyDescent="0.25">
      <c r="A80" s="97" t="s">
        <v>567</v>
      </c>
      <c r="B80" s="249">
        <v>46244</v>
      </c>
      <c r="C80" s="246">
        <v>0.54166666666666663</v>
      </c>
      <c r="D80" s="246">
        <v>0.58333333333333337</v>
      </c>
      <c r="E80" s="250">
        <v>119.49166666669771</v>
      </c>
      <c r="F80" s="250">
        <v>12.321874999906868</v>
      </c>
      <c r="G80" s="250">
        <v>0</v>
      </c>
      <c r="H80" s="250">
        <v>0</v>
      </c>
      <c r="I80" s="250">
        <v>0</v>
      </c>
      <c r="J80" s="250"/>
      <c r="K80" s="250"/>
      <c r="L80" s="250"/>
      <c r="M80" s="250"/>
      <c r="N80" s="250"/>
      <c r="O80" s="250"/>
      <c r="P80" s="250"/>
      <c r="Q80" s="250"/>
      <c r="R80" s="250"/>
      <c r="S80" s="250"/>
      <c r="T80" s="250"/>
      <c r="U80" s="250"/>
      <c r="V80" s="250"/>
      <c r="W80" s="250"/>
      <c r="X80" s="250"/>
      <c r="Y80" s="250"/>
      <c r="Z80" s="250"/>
      <c r="AA80" s="250"/>
      <c r="AB80" s="250"/>
      <c r="AC80" s="250"/>
    </row>
    <row r="81" spans="1:29" ht="15.75" customHeight="1" x14ac:dyDescent="0.25">
      <c r="A81" s="97" t="s">
        <v>568</v>
      </c>
      <c r="B81" s="249">
        <v>46244</v>
      </c>
      <c r="C81" s="246">
        <v>0.58333333333333337</v>
      </c>
      <c r="D81" s="246">
        <v>0.625</v>
      </c>
      <c r="E81" s="250">
        <v>122.35416666651145</v>
      </c>
      <c r="F81" s="250">
        <v>12.659375000046566</v>
      </c>
      <c r="G81" s="250">
        <v>0</v>
      </c>
      <c r="H81" s="250">
        <v>0</v>
      </c>
      <c r="I81" s="250">
        <v>0</v>
      </c>
      <c r="J81" s="250"/>
      <c r="K81" s="250"/>
      <c r="L81" s="250"/>
      <c r="M81" s="250"/>
      <c r="N81" s="250"/>
      <c r="O81" s="250"/>
      <c r="P81" s="250"/>
      <c r="Q81" s="250"/>
      <c r="R81" s="250"/>
      <c r="S81" s="250"/>
      <c r="T81" s="250"/>
      <c r="U81" s="250"/>
      <c r="V81" s="250"/>
      <c r="W81" s="250"/>
      <c r="X81" s="250"/>
      <c r="Y81" s="250"/>
      <c r="Z81" s="250"/>
      <c r="AA81" s="250"/>
      <c r="AB81" s="250"/>
      <c r="AC81" s="250"/>
    </row>
    <row r="82" spans="1:29" ht="15.75" customHeight="1" x14ac:dyDescent="0.25">
      <c r="A82" s="97" t="s">
        <v>569</v>
      </c>
      <c r="B82" s="249">
        <v>46244</v>
      </c>
      <c r="C82" s="246">
        <v>0.625</v>
      </c>
      <c r="D82" s="246">
        <v>0.66666666666666663</v>
      </c>
      <c r="E82" s="250">
        <v>110.30416666669771</v>
      </c>
      <c r="F82" s="250">
        <v>14.618750000023283</v>
      </c>
      <c r="G82" s="250">
        <v>0</v>
      </c>
      <c r="H82" s="250">
        <v>0</v>
      </c>
      <c r="I82" s="250">
        <v>0</v>
      </c>
      <c r="J82" s="250"/>
      <c r="K82" s="250"/>
      <c r="L82" s="250"/>
      <c r="M82" s="250"/>
      <c r="N82" s="250"/>
      <c r="O82" s="250"/>
      <c r="P82" s="250"/>
      <c r="Q82" s="250"/>
      <c r="R82" s="250"/>
      <c r="S82" s="250"/>
      <c r="T82" s="250"/>
      <c r="U82" s="250"/>
      <c r="V82" s="250"/>
      <c r="W82" s="250"/>
      <c r="X82" s="250"/>
      <c r="Y82" s="250"/>
      <c r="Z82" s="250"/>
      <c r="AA82" s="250"/>
      <c r="AB82" s="250"/>
      <c r="AC82" s="250"/>
    </row>
    <row r="83" spans="1:29" ht="15.75" customHeight="1" x14ac:dyDescent="0.25">
      <c r="A83" s="97" t="s">
        <v>570</v>
      </c>
      <c r="B83" s="249">
        <v>46244</v>
      </c>
      <c r="C83" s="246">
        <v>0.66666666666666663</v>
      </c>
      <c r="D83" s="246">
        <v>0.70833333333333337</v>
      </c>
      <c r="E83" s="250">
        <v>107.375</v>
      </c>
      <c r="F83" s="250">
        <v>17.251562500023283</v>
      </c>
      <c r="G83" s="250">
        <v>0</v>
      </c>
      <c r="H83" s="250">
        <v>0</v>
      </c>
      <c r="I83" s="250">
        <v>0</v>
      </c>
      <c r="J83" s="250"/>
      <c r="K83" s="250"/>
      <c r="L83" s="250"/>
      <c r="M83" s="250"/>
      <c r="N83" s="250"/>
      <c r="O83" s="250"/>
      <c r="P83" s="250"/>
      <c r="Q83" s="250"/>
      <c r="R83" s="250"/>
      <c r="S83" s="250"/>
      <c r="T83" s="250"/>
      <c r="U83" s="250"/>
      <c r="V83" s="250"/>
      <c r="W83" s="250"/>
      <c r="X83" s="250"/>
      <c r="Y83" s="250"/>
      <c r="Z83" s="250"/>
      <c r="AA83" s="250"/>
      <c r="AB83" s="250"/>
      <c r="AC83" s="250"/>
    </row>
    <row r="84" spans="1:29" ht="15.75" customHeight="1" x14ac:dyDescent="0.25">
      <c r="A84" s="97" t="s">
        <v>571</v>
      </c>
      <c r="B84" s="249">
        <v>46244</v>
      </c>
      <c r="C84" s="246">
        <v>0.70833333333333337</v>
      </c>
      <c r="D84" s="246">
        <v>0.75</v>
      </c>
      <c r="E84" s="250">
        <v>98.125</v>
      </c>
      <c r="F84" s="250">
        <v>16.993996710516512</v>
      </c>
      <c r="G84" s="250">
        <v>0</v>
      </c>
      <c r="H84" s="250">
        <v>0</v>
      </c>
      <c r="I84" s="250">
        <v>0</v>
      </c>
      <c r="J84" s="250"/>
      <c r="K84" s="250"/>
      <c r="L84" s="250"/>
      <c r="M84" s="250"/>
      <c r="N84" s="250"/>
      <c r="O84" s="250"/>
      <c r="P84" s="250"/>
      <c r="Q84" s="250"/>
      <c r="R84" s="250"/>
      <c r="S84" s="250"/>
      <c r="T84" s="250"/>
      <c r="U84" s="250"/>
      <c r="V84" s="250"/>
      <c r="W84" s="250"/>
      <c r="X84" s="250"/>
      <c r="Y84" s="250"/>
      <c r="Z84" s="250"/>
      <c r="AA84" s="250"/>
      <c r="AB84" s="250"/>
      <c r="AC84" s="250"/>
    </row>
    <row r="85" spans="1:29" ht="15.75" customHeight="1" x14ac:dyDescent="0.25">
      <c r="A85" s="97" t="s">
        <v>588</v>
      </c>
      <c r="B85" s="249">
        <v>46245</v>
      </c>
      <c r="C85" s="246">
        <v>0.41666666666666669</v>
      </c>
      <c r="D85" s="246">
        <v>0.45833333333333331</v>
      </c>
      <c r="E85" s="250">
        <v>135.05143442656845</v>
      </c>
      <c r="F85" s="250">
        <v>9.8963033535983413</v>
      </c>
      <c r="G85" s="250">
        <v>0</v>
      </c>
      <c r="H85" s="250">
        <v>0</v>
      </c>
      <c r="I85" s="250">
        <v>0</v>
      </c>
      <c r="J85" s="250"/>
      <c r="K85" s="250"/>
      <c r="L85" s="250"/>
      <c r="M85" s="250"/>
      <c r="N85" s="250"/>
      <c r="O85" s="250"/>
      <c r="P85" s="250"/>
      <c r="Q85" s="250"/>
      <c r="R85" s="250"/>
      <c r="S85" s="250"/>
      <c r="T85" s="250"/>
      <c r="U85" s="250"/>
      <c r="V85" s="250"/>
      <c r="W85" s="250"/>
      <c r="X85" s="250"/>
      <c r="Y85" s="250"/>
      <c r="Z85" s="250"/>
      <c r="AA85" s="250"/>
      <c r="AB85" s="250"/>
      <c r="AC85" s="250"/>
    </row>
    <row r="86" spans="1:29" ht="15.75" customHeight="1" x14ac:dyDescent="0.25">
      <c r="A86" s="97" t="s">
        <v>589</v>
      </c>
      <c r="B86" s="249">
        <v>46245</v>
      </c>
      <c r="C86" s="246">
        <v>0.45833333333333331</v>
      </c>
      <c r="D86" s="246">
        <v>0.5</v>
      </c>
      <c r="E86" s="250">
        <v>127.3125</v>
      </c>
      <c r="F86" s="250">
        <v>11.328943452448584</v>
      </c>
      <c r="G86" s="250">
        <v>0</v>
      </c>
      <c r="H86" s="250">
        <v>0</v>
      </c>
      <c r="I86" s="250">
        <v>0</v>
      </c>
      <c r="J86" s="250"/>
      <c r="K86" s="250"/>
      <c r="L86" s="250"/>
      <c r="M86" s="250"/>
      <c r="N86" s="250"/>
      <c r="O86" s="250"/>
      <c r="P86" s="250"/>
      <c r="Q86" s="250"/>
      <c r="R86" s="250"/>
      <c r="S86" s="250"/>
      <c r="T86" s="250"/>
      <c r="U86" s="250"/>
      <c r="V86" s="250"/>
      <c r="W86" s="250"/>
      <c r="X86" s="250"/>
      <c r="Y86" s="250"/>
      <c r="Z86" s="250"/>
      <c r="AA86" s="250"/>
      <c r="AB86" s="250"/>
      <c r="AC86" s="250"/>
    </row>
    <row r="87" spans="1:29" ht="15.75" customHeight="1" x14ac:dyDescent="0.25">
      <c r="A87" s="97" t="s">
        <v>590</v>
      </c>
      <c r="B87" s="249">
        <v>46245</v>
      </c>
      <c r="C87" s="246">
        <v>0.5</v>
      </c>
      <c r="D87" s="246">
        <v>0.54166666666666663</v>
      </c>
      <c r="E87" s="250">
        <v>125.59999999962747</v>
      </c>
      <c r="F87" s="250">
        <v>12.562042124453001</v>
      </c>
      <c r="G87" s="250">
        <v>0</v>
      </c>
      <c r="H87" s="250">
        <v>0</v>
      </c>
      <c r="I87" s="250">
        <v>0</v>
      </c>
      <c r="J87" s="250"/>
      <c r="K87" s="250"/>
      <c r="L87" s="250"/>
      <c r="M87" s="250"/>
      <c r="N87" s="250"/>
      <c r="O87" s="250"/>
      <c r="P87" s="250"/>
      <c r="Q87" s="250"/>
      <c r="R87" s="250"/>
      <c r="S87" s="250"/>
      <c r="T87" s="250"/>
      <c r="U87" s="250"/>
      <c r="V87" s="250"/>
      <c r="W87" s="250"/>
      <c r="X87" s="250"/>
      <c r="Y87" s="250"/>
      <c r="Z87" s="250"/>
      <c r="AA87" s="250"/>
      <c r="AB87" s="250"/>
      <c r="AC87" s="250"/>
    </row>
    <row r="88" spans="1:29" ht="15.75" customHeight="1" x14ac:dyDescent="0.25">
      <c r="A88" s="97" t="s">
        <v>591</v>
      </c>
      <c r="B88" s="249">
        <v>46245</v>
      </c>
      <c r="C88" s="246">
        <v>0.54166666666666663</v>
      </c>
      <c r="D88" s="246">
        <v>0.58333333333333337</v>
      </c>
      <c r="E88" s="250">
        <v>119.71666666679084</v>
      </c>
      <c r="F88" s="250">
        <v>15.798076923121698</v>
      </c>
      <c r="G88" s="250">
        <v>0</v>
      </c>
      <c r="H88" s="250">
        <v>0</v>
      </c>
      <c r="I88" s="250">
        <v>0</v>
      </c>
      <c r="J88" s="250"/>
      <c r="K88" s="250"/>
      <c r="L88" s="250"/>
      <c r="M88" s="250"/>
      <c r="N88" s="250"/>
      <c r="O88" s="250"/>
      <c r="P88" s="250"/>
      <c r="Q88" s="250"/>
      <c r="R88" s="250"/>
      <c r="S88" s="250"/>
      <c r="T88" s="250"/>
      <c r="U88" s="250"/>
      <c r="V88" s="250"/>
      <c r="W88" s="250"/>
      <c r="X88" s="250"/>
      <c r="Y88" s="250"/>
      <c r="Z88" s="250"/>
      <c r="AA88" s="250"/>
      <c r="AB88" s="250"/>
      <c r="AC88" s="250"/>
    </row>
    <row r="89" spans="1:29" ht="15.75" customHeight="1" x14ac:dyDescent="0.25">
      <c r="A89" s="97" t="s">
        <v>592</v>
      </c>
      <c r="B89" s="249">
        <v>46245</v>
      </c>
      <c r="C89" s="246">
        <v>0.58333333333333337</v>
      </c>
      <c r="D89" s="246">
        <v>0.625</v>
      </c>
      <c r="E89" s="250">
        <v>133.44583333330229</v>
      </c>
      <c r="F89" s="250">
        <v>12.147865853621624</v>
      </c>
      <c r="G89" s="250">
        <v>0</v>
      </c>
      <c r="H89" s="250">
        <v>0</v>
      </c>
      <c r="I89" s="250">
        <v>0</v>
      </c>
      <c r="J89" s="250"/>
      <c r="K89" s="250"/>
      <c r="L89" s="250"/>
      <c r="M89" s="250"/>
      <c r="N89" s="250"/>
      <c r="O89" s="250"/>
      <c r="P89" s="250"/>
      <c r="Q89" s="250"/>
      <c r="R89" s="250"/>
      <c r="S89" s="250"/>
      <c r="T89" s="250"/>
      <c r="U89" s="250"/>
      <c r="V89" s="250"/>
      <c r="W89" s="250"/>
      <c r="X89" s="250"/>
      <c r="Y89" s="250"/>
      <c r="Z89" s="250"/>
      <c r="AA89" s="250"/>
      <c r="AB89" s="250"/>
      <c r="AC89" s="250"/>
    </row>
    <row r="90" spans="1:29" ht="15.75" customHeight="1" x14ac:dyDescent="0.25">
      <c r="A90" s="97" t="s">
        <v>593</v>
      </c>
      <c r="B90" s="249">
        <v>46245</v>
      </c>
      <c r="C90" s="246">
        <v>0.625</v>
      </c>
      <c r="D90" s="246">
        <v>0.66666666666666663</v>
      </c>
      <c r="E90" s="250">
        <v>127.94583333330229</v>
      </c>
      <c r="F90" s="250">
        <v>12.336509146378376</v>
      </c>
      <c r="G90" s="250">
        <v>0</v>
      </c>
      <c r="H90" s="250">
        <v>0</v>
      </c>
      <c r="I90" s="250">
        <v>0</v>
      </c>
      <c r="J90" s="250"/>
      <c r="K90" s="250"/>
      <c r="L90" s="250"/>
      <c r="M90" s="250"/>
      <c r="N90" s="250"/>
      <c r="O90" s="250"/>
      <c r="P90" s="250"/>
      <c r="Q90" s="250"/>
      <c r="R90" s="250"/>
      <c r="S90" s="250"/>
      <c r="T90" s="250"/>
      <c r="U90" s="250"/>
      <c r="V90" s="250"/>
      <c r="W90" s="250"/>
      <c r="X90" s="250"/>
      <c r="Y90" s="250"/>
      <c r="Z90" s="250"/>
      <c r="AA90" s="250"/>
      <c r="AB90" s="250"/>
      <c r="AC90" s="250"/>
    </row>
    <row r="91" spans="1:29" ht="15.75" customHeight="1" x14ac:dyDescent="0.25">
      <c r="A91" s="97" t="s">
        <v>594</v>
      </c>
      <c r="B91" s="249">
        <v>46245</v>
      </c>
      <c r="C91" s="246">
        <v>0.66666666666666663</v>
      </c>
      <c r="D91" s="246">
        <v>0.70833333333333337</v>
      </c>
      <c r="E91" s="250">
        <v>125.66424731211737</v>
      </c>
      <c r="F91" s="250">
        <v>13.146874999976717</v>
      </c>
      <c r="G91" s="250">
        <v>0</v>
      </c>
      <c r="H91" s="250">
        <v>0</v>
      </c>
      <c r="I91" s="250">
        <v>0</v>
      </c>
      <c r="J91" s="250"/>
      <c r="K91" s="250"/>
      <c r="L91" s="250"/>
      <c r="M91" s="250"/>
      <c r="N91" s="250"/>
      <c r="O91" s="250"/>
      <c r="P91" s="250"/>
      <c r="Q91" s="250"/>
      <c r="R91" s="250"/>
      <c r="S91" s="250"/>
      <c r="T91" s="250"/>
      <c r="U91" s="250"/>
      <c r="V91" s="250"/>
      <c r="W91" s="250"/>
      <c r="X91" s="250"/>
      <c r="Y91" s="250"/>
      <c r="Z91" s="250"/>
      <c r="AA91" s="250"/>
      <c r="AB91" s="250"/>
      <c r="AC91" s="250"/>
    </row>
    <row r="92" spans="1:29" ht="15.75" customHeight="1" x14ac:dyDescent="0.25">
      <c r="A92" s="97" t="s">
        <v>595</v>
      </c>
      <c r="B92" s="249">
        <v>46245</v>
      </c>
      <c r="C92" s="246">
        <v>0.70833333333333337</v>
      </c>
      <c r="D92" s="246">
        <v>0.75</v>
      </c>
      <c r="E92" s="250">
        <v>115.32325268816203</v>
      </c>
      <c r="F92" s="250">
        <v>15.31844512198586</v>
      </c>
      <c r="G92" s="250">
        <v>0</v>
      </c>
      <c r="H92" s="250">
        <v>0</v>
      </c>
      <c r="I92" s="250">
        <v>0</v>
      </c>
      <c r="J92" s="250"/>
      <c r="K92" s="250"/>
      <c r="L92" s="250"/>
      <c r="M92" s="250"/>
      <c r="N92" s="250"/>
      <c r="O92" s="250"/>
      <c r="P92" s="250"/>
      <c r="Q92" s="250"/>
      <c r="R92" s="250"/>
      <c r="S92" s="250"/>
      <c r="T92" s="250"/>
      <c r="U92" s="250"/>
      <c r="V92" s="250"/>
      <c r="W92" s="250"/>
      <c r="X92" s="250"/>
      <c r="Y92" s="250"/>
      <c r="Z92" s="250"/>
      <c r="AA92" s="250"/>
      <c r="AB92" s="250"/>
      <c r="AC92" s="250"/>
    </row>
    <row r="93" spans="1:29" ht="15.75" customHeight="1" x14ac:dyDescent="0.25">
      <c r="A93" s="97" t="s">
        <v>612</v>
      </c>
      <c r="B93" s="249">
        <v>46246</v>
      </c>
      <c r="C93" s="246">
        <v>0.41666666666666669</v>
      </c>
      <c r="D93" s="246">
        <v>0.45833333333333331</v>
      </c>
      <c r="E93" s="250">
        <v>132.63333333376795</v>
      </c>
      <c r="F93" s="250">
        <v>8.1453506097896025</v>
      </c>
      <c r="G93" s="250">
        <v>0</v>
      </c>
      <c r="H93" s="250">
        <v>0</v>
      </c>
      <c r="I93" s="250">
        <v>0</v>
      </c>
      <c r="J93" s="250"/>
      <c r="K93" s="250"/>
      <c r="L93" s="250"/>
      <c r="M93" s="250"/>
      <c r="N93" s="250"/>
      <c r="O93" s="250"/>
      <c r="P93" s="250"/>
      <c r="Q93" s="250"/>
      <c r="R93" s="250"/>
      <c r="S93" s="250"/>
      <c r="T93" s="250"/>
      <c r="U93" s="250"/>
      <c r="V93" s="250"/>
      <c r="W93" s="250"/>
      <c r="X93" s="250"/>
      <c r="Y93" s="250"/>
      <c r="Z93" s="250"/>
      <c r="AA93" s="250"/>
      <c r="AB93" s="250"/>
      <c r="AC93" s="250"/>
    </row>
    <row r="94" spans="1:29" ht="15.75" customHeight="1" x14ac:dyDescent="0.25">
      <c r="A94" s="97" t="s">
        <v>613</v>
      </c>
      <c r="B94" s="249">
        <v>46246</v>
      </c>
      <c r="C94" s="246">
        <v>0.45833333333333331</v>
      </c>
      <c r="D94" s="246">
        <v>0.5</v>
      </c>
      <c r="E94" s="250">
        <v>89.316666666418314</v>
      </c>
      <c r="F94" s="250">
        <v>10.822037210687995</v>
      </c>
      <c r="G94" s="250">
        <v>24.81953125000291</v>
      </c>
      <c r="H94" s="250">
        <v>0</v>
      </c>
      <c r="I94" s="250">
        <v>0.51171875</v>
      </c>
      <c r="J94" s="250"/>
      <c r="K94" s="250"/>
      <c r="L94" s="250"/>
      <c r="M94" s="250"/>
      <c r="N94" s="250"/>
      <c r="O94" s="250"/>
      <c r="P94" s="250"/>
      <c r="Q94" s="250"/>
      <c r="R94" s="250"/>
      <c r="S94" s="250"/>
      <c r="T94" s="250"/>
      <c r="U94" s="250"/>
      <c r="V94" s="250"/>
      <c r="W94" s="250"/>
      <c r="X94" s="250"/>
      <c r="Y94" s="250"/>
      <c r="Z94" s="250"/>
      <c r="AA94" s="250"/>
      <c r="AB94" s="250"/>
      <c r="AC94" s="250"/>
    </row>
    <row r="95" spans="1:29" ht="15.75" customHeight="1" x14ac:dyDescent="0.25">
      <c r="A95" s="97" t="s">
        <v>614</v>
      </c>
      <c r="B95" s="249">
        <v>46246</v>
      </c>
      <c r="C95" s="246">
        <v>0.5</v>
      </c>
      <c r="D95" s="246">
        <v>0.54166666666666663</v>
      </c>
      <c r="E95" s="250">
        <v>0.25</v>
      </c>
      <c r="F95" s="250">
        <v>10.07011217949912</v>
      </c>
      <c r="G95" s="250">
        <v>125.74604252049176</v>
      </c>
      <c r="H95" s="250">
        <v>0</v>
      </c>
      <c r="I95" s="250">
        <v>0</v>
      </c>
      <c r="J95" s="250"/>
      <c r="K95" s="250"/>
      <c r="L95" s="250"/>
      <c r="M95" s="250"/>
      <c r="N95" s="250"/>
      <c r="O95" s="250"/>
      <c r="P95" s="250"/>
      <c r="Q95" s="250"/>
      <c r="R95" s="250"/>
      <c r="S95" s="250"/>
      <c r="T95" s="250"/>
      <c r="U95" s="250"/>
      <c r="V95" s="250"/>
      <c r="W95" s="250"/>
      <c r="X95" s="250"/>
      <c r="Y95" s="250"/>
      <c r="Z95" s="250"/>
      <c r="AA95" s="250"/>
      <c r="AB95" s="250"/>
      <c r="AC95" s="250"/>
    </row>
    <row r="96" spans="1:29" ht="15.75" customHeight="1" x14ac:dyDescent="0.25">
      <c r="A96" s="97" t="s">
        <v>615</v>
      </c>
      <c r="B96" s="249">
        <v>46246</v>
      </c>
      <c r="C96" s="246">
        <v>0.54166666666666663</v>
      </c>
      <c r="D96" s="246">
        <v>0.58333333333333337</v>
      </c>
      <c r="E96" s="250">
        <v>0</v>
      </c>
      <c r="F96" s="250">
        <v>8.4796875000465661</v>
      </c>
      <c r="G96" s="250">
        <v>132.64744706284546</v>
      </c>
      <c r="H96" s="250">
        <v>0</v>
      </c>
      <c r="I96" s="250">
        <v>0</v>
      </c>
      <c r="J96" s="250"/>
      <c r="K96" s="250"/>
      <c r="L96" s="250"/>
      <c r="M96" s="250"/>
      <c r="N96" s="250"/>
      <c r="O96" s="250"/>
      <c r="P96" s="250"/>
      <c r="Q96" s="250"/>
      <c r="R96" s="250"/>
      <c r="S96" s="250"/>
      <c r="T96" s="250"/>
      <c r="U96" s="250"/>
      <c r="V96" s="250"/>
      <c r="W96" s="250"/>
      <c r="X96" s="250"/>
      <c r="Y96" s="250"/>
      <c r="Z96" s="250"/>
      <c r="AA96" s="250"/>
      <c r="AB96" s="250"/>
      <c r="AC96" s="250"/>
    </row>
    <row r="97" spans="1:29" ht="15.75" customHeight="1" x14ac:dyDescent="0.25">
      <c r="A97" s="97" t="s">
        <v>616</v>
      </c>
      <c r="B97" s="249">
        <v>46246</v>
      </c>
      <c r="C97" s="246">
        <v>0.58333333333333337</v>
      </c>
      <c r="D97" s="246">
        <v>0.625</v>
      </c>
      <c r="E97" s="250">
        <v>63.804166666697711</v>
      </c>
      <c r="F97" s="250">
        <v>9.4546874999068677</v>
      </c>
      <c r="G97" s="250">
        <v>62.591666666659876</v>
      </c>
      <c r="H97" s="250">
        <v>0</v>
      </c>
      <c r="I97" s="250">
        <v>0</v>
      </c>
      <c r="J97" s="250"/>
      <c r="K97" s="250"/>
      <c r="L97" s="250"/>
      <c r="M97" s="250"/>
      <c r="N97" s="250"/>
      <c r="O97" s="250"/>
      <c r="P97" s="250"/>
      <c r="Q97" s="250"/>
      <c r="R97" s="250"/>
      <c r="S97" s="250"/>
      <c r="T97" s="250"/>
      <c r="U97" s="250"/>
      <c r="V97" s="250"/>
      <c r="W97" s="250"/>
      <c r="X97" s="250"/>
      <c r="Y97" s="250"/>
      <c r="Z97" s="250"/>
      <c r="AA97" s="250"/>
      <c r="AB97" s="250"/>
      <c r="AC97" s="250"/>
    </row>
    <row r="98" spans="1:29" ht="15.75" customHeight="1" x14ac:dyDescent="0.25">
      <c r="A98" s="97" t="s">
        <v>617</v>
      </c>
      <c r="B98" s="249">
        <v>46246</v>
      </c>
      <c r="C98" s="246">
        <v>0.625</v>
      </c>
      <c r="D98" s="246">
        <v>0.66666666666666663</v>
      </c>
      <c r="E98" s="250">
        <v>135.07916666660458</v>
      </c>
      <c r="F98" s="250">
        <v>11.2265625</v>
      </c>
      <c r="G98" s="250">
        <v>0</v>
      </c>
      <c r="H98" s="250">
        <v>0</v>
      </c>
      <c r="I98" s="250">
        <v>0</v>
      </c>
      <c r="J98" s="250"/>
      <c r="K98" s="250"/>
      <c r="L98" s="250"/>
      <c r="M98" s="250"/>
      <c r="N98" s="250"/>
      <c r="O98" s="250"/>
      <c r="P98" s="250"/>
      <c r="Q98" s="250"/>
      <c r="R98" s="250"/>
      <c r="S98" s="250"/>
      <c r="T98" s="250"/>
      <c r="U98" s="250"/>
      <c r="V98" s="250"/>
      <c r="W98" s="250"/>
      <c r="X98" s="250"/>
      <c r="Y98" s="250"/>
      <c r="Z98" s="250"/>
      <c r="AA98" s="250"/>
      <c r="AB98" s="250"/>
      <c r="AC98" s="250"/>
    </row>
    <row r="99" spans="1:29" ht="15.75" customHeight="1" x14ac:dyDescent="0.25">
      <c r="A99" s="97" t="s">
        <v>618</v>
      </c>
      <c r="B99" s="249">
        <v>46246</v>
      </c>
      <c r="C99" s="246">
        <v>0.66666666666666663</v>
      </c>
      <c r="D99" s="246">
        <v>0.70833333333333337</v>
      </c>
      <c r="E99" s="250">
        <v>10.108927180990577</v>
      </c>
      <c r="F99" s="250">
        <v>17.193750000093132</v>
      </c>
      <c r="G99" s="250">
        <v>116.80390625000291</v>
      </c>
      <c r="H99" s="250">
        <v>0</v>
      </c>
      <c r="I99" s="250">
        <v>0</v>
      </c>
      <c r="J99" s="250"/>
      <c r="K99" s="250"/>
      <c r="L99" s="250"/>
      <c r="M99" s="250"/>
      <c r="N99" s="250"/>
      <c r="O99" s="250"/>
      <c r="P99" s="250"/>
      <c r="Q99" s="250"/>
      <c r="R99" s="250"/>
      <c r="S99" s="250"/>
      <c r="T99" s="250"/>
      <c r="U99" s="250"/>
      <c r="V99" s="250"/>
      <c r="W99" s="250"/>
      <c r="X99" s="250"/>
      <c r="Y99" s="250"/>
      <c r="Z99" s="250"/>
      <c r="AA99" s="250"/>
      <c r="AB99" s="250"/>
      <c r="AC99" s="250"/>
    </row>
    <row r="100" spans="1:29" ht="15.75" customHeight="1" x14ac:dyDescent="0.25">
      <c r="A100" s="97" t="s">
        <v>619</v>
      </c>
      <c r="B100" s="249">
        <v>46246</v>
      </c>
      <c r="C100" s="246">
        <v>0.70833333333333337</v>
      </c>
      <c r="D100" s="246">
        <v>0.75</v>
      </c>
      <c r="E100" s="250">
        <v>59.841072819195688</v>
      </c>
      <c r="F100" s="250">
        <v>17.917187499930151</v>
      </c>
      <c r="G100" s="250">
        <v>56.48515624999709</v>
      </c>
      <c r="H100" s="250">
        <v>0</v>
      </c>
      <c r="I100" s="250">
        <v>0</v>
      </c>
      <c r="J100" s="250"/>
      <c r="K100" s="250"/>
      <c r="L100" s="250"/>
      <c r="M100" s="250"/>
      <c r="N100" s="250"/>
      <c r="O100" s="250"/>
      <c r="P100" s="250"/>
      <c r="Q100" s="250"/>
      <c r="R100" s="250"/>
      <c r="S100" s="250"/>
      <c r="T100" s="250"/>
      <c r="U100" s="250"/>
      <c r="V100" s="250"/>
      <c r="W100" s="250"/>
      <c r="X100" s="250"/>
      <c r="Y100" s="250"/>
      <c r="Z100" s="250"/>
      <c r="AA100" s="250"/>
      <c r="AB100" s="250"/>
      <c r="AC100" s="250"/>
    </row>
    <row r="101" spans="1:29" ht="15.75" customHeight="1" x14ac:dyDescent="0.25">
      <c r="A101" s="97" t="s">
        <v>636</v>
      </c>
      <c r="B101" s="249">
        <v>46247</v>
      </c>
      <c r="C101" s="246">
        <v>0.41666666666666669</v>
      </c>
      <c r="D101" s="246">
        <v>0.45833333333333331</v>
      </c>
      <c r="E101" s="250">
        <v>121.75806451635435</v>
      </c>
      <c r="F101" s="250">
        <v>8.4093750000465661</v>
      </c>
      <c r="G101" s="250">
        <v>0</v>
      </c>
      <c r="H101" s="250">
        <v>0</v>
      </c>
      <c r="I101" s="250">
        <v>0</v>
      </c>
      <c r="J101" s="250"/>
      <c r="K101" s="250"/>
      <c r="L101" s="250"/>
      <c r="M101" s="250"/>
      <c r="N101" s="250"/>
      <c r="O101" s="250"/>
      <c r="P101" s="250"/>
      <c r="Q101" s="250"/>
      <c r="R101" s="250"/>
      <c r="S101" s="250"/>
      <c r="T101" s="250"/>
      <c r="U101" s="250"/>
      <c r="V101" s="250"/>
      <c r="W101" s="250"/>
      <c r="X101" s="250"/>
      <c r="Y101" s="250"/>
      <c r="Z101" s="250"/>
      <c r="AA101" s="250"/>
      <c r="AB101" s="250"/>
      <c r="AC101" s="250"/>
    </row>
    <row r="102" spans="1:29" ht="15.75" customHeight="1" x14ac:dyDescent="0.25">
      <c r="A102" s="97" t="s">
        <v>637</v>
      </c>
      <c r="B102" s="249">
        <v>46247</v>
      </c>
      <c r="C102" s="246">
        <v>0.45833333333333331</v>
      </c>
      <c r="D102" s="246">
        <v>0.5</v>
      </c>
      <c r="E102" s="250">
        <v>122.4502688171342</v>
      </c>
      <c r="F102" s="250">
        <v>12.159374999930151</v>
      </c>
      <c r="G102" s="250">
        <v>0</v>
      </c>
      <c r="H102" s="250">
        <v>0</v>
      </c>
      <c r="I102" s="250">
        <v>0</v>
      </c>
      <c r="J102" s="250"/>
      <c r="K102" s="250"/>
      <c r="L102" s="250"/>
      <c r="M102" s="250"/>
      <c r="N102" s="250"/>
      <c r="O102" s="250"/>
      <c r="P102" s="250"/>
      <c r="Q102" s="250"/>
      <c r="R102" s="250"/>
      <c r="S102" s="250"/>
      <c r="T102" s="250"/>
      <c r="U102" s="250"/>
      <c r="V102" s="250"/>
      <c r="W102" s="250"/>
      <c r="X102" s="250"/>
      <c r="Y102" s="250"/>
      <c r="Z102" s="250"/>
      <c r="AA102" s="250"/>
      <c r="AB102" s="250"/>
      <c r="AC102" s="250"/>
    </row>
    <row r="103" spans="1:29" ht="15.75" customHeight="1" x14ac:dyDescent="0.25">
      <c r="A103" s="97" t="s">
        <v>638</v>
      </c>
      <c r="B103" s="249">
        <v>46247</v>
      </c>
      <c r="C103" s="246">
        <v>0.5</v>
      </c>
      <c r="D103" s="246">
        <v>0.54166666666666663</v>
      </c>
      <c r="E103" s="250">
        <v>126.6875</v>
      </c>
      <c r="F103" s="250">
        <v>12.923246951191686</v>
      </c>
      <c r="G103" s="250">
        <v>0</v>
      </c>
      <c r="H103" s="250">
        <v>0</v>
      </c>
      <c r="I103" s="250">
        <v>0</v>
      </c>
      <c r="J103" s="250"/>
      <c r="K103" s="250"/>
      <c r="L103" s="250"/>
      <c r="M103" s="250"/>
      <c r="N103" s="250"/>
      <c r="O103" s="250"/>
      <c r="P103" s="250"/>
      <c r="Q103" s="250"/>
      <c r="R103" s="250"/>
      <c r="S103" s="250"/>
      <c r="T103" s="250"/>
      <c r="U103" s="250"/>
      <c r="V103" s="250"/>
      <c r="W103" s="250"/>
      <c r="X103" s="250"/>
      <c r="Y103" s="250"/>
      <c r="Z103" s="250"/>
      <c r="AA103" s="250"/>
      <c r="AB103" s="250"/>
      <c r="AC103" s="250"/>
    </row>
    <row r="104" spans="1:29" ht="15.75" customHeight="1" x14ac:dyDescent="0.25">
      <c r="A104" s="97" t="s">
        <v>639</v>
      </c>
      <c r="B104" s="249">
        <v>46247</v>
      </c>
      <c r="C104" s="246">
        <v>0.54166666666666663</v>
      </c>
      <c r="D104" s="246">
        <v>0.58333333333333337</v>
      </c>
      <c r="E104" s="250">
        <v>119.22916666651145</v>
      </c>
      <c r="F104" s="250">
        <v>9.2642530488083139</v>
      </c>
      <c r="G104" s="250">
        <v>0</v>
      </c>
      <c r="H104" s="250">
        <v>0</v>
      </c>
      <c r="I104" s="250">
        <v>1.611328125</v>
      </c>
      <c r="J104" s="250"/>
      <c r="K104" s="250"/>
      <c r="L104" s="250"/>
      <c r="M104" s="250"/>
      <c r="N104" s="250"/>
      <c r="O104" s="250"/>
      <c r="P104" s="250"/>
      <c r="Q104" s="250"/>
      <c r="R104" s="250"/>
      <c r="S104" s="250"/>
      <c r="T104" s="250"/>
      <c r="U104" s="250"/>
      <c r="V104" s="250"/>
      <c r="W104" s="250"/>
      <c r="X104" s="250"/>
      <c r="Y104" s="250"/>
      <c r="Z104" s="250"/>
      <c r="AA104" s="250"/>
      <c r="AB104" s="250"/>
      <c r="AC104" s="250"/>
    </row>
    <row r="105" spans="1:29" ht="15.75" customHeight="1" x14ac:dyDescent="0.25">
      <c r="A105" s="97" t="s">
        <v>640</v>
      </c>
      <c r="B105" s="249">
        <v>46247</v>
      </c>
      <c r="C105" s="246">
        <v>0.58333333333333337</v>
      </c>
      <c r="D105" s="246">
        <v>0.625</v>
      </c>
      <c r="E105" s="250">
        <v>126.64583333348855</v>
      </c>
      <c r="F105" s="250">
        <v>14.106250000069849</v>
      </c>
      <c r="G105" s="250">
        <v>0</v>
      </c>
      <c r="H105" s="250">
        <v>0</v>
      </c>
      <c r="I105" s="250">
        <v>0</v>
      </c>
      <c r="J105" s="250"/>
      <c r="K105" s="250"/>
      <c r="L105" s="250"/>
      <c r="M105" s="250"/>
      <c r="N105" s="250"/>
      <c r="O105" s="250"/>
      <c r="P105" s="250"/>
      <c r="Q105" s="250"/>
      <c r="R105" s="250"/>
      <c r="S105" s="250"/>
      <c r="T105" s="250"/>
      <c r="U105" s="250"/>
      <c r="V105" s="250"/>
      <c r="W105" s="250"/>
      <c r="X105" s="250"/>
      <c r="Y105" s="250"/>
      <c r="Z105" s="250"/>
      <c r="AA105" s="250"/>
      <c r="AB105" s="250"/>
      <c r="AC105" s="250"/>
    </row>
    <row r="106" spans="1:29" ht="15.75" customHeight="1" x14ac:dyDescent="0.25">
      <c r="A106" s="97" t="s">
        <v>641</v>
      </c>
      <c r="B106" s="249">
        <v>46247</v>
      </c>
      <c r="C106" s="246">
        <v>0.625</v>
      </c>
      <c r="D106" s="246">
        <v>0.66666666666666663</v>
      </c>
      <c r="E106" s="250">
        <v>123.40925141237676</v>
      </c>
      <c r="F106" s="250">
        <v>16.690624999930151</v>
      </c>
      <c r="G106" s="250">
        <v>0</v>
      </c>
      <c r="H106" s="250">
        <v>0</v>
      </c>
      <c r="I106" s="250">
        <v>0</v>
      </c>
      <c r="J106" s="250"/>
      <c r="K106" s="250"/>
      <c r="L106" s="250"/>
      <c r="M106" s="250"/>
      <c r="N106" s="250"/>
      <c r="O106" s="250"/>
      <c r="P106" s="250"/>
      <c r="Q106" s="250"/>
      <c r="R106" s="250"/>
      <c r="S106" s="250"/>
      <c r="T106" s="250"/>
      <c r="U106" s="250"/>
      <c r="V106" s="250"/>
      <c r="W106" s="250"/>
      <c r="X106" s="250"/>
      <c r="Y106" s="250"/>
      <c r="Z106" s="250"/>
      <c r="AA106" s="250"/>
      <c r="AB106" s="250"/>
      <c r="AC106" s="250"/>
    </row>
    <row r="107" spans="1:29" ht="15.75" customHeight="1" x14ac:dyDescent="0.25">
      <c r="A107" s="97" t="s">
        <v>642</v>
      </c>
      <c r="B107" s="249">
        <v>46247</v>
      </c>
      <c r="C107" s="246">
        <v>0.66666666666666663</v>
      </c>
      <c r="D107" s="246">
        <v>0.70833333333333337</v>
      </c>
      <c r="E107" s="250">
        <v>123.88241525413468</v>
      </c>
      <c r="F107" s="250">
        <v>8.1187500000232831</v>
      </c>
      <c r="G107" s="250">
        <v>0</v>
      </c>
      <c r="H107" s="250">
        <v>0</v>
      </c>
      <c r="I107" s="250">
        <v>5.72509765625</v>
      </c>
      <c r="J107" s="250"/>
      <c r="K107" s="250"/>
      <c r="L107" s="250"/>
      <c r="M107" s="250"/>
      <c r="N107" s="250"/>
      <c r="O107" s="250"/>
      <c r="P107" s="250"/>
      <c r="Q107" s="250"/>
      <c r="R107" s="250"/>
      <c r="S107" s="250"/>
      <c r="T107" s="250"/>
      <c r="U107" s="250"/>
      <c r="V107" s="250"/>
      <c r="W107" s="250"/>
      <c r="X107" s="250"/>
      <c r="Y107" s="250"/>
      <c r="Z107" s="250"/>
      <c r="AA107" s="250"/>
      <c r="AB107" s="250"/>
      <c r="AC107" s="250"/>
    </row>
    <row r="108" spans="1:29" ht="15.75" customHeight="1" x14ac:dyDescent="0.25">
      <c r="A108" s="97" t="s">
        <v>643</v>
      </c>
      <c r="B108" s="249">
        <v>46247</v>
      </c>
      <c r="C108" s="246">
        <v>0.70833333333333337</v>
      </c>
      <c r="D108" s="246">
        <v>0.75</v>
      </c>
      <c r="E108" s="250">
        <v>103.73749999981374</v>
      </c>
      <c r="F108" s="250">
        <v>0</v>
      </c>
      <c r="G108" s="250">
        <v>0</v>
      </c>
      <c r="H108" s="250">
        <v>0</v>
      </c>
      <c r="I108" s="250">
        <v>14.345097201723547</v>
      </c>
      <c r="J108" s="250"/>
      <c r="K108" s="250"/>
      <c r="L108" s="250"/>
      <c r="M108" s="250"/>
      <c r="N108" s="250"/>
      <c r="O108" s="250"/>
      <c r="P108" s="250"/>
      <c r="Q108" s="250"/>
      <c r="R108" s="250"/>
      <c r="S108" s="250"/>
      <c r="T108" s="250"/>
      <c r="U108" s="250"/>
      <c r="V108" s="250"/>
      <c r="W108" s="250"/>
      <c r="X108" s="250"/>
      <c r="Y108" s="250"/>
      <c r="Z108" s="250"/>
      <c r="AA108" s="250"/>
      <c r="AB108" s="250"/>
      <c r="AC108" s="250"/>
    </row>
    <row r="109" spans="1:29" ht="15.75" customHeight="1" x14ac:dyDescent="0.25">
      <c r="A109" s="97" t="s">
        <v>660</v>
      </c>
      <c r="B109" s="249">
        <v>46248</v>
      </c>
      <c r="C109" s="246">
        <v>0.41666666666666669</v>
      </c>
      <c r="D109" s="246">
        <v>0.45833333333333331</v>
      </c>
      <c r="E109" s="250">
        <v>125.23251366149634</v>
      </c>
      <c r="F109" s="250">
        <v>8.7093750000931323</v>
      </c>
      <c r="G109" s="250">
        <v>0</v>
      </c>
      <c r="H109" s="250">
        <v>0</v>
      </c>
      <c r="I109" s="250">
        <v>0</v>
      </c>
      <c r="J109" s="250"/>
      <c r="K109" s="250"/>
      <c r="L109" s="250"/>
      <c r="M109" s="250"/>
      <c r="N109" s="250"/>
      <c r="O109" s="250"/>
      <c r="P109" s="250"/>
      <c r="Q109" s="250"/>
      <c r="R109" s="250"/>
      <c r="S109" s="250"/>
      <c r="T109" s="250"/>
      <c r="U109" s="250"/>
      <c r="V109" s="250"/>
      <c r="W109" s="250"/>
      <c r="X109" s="250"/>
      <c r="Y109" s="250"/>
      <c r="Z109" s="250"/>
      <c r="AA109" s="250"/>
      <c r="AB109" s="250"/>
      <c r="AC109" s="250"/>
    </row>
    <row r="110" spans="1:29" ht="15.75" customHeight="1" x14ac:dyDescent="0.25">
      <c r="A110" s="97" t="s">
        <v>661</v>
      </c>
      <c r="B110" s="249">
        <v>46248</v>
      </c>
      <c r="C110" s="246">
        <v>0.45833333333333331</v>
      </c>
      <c r="D110" s="246">
        <v>0.5</v>
      </c>
      <c r="E110" s="250">
        <v>129.58831967227161</v>
      </c>
      <c r="F110" s="250">
        <v>9.5812500000465661</v>
      </c>
      <c r="G110" s="250">
        <v>0</v>
      </c>
      <c r="H110" s="250">
        <v>0</v>
      </c>
      <c r="I110" s="250">
        <v>1.595703125</v>
      </c>
      <c r="J110" s="250"/>
      <c r="K110" s="250"/>
      <c r="L110" s="250"/>
      <c r="M110" s="250"/>
      <c r="N110" s="250"/>
      <c r="O110" s="250"/>
      <c r="P110" s="250"/>
      <c r="Q110" s="250"/>
      <c r="R110" s="250"/>
      <c r="S110" s="250"/>
      <c r="T110" s="250"/>
      <c r="U110" s="250"/>
      <c r="V110" s="250"/>
      <c r="W110" s="250"/>
      <c r="X110" s="250"/>
      <c r="Y110" s="250"/>
      <c r="Z110" s="250"/>
      <c r="AA110" s="250"/>
      <c r="AB110" s="250"/>
      <c r="AC110" s="250"/>
    </row>
    <row r="111" spans="1:29" ht="15.75" customHeight="1" x14ac:dyDescent="0.25">
      <c r="A111" s="97" t="s">
        <v>662</v>
      </c>
      <c r="B111" s="249">
        <v>46248</v>
      </c>
      <c r="C111" s="246">
        <v>0.5</v>
      </c>
      <c r="D111" s="246">
        <v>0.54166666666666663</v>
      </c>
      <c r="E111" s="250">
        <v>116.26666666660458</v>
      </c>
      <c r="F111" s="250">
        <v>10.787499999860302</v>
      </c>
      <c r="G111" s="250">
        <v>0</v>
      </c>
      <c r="H111" s="250">
        <v>0</v>
      </c>
      <c r="I111" s="250">
        <v>0</v>
      </c>
      <c r="J111" s="250"/>
      <c r="K111" s="250"/>
      <c r="L111" s="250"/>
      <c r="M111" s="250"/>
      <c r="N111" s="250"/>
      <c r="O111" s="250"/>
      <c r="P111" s="250"/>
      <c r="Q111" s="250"/>
      <c r="R111" s="250"/>
      <c r="S111" s="250"/>
      <c r="T111" s="250"/>
      <c r="U111" s="250"/>
      <c r="V111" s="250"/>
      <c r="W111" s="250"/>
      <c r="X111" s="250"/>
      <c r="Y111" s="250"/>
      <c r="Z111" s="250"/>
      <c r="AA111" s="250"/>
      <c r="AB111" s="250"/>
      <c r="AC111" s="250"/>
    </row>
    <row r="112" spans="1:29" ht="15.75" customHeight="1" x14ac:dyDescent="0.25">
      <c r="A112" s="97" t="s">
        <v>663</v>
      </c>
      <c r="B112" s="249">
        <v>46248</v>
      </c>
      <c r="C112" s="246">
        <v>0.54166666666666663</v>
      </c>
      <c r="D112" s="246">
        <v>0.58333333333333337</v>
      </c>
      <c r="E112" s="250">
        <v>113.12042349716648</v>
      </c>
      <c r="F112" s="250">
        <v>12.184756097616628</v>
      </c>
      <c r="G112" s="250">
        <v>0</v>
      </c>
      <c r="H112" s="250">
        <v>0</v>
      </c>
      <c r="I112" s="250">
        <v>0</v>
      </c>
      <c r="J112" s="250"/>
      <c r="K112" s="250"/>
      <c r="L112" s="250"/>
      <c r="M112" s="250"/>
      <c r="N112" s="250"/>
      <c r="O112" s="250"/>
      <c r="P112" s="250"/>
      <c r="Q112" s="250"/>
      <c r="R112" s="250"/>
      <c r="S112" s="250"/>
      <c r="T112" s="250"/>
      <c r="U112" s="250"/>
      <c r="V112" s="250"/>
      <c r="W112" s="250"/>
      <c r="X112" s="250"/>
      <c r="Y112" s="250"/>
      <c r="Z112" s="250"/>
      <c r="AA112" s="250"/>
      <c r="AB112" s="250"/>
      <c r="AC112" s="250"/>
    </row>
    <row r="113" spans="1:29" ht="15.75" customHeight="1" x14ac:dyDescent="0.25">
      <c r="A113" s="97" t="s">
        <v>664</v>
      </c>
      <c r="B113" s="249">
        <v>46248</v>
      </c>
      <c r="C113" s="246">
        <v>0.58333333333333337</v>
      </c>
      <c r="D113" s="246">
        <v>0.625</v>
      </c>
      <c r="E113" s="250">
        <v>120.27459016395733</v>
      </c>
      <c r="F113" s="250">
        <v>19.882621951284818</v>
      </c>
      <c r="G113" s="250">
        <v>0</v>
      </c>
      <c r="H113" s="250">
        <v>0</v>
      </c>
      <c r="I113" s="250">
        <v>0</v>
      </c>
      <c r="J113" s="250"/>
      <c r="K113" s="250"/>
      <c r="L113" s="250"/>
      <c r="M113" s="250"/>
      <c r="N113" s="250"/>
      <c r="O113" s="250"/>
      <c r="P113" s="250"/>
      <c r="Q113" s="250"/>
      <c r="R113" s="250"/>
      <c r="S113" s="250"/>
      <c r="T113" s="250"/>
      <c r="U113" s="250"/>
      <c r="V113" s="250"/>
      <c r="W113" s="250"/>
      <c r="X113" s="250"/>
      <c r="Y113" s="250"/>
      <c r="Z113" s="250"/>
      <c r="AA113" s="250"/>
      <c r="AB113" s="250"/>
      <c r="AC113" s="250"/>
    </row>
    <row r="114" spans="1:29" ht="15.75" customHeight="1" x14ac:dyDescent="0.25">
      <c r="A114" s="97" t="s">
        <v>665</v>
      </c>
      <c r="B114" s="249">
        <v>46248</v>
      </c>
      <c r="C114" s="246">
        <v>0.625</v>
      </c>
      <c r="D114" s="246">
        <v>0.66666666666666663</v>
      </c>
      <c r="E114" s="250">
        <v>124.10081967199221</v>
      </c>
      <c r="F114" s="250">
        <v>18.695121951168403</v>
      </c>
      <c r="G114" s="250">
        <v>0</v>
      </c>
      <c r="H114" s="250">
        <v>0</v>
      </c>
      <c r="I114" s="250">
        <v>0</v>
      </c>
      <c r="J114" s="250"/>
      <c r="K114" s="250"/>
      <c r="L114" s="250"/>
      <c r="M114" s="250"/>
      <c r="N114" s="250"/>
      <c r="O114" s="250"/>
      <c r="P114" s="250"/>
      <c r="Q114" s="250"/>
      <c r="R114" s="250"/>
      <c r="S114" s="250"/>
      <c r="T114" s="250"/>
      <c r="U114" s="250"/>
      <c r="V114" s="250"/>
      <c r="W114" s="250"/>
      <c r="X114" s="250"/>
      <c r="Y114" s="250"/>
      <c r="Z114" s="250"/>
      <c r="AA114" s="250"/>
      <c r="AB114" s="250"/>
      <c r="AC114" s="250"/>
    </row>
    <row r="115" spans="1:29" ht="15.75" customHeight="1" x14ac:dyDescent="0.25">
      <c r="A115" s="97" t="s">
        <v>666</v>
      </c>
      <c r="B115" s="249">
        <v>46248</v>
      </c>
      <c r="C115" s="246">
        <v>0.66666666666666663</v>
      </c>
      <c r="D115" s="246">
        <v>0.70833333333333337</v>
      </c>
      <c r="E115" s="250">
        <v>114.49166666669771</v>
      </c>
      <c r="F115" s="250">
        <v>19.668749999953434</v>
      </c>
      <c r="G115" s="250">
        <v>0</v>
      </c>
      <c r="H115" s="250">
        <v>0</v>
      </c>
      <c r="I115" s="250">
        <v>0</v>
      </c>
      <c r="J115" s="250"/>
      <c r="K115" s="250"/>
      <c r="L115" s="250"/>
      <c r="M115" s="250"/>
      <c r="N115" s="250"/>
      <c r="O115" s="250"/>
      <c r="P115" s="250"/>
      <c r="Q115" s="250"/>
      <c r="R115" s="250"/>
      <c r="S115" s="250"/>
      <c r="T115" s="250"/>
      <c r="U115" s="250"/>
      <c r="V115" s="250"/>
      <c r="W115" s="250"/>
      <c r="X115" s="250"/>
      <c r="Y115" s="250"/>
      <c r="Z115" s="250"/>
      <c r="AA115" s="250"/>
      <c r="AB115" s="250"/>
      <c r="AC115" s="250"/>
    </row>
    <row r="116" spans="1:29" ht="15.75" customHeight="1" x14ac:dyDescent="0.25">
      <c r="A116" s="97" t="s">
        <v>667</v>
      </c>
      <c r="B116" s="249">
        <v>46248</v>
      </c>
      <c r="C116" s="246">
        <v>0.70833333333333337</v>
      </c>
      <c r="D116" s="246">
        <v>0.75</v>
      </c>
      <c r="E116" s="250">
        <v>104.70259562833235</v>
      </c>
      <c r="F116" s="250">
        <v>17.651562500046566</v>
      </c>
      <c r="G116" s="250">
        <v>0</v>
      </c>
      <c r="H116" s="250">
        <v>0</v>
      </c>
      <c r="I116" s="250">
        <v>0</v>
      </c>
      <c r="J116" s="250"/>
      <c r="K116" s="250"/>
      <c r="L116" s="250"/>
      <c r="M116" s="250"/>
      <c r="N116" s="250"/>
      <c r="O116" s="250"/>
      <c r="P116" s="250"/>
      <c r="Q116" s="250"/>
      <c r="R116" s="250"/>
      <c r="S116" s="250"/>
      <c r="T116" s="250"/>
      <c r="U116" s="250"/>
      <c r="V116" s="250"/>
      <c r="W116" s="250"/>
      <c r="X116" s="250"/>
      <c r="Y116" s="250"/>
      <c r="Z116" s="250"/>
      <c r="AA116" s="250"/>
      <c r="AB116" s="250"/>
      <c r="AC116" s="250"/>
    </row>
    <row r="117" spans="1:29" ht="15.75" customHeight="1" x14ac:dyDescent="0.25">
      <c r="A117" s="97" t="s">
        <v>684</v>
      </c>
      <c r="B117" s="249">
        <v>46249</v>
      </c>
      <c r="C117" s="246">
        <v>0.41666666666666669</v>
      </c>
      <c r="D117" s="246">
        <v>0.45833333333333331</v>
      </c>
      <c r="E117" s="250">
        <v>41.199180327821523</v>
      </c>
      <c r="F117" s="250">
        <v>2.9781631098594517</v>
      </c>
      <c r="G117" s="250">
        <v>0</v>
      </c>
      <c r="H117" s="250">
        <v>0</v>
      </c>
      <c r="I117" s="250">
        <v>0</v>
      </c>
      <c r="J117" s="250"/>
      <c r="K117" s="250"/>
      <c r="L117" s="250"/>
      <c r="M117" s="250"/>
      <c r="N117" s="250"/>
      <c r="O117" s="250"/>
      <c r="P117" s="250"/>
      <c r="Q117" s="250"/>
      <c r="R117" s="250"/>
      <c r="S117" s="250"/>
      <c r="T117" s="250"/>
      <c r="U117" s="250"/>
      <c r="V117" s="250"/>
      <c r="W117" s="250"/>
      <c r="X117" s="250"/>
      <c r="Y117" s="250"/>
      <c r="Z117" s="250"/>
      <c r="AA117" s="250"/>
      <c r="AB117" s="250"/>
      <c r="AC117" s="250"/>
    </row>
    <row r="118" spans="1:29" ht="15.75" customHeight="1" x14ac:dyDescent="0.25">
      <c r="A118" s="97" t="s">
        <v>685</v>
      </c>
      <c r="B118" s="249">
        <v>46249</v>
      </c>
      <c r="C118" s="246">
        <v>0.45833333333333331</v>
      </c>
      <c r="D118" s="246">
        <v>0.5</v>
      </c>
      <c r="E118" s="250">
        <v>42.18831967189908</v>
      </c>
      <c r="F118" s="250">
        <v>3.2703124999534339</v>
      </c>
      <c r="G118" s="250">
        <v>0</v>
      </c>
      <c r="H118" s="250">
        <v>0</v>
      </c>
      <c r="I118" s="250">
        <v>0</v>
      </c>
      <c r="J118" s="250"/>
      <c r="K118" s="250"/>
      <c r="L118" s="250"/>
      <c r="M118" s="250"/>
      <c r="N118" s="250"/>
      <c r="O118" s="250"/>
      <c r="P118" s="250"/>
      <c r="Q118" s="250"/>
      <c r="R118" s="250"/>
      <c r="S118" s="250"/>
      <c r="T118" s="250"/>
      <c r="U118" s="250"/>
      <c r="V118" s="250"/>
      <c r="W118" s="250"/>
      <c r="X118" s="250"/>
      <c r="Y118" s="250"/>
      <c r="Z118" s="250"/>
      <c r="AA118" s="250"/>
      <c r="AB118" s="250"/>
      <c r="AC118" s="250"/>
    </row>
    <row r="119" spans="1:29" ht="15.75" customHeight="1" x14ac:dyDescent="0.25">
      <c r="A119" s="97" t="s">
        <v>686</v>
      </c>
      <c r="B119" s="249">
        <v>46249</v>
      </c>
      <c r="C119" s="246">
        <v>0.5</v>
      </c>
      <c r="D119" s="246">
        <v>0.54166666666666663</v>
      </c>
      <c r="E119" s="250">
        <v>44.537500000093132</v>
      </c>
      <c r="F119" s="250">
        <v>3.375</v>
      </c>
      <c r="G119" s="250">
        <v>0</v>
      </c>
      <c r="H119" s="250">
        <v>0</v>
      </c>
      <c r="I119" s="250">
        <v>0</v>
      </c>
      <c r="J119" s="250"/>
      <c r="K119" s="250"/>
      <c r="L119" s="250"/>
      <c r="M119" s="250"/>
      <c r="N119" s="250"/>
      <c r="O119" s="250"/>
      <c r="P119" s="250"/>
      <c r="Q119" s="250"/>
      <c r="R119" s="250"/>
      <c r="S119" s="250"/>
      <c r="T119" s="250"/>
      <c r="U119" s="250"/>
      <c r="V119" s="250"/>
      <c r="W119" s="250"/>
      <c r="X119" s="250"/>
      <c r="Y119" s="250"/>
      <c r="Z119" s="250"/>
      <c r="AA119" s="250"/>
      <c r="AB119" s="250"/>
      <c r="AC119" s="250"/>
    </row>
    <row r="120" spans="1:29" ht="15.75" customHeight="1" x14ac:dyDescent="0.25">
      <c r="A120" s="97" t="s">
        <v>687</v>
      </c>
      <c r="B120" s="249">
        <v>46249</v>
      </c>
      <c r="C120" s="246">
        <v>0.54166666666666663</v>
      </c>
      <c r="D120" s="246">
        <v>0.58333333333333337</v>
      </c>
      <c r="E120" s="250">
        <v>38.541666666977108</v>
      </c>
      <c r="F120" s="250">
        <v>3.3546875000465661</v>
      </c>
      <c r="G120" s="250">
        <v>0</v>
      </c>
      <c r="H120" s="250">
        <v>0</v>
      </c>
      <c r="I120" s="250">
        <v>0</v>
      </c>
      <c r="J120" s="250"/>
      <c r="K120" s="250"/>
      <c r="L120" s="250"/>
      <c r="M120" s="250"/>
      <c r="N120" s="250"/>
      <c r="O120" s="250"/>
      <c r="P120" s="250"/>
      <c r="Q120" s="250"/>
      <c r="R120" s="250"/>
      <c r="S120" s="250"/>
      <c r="T120" s="250"/>
      <c r="U120" s="250"/>
      <c r="V120" s="250"/>
      <c r="W120" s="250"/>
      <c r="X120" s="250"/>
      <c r="Y120" s="250"/>
      <c r="Z120" s="250"/>
      <c r="AA120" s="250"/>
      <c r="AB120" s="250"/>
      <c r="AC120" s="250"/>
    </row>
    <row r="121" spans="1:29" ht="15.75" customHeight="1" x14ac:dyDescent="0.25">
      <c r="A121" s="97" t="s">
        <v>688</v>
      </c>
      <c r="B121" s="249">
        <v>46249</v>
      </c>
      <c r="C121" s="246">
        <v>0.58333333333333337</v>
      </c>
      <c r="D121" s="246">
        <v>0.625</v>
      </c>
      <c r="E121" s="250">
        <v>37.208333333022892</v>
      </c>
      <c r="F121" s="250">
        <v>3.8546874999301508</v>
      </c>
      <c r="G121" s="250">
        <v>0</v>
      </c>
      <c r="H121" s="250">
        <v>0</v>
      </c>
      <c r="I121" s="250">
        <v>0</v>
      </c>
      <c r="J121" s="250"/>
      <c r="K121" s="250"/>
      <c r="L121" s="250"/>
      <c r="M121" s="250"/>
      <c r="N121" s="250"/>
      <c r="O121" s="250"/>
      <c r="P121" s="250"/>
      <c r="Q121" s="250"/>
      <c r="R121" s="250"/>
      <c r="S121" s="250"/>
      <c r="T121" s="250"/>
      <c r="U121" s="250"/>
      <c r="V121" s="250"/>
      <c r="W121" s="250"/>
      <c r="X121" s="250"/>
      <c r="Y121" s="250"/>
      <c r="Z121" s="250"/>
      <c r="AA121" s="250"/>
      <c r="AB121" s="250"/>
      <c r="AC121" s="250"/>
    </row>
    <row r="122" spans="1:29" ht="15.75" customHeight="1" x14ac:dyDescent="0.25">
      <c r="A122" s="97" t="s">
        <v>689</v>
      </c>
      <c r="B122" s="249">
        <v>46249</v>
      </c>
      <c r="C122" s="246">
        <v>0.625</v>
      </c>
      <c r="D122" s="246">
        <v>0.66666666666666663</v>
      </c>
      <c r="E122" s="250">
        <v>38.587499999906868</v>
      </c>
      <c r="F122" s="250">
        <v>3.8546493902103975</v>
      </c>
      <c r="G122" s="250">
        <v>0</v>
      </c>
      <c r="H122" s="250">
        <v>0</v>
      </c>
      <c r="I122" s="250">
        <v>0</v>
      </c>
      <c r="J122" s="250"/>
      <c r="K122" s="250"/>
      <c r="L122" s="250"/>
      <c r="M122" s="250"/>
      <c r="N122" s="250"/>
      <c r="O122" s="250"/>
      <c r="P122" s="250"/>
      <c r="Q122" s="250"/>
      <c r="R122" s="250"/>
      <c r="S122" s="250"/>
      <c r="T122" s="250"/>
      <c r="U122" s="250"/>
      <c r="V122" s="250"/>
      <c r="W122" s="250"/>
      <c r="X122" s="250"/>
      <c r="Y122" s="250"/>
      <c r="Z122" s="250"/>
      <c r="AA122" s="250"/>
      <c r="AB122" s="250"/>
      <c r="AC122" s="250"/>
    </row>
    <row r="123" spans="1:29" ht="15.75" customHeight="1" x14ac:dyDescent="0.25">
      <c r="A123" s="97" t="s">
        <v>690</v>
      </c>
      <c r="B123" s="249">
        <v>46249</v>
      </c>
      <c r="C123" s="246">
        <v>0.66666666666666663</v>
      </c>
      <c r="D123" s="246">
        <v>0.70833333333333337</v>
      </c>
      <c r="E123" s="250">
        <v>40.595833333674818</v>
      </c>
      <c r="F123" s="250">
        <v>3.6661585366819054</v>
      </c>
      <c r="G123" s="250">
        <v>0</v>
      </c>
      <c r="H123" s="250">
        <v>0</v>
      </c>
      <c r="I123" s="250">
        <v>0</v>
      </c>
      <c r="J123" s="250"/>
      <c r="K123" s="250"/>
      <c r="L123" s="250"/>
      <c r="M123" s="250"/>
      <c r="N123" s="250"/>
      <c r="O123" s="250"/>
      <c r="P123" s="250"/>
      <c r="Q123" s="250"/>
      <c r="R123" s="250"/>
      <c r="S123" s="250"/>
      <c r="T123" s="250"/>
      <c r="U123" s="250"/>
      <c r="V123" s="250"/>
      <c r="W123" s="250"/>
      <c r="X123" s="250"/>
      <c r="Y123" s="250"/>
      <c r="Z123" s="250"/>
      <c r="AA123" s="250"/>
      <c r="AB123" s="250"/>
      <c r="AC123" s="250"/>
    </row>
    <row r="124" spans="1:29" ht="15.75" customHeight="1" x14ac:dyDescent="0.25">
      <c r="A124" s="97" t="s">
        <v>691</v>
      </c>
      <c r="B124" s="249">
        <v>46249</v>
      </c>
      <c r="C124" s="246">
        <v>0.70833333333333337</v>
      </c>
      <c r="D124" s="246">
        <v>0.75</v>
      </c>
      <c r="E124" s="250">
        <v>42.713797814212739</v>
      </c>
      <c r="F124" s="250">
        <v>3.2698170731309801</v>
      </c>
      <c r="G124" s="250">
        <v>0</v>
      </c>
      <c r="H124" s="250">
        <v>0</v>
      </c>
      <c r="I124" s="250">
        <v>0</v>
      </c>
      <c r="J124" s="250"/>
      <c r="K124" s="250"/>
      <c r="L124" s="250"/>
      <c r="M124" s="250"/>
      <c r="N124" s="250"/>
      <c r="O124" s="250"/>
      <c r="P124" s="250"/>
      <c r="Q124" s="250"/>
      <c r="R124" s="250"/>
      <c r="S124" s="250"/>
      <c r="T124" s="250"/>
      <c r="U124" s="250"/>
      <c r="V124" s="250"/>
      <c r="W124" s="250"/>
      <c r="X124" s="250"/>
      <c r="Y124" s="250"/>
      <c r="Z124" s="250"/>
      <c r="AA124" s="250"/>
      <c r="AB124" s="250"/>
      <c r="AC124" s="250"/>
    </row>
    <row r="125" spans="1:29" ht="15.75" customHeight="1" x14ac:dyDescent="0.25">
      <c r="A125" s="97" t="s">
        <v>708</v>
      </c>
      <c r="B125" s="249">
        <v>46250</v>
      </c>
      <c r="C125" s="246">
        <v>0.41666666666666669</v>
      </c>
      <c r="D125" s="246">
        <v>0.45833333333333331</v>
      </c>
      <c r="E125" s="250">
        <v>34.950000000186265</v>
      </c>
      <c r="F125" s="250">
        <v>8.0109375000465661</v>
      </c>
      <c r="G125" s="250">
        <v>0</v>
      </c>
      <c r="H125" s="250">
        <v>0</v>
      </c>
      <c r="I125" s="250">
        <v>0</v>
      </c>
      <c r="J125" s="250"/>
      <c r="K125" s="250"/>
      <c r="L125" s="250"/>
      <c r="M125" s="250"/>
      <c r="N125" s="250"/>
      <c r="O125" s="250"/>
      <c r="P125" s="250"/>
      <c r="Q125" s="250"/>
      <c r="R125" s="250"/>
      <c r="S125" s="250"/>
      <c r="T125" s="250"/>
      <c r="U125" s="250"/>
      <c r="V125" s="250"/>
      <c r="W125" s="250"/>
      <c r="X125" s="250"/>
      <c r="Y125" s="250"/>
      <c r="Z125" s="250"/>
      <c r="AA125" s="250"/>
      <c r="AB125" s="250"/>
      <c r="AC125" s="250"/>
    </row>
    <row r="126" spans="1:29" ht="15.75" customHeight="1" x14ac:dyDescent="0.25">
      <c r="A126" s="97" t="s">
        <v>709</v>
      </c>
      <c r="B126" s="249">
        <v>46250</v>
      </c>
      <c r="C126" s="246">
        <v>0.45833333333333331</v>
      </c>
      <c r="D126" s="246">
        <v>0.5</v>
      </c>
      <c r="E126" s="250">
        <v>34.708333333488554</v>
      </c>
      <c r="F126" s="250">
        <v>7.4968749999534339</v>
      </c>
      <c r="G126" s="250">
        <v>0</v>
      </c>
      <c r="H126" s="250">
        <v>0</v>
      </c>
      <c r="I126" s="250">
        <v>1.6328613281257276</v>
      </c>
      <c r="J126" s="250"/>
      <c r="K126" s="250"/>
      <c r="L126" s="250"/>
      <c r="M126" s="250"/>
      <c r="N126" s="250"/>
      <c r="O126" s="250"/>
      <c r="P126" s="250"/>
      <c r="Q126" s="250"/>
      <c r="R126" s="250"/>
      <c r="S126" s="250"/>
      <c r="T126" s="250"/>
      <c r="U126" s="250"/>
      <c r="V126" s="250"/>
      <c r="W126" s="250"/>
      <c r="X126" s="250"/>
      <c r="Y126" s="250"/>
      <c r="Z126" s="250"/>
      <c r="AA126" s="250"/>
      <c r="AB126" s="250"/>
      <c r="AC126" s="250"/>
    </row>
    <row r="127" spans="1:29" ht="15.75" customHeight="1" x14ac:dyDescent="0.25">
      <c r="A127" s="97" t="s">
        <v>710</v>
      </c>
      <c r="B127" s="249">
        <v>46250</v>
      </c>
      <c r="C127" s="246">
        <v>0.5</v>
      </c>
      <c r="D127" s="246">
        <v>0.54166666666666663</v>
      </c>
      <c r="E127" s="250">
        <v>33.929166666697711</v>
      </c>
      <c r="F127" s="250">
        <v>0</v>
      </c>
      <c r="G127" s="250">
        <v>0</v>
      </c>
      <c r="H127" s="250">
        <v>0</v>
      </c>
      <c r="I127" s="250">
        <v>5.778076171875</v>
      </c>
      <c r="J127" s="250"/>
      <c r="K127" s="250"/>
      <c r="L127" s="250"/>
      <c r="M127" s="250"/>
      <c r="N127" s="250"/>
      <c r="O127" s="250"/>
      <c r="P127" s="250"/>
      <c r="Q127" s="250"/>
      <c r="R127" s="250"/>
      <c r="S127" s="250"/>
      <c r="T127" s="250"/>
      <c r="U127" s="250"/>
      <c r="V127" s="250"/>
      <c r="W127" s="250"/>
      <c r="X127" s="250"/>
      <c r="Y127" s="250"/>
      <c r="Z127" s="250"/>
      <c r="AA127" s="250"/>
      <c r="AB127" s="250"/>
      <c r="AC127" s="250"/>
    </row>
    <row r="128" spans="1:29" ht="15.75" customHeight="1" x14ac:dyDescent="0.25">
      <c r="A128" s="97" t="s">
        <v>711</v>
      </c>
      <c r="B128" s="249">
        <v>46250</v>
      </c>
      <c r="C128" s="246">
        <v>0.54166666666666663</v>
      </c>
      <c r="D128" s="246">
        <v>0.58333333333333337</v>
      </c>
      <c r="E128" s="250">
        <v>38.449999999720603</v>
      </c>
      <c r="F128" s="250">
        <v>0</v>
      </c>
      <c r="G128" s="250">
        <v>0</v>
      </c>
      <c r="H128" s="250">
        <v>0</v>
      </c>
      <c r="I128" s="250">
        <v>7.5910156249992724</v>
      </c>
      <c r="J128" s="250"/>
      <c r="K128" s="250"/>
      <c r="L128" s="250"/>
      <c r="M128" s="250"/>
      <c r="N128" s="250"/>
      <c r="O128" s="250"/>
      <c r="P128" s="250"/>
      <c r="Q128" s="250"/>
      <c r="R128" s="250"/>
      <c r="S128" s="250"/>
      <c r="T128" s="250"/>
      <c r="U128" s="250"/>
      <c r="V128" s="250"/>
      <c r="W128" s="250"/>
      <c r="X128" s="250"/>
      <c r="Y128" s="250"/>
      <c r="Z128" s="250"/>
      <c r="AA128" s="250"/>
      <c r="AB128" s="250"/>
      <c r="AC128" s="250"/>
    </row>
    <row r="129" spans="1:29" ht="15.75" customHeight="1" x14ac:dyDescent="0.25">
      <c r="A129" s="97" t="s">
        <v>712</v>
      </c>
      <c r="B129" s="249">
        <v>46250</v>
      </c>
      <c r="C129" s="246">
        <v>0.58333333333333337</v>
      </c>
      <c r="D129" s="246">
        <v>0.625</v>
      </c>
      <c r="E129" s="250">
        <v>40.6875</v>
      </c>
      <c r="F129" s="250">
        <v>0</v>
      </c>
      <c r="G129" s="250">
        <v>0</v>
      </c>
      <c r="H129" s="250">
        <v>0</v>
      </c>
      <c r="I129" s="250">
        <v>3.8611328125007276</v>
      </c>
      <c r="J129" s="250"/>
      <c r="K129" s="250"/>
      <c r="L129" s="250"/>
      <c r="M129" s="250"/>
      <c r="N129" s="250"/>
      <c r="O129" s="250"/>
      <c r="P129" s="250"/>
      <c r="Q129" s="250"/>
      <c r="R129" s="250"/>
      <c r="S129" s="250"/>
      <c r="T129" s="250"/>
      <c r="U129" s="250"/>
      <c r="V129" s="250"/>
      <c r="W129" s="250"/>
      <c r="X129" s="250"/>
      <c r="Y129" s="250"/>
      <c r="Z129" s="250"/>
      <c r="AA129" s="250"/>
      <c r="AB129" s="250"/>
      <c r="AC129" s="250"/>
    </row>
    <row r="130" spans="1:29" ht="15.75" customHeight="1" x14ac:dyDescent="0.25">
      <c r="A130" s="97" t="s">
        <v>713</v>
      </c>
      <c r="B130" s="249">
        <v>46250</v>
      </c>
      <c r="C130" s="246">
        <v>0.625</v>
      </c>
      <c r="D130" s="246">
        <v>0.66666666666666663</v>
      </c>
      <c r="E130" s="250">
        <v>43.942213114816695</v>
      </c>
      <c r="F130" s="250">
        <v>0</v>
      </c>
      <c r="G130" s="250">
        <v>0</v>
      </c>
      <c r="H130" s="250">
        <v>0</v>
      </c>
      <c r="I130" s="250">
        <v>4.5855468749978172</v>
      </c>
      <c r="J130" s="250"/>
      <c r="K130" s="250"/>
      <c r="L130" s="250"/>
      <c r="M130" s="250"/>
      <c r="N130" s="250"/>
      <c r="O130" s="250"/>
      <c r="P130" s="250"/>
      <c r="Q130" s="250"/>
      <c r="R130" s="250"/>
      <c r="S130" s="250"/>
      <c r="T130" s="250"/>
      <c r="U130" s="250"/>
      <c r="V130" s="250"/>
      <c r="W130" s="250"/>
      <c r="X130" s="250"/>
      <c r="Y130" s="250"/>
      <c r="Z130" s="250"/>
      <c r="AA130" s="250"/>
      <c r="AB130" s="250"/>
      <c r="AC130" s="250"/>
    </row>
    <row r="131" spans="1:29" ht="15.75" customHeight="1" x14ac:dyDescent="0.25">
      <c r="A131" s="97" t="s">
        <v>714</v>
      </c>
      <c r="B131" s="249">
        <v>46250</v>
      </c>
      <c r="C131" s="246">
        <v>0.66666666666666663</v>
      </c>
      <c r="D131" s="246">
        <v>0.70833333333333337</v>
      </c>
      <c r="E131" s="250">
        <v>44.349453552160412</v>
      </c>
      <c r="F131" s="250">
        <v>0.75</v>
      </c>
      <c r="G131" s="250">
        <v>0</v>
      </c>
      <c r="H131" s="250">
        <v>0</v>
      </c>
      <c r="I131" s="250">
        <v>5.0552734375014552</v>
      </c>
      <c r="J131" s="250"/>
      <c r="K131" s="250"/>
      <c r="L131" s="250"/>
      <c r="M131" s="250"/>
      <c r="N131" s="250"/>
      <c r="O131" s="250"/>
      <c r="P131" s="250"/>
      <c r="Q131" s="250"/>
      <c r="R131" s="250"/>
      <c r="S131" s="250"/>
      <c r="T131" s="250"/>
      <c r="U131" s="250"/>
      <c r="V131" s="250"/>
      <c r="W131" s="250"/>
      <c r="X131" s="250"/>
      <c r="Y131" s="250"/>
      <c r="Z131" s="250"/>
      <c r="AA131" s="250"/>
      <c r="AB131" s="250"/>
      <c r="AC131" s="250"/>
    </row>
    <row r="132" spans="1:29" ht="15.75" customHeight="1" x14ac:dyDescent="0.25">
      <c r="A132" s="97" t="s">
        <v>715</v>
      </c>
      <c r="B132" s="249">
        <v>46250</v>
      </c>
      <c r="C132" s="246">
        <v>0.70833333333333337</v>
      </c>
      <c r="D132" s="246">
        <v>0.75</v>
      </c>
      <c r="E132" s="250">
        <v>44.808333333116025</v>
      </c>
      <c r="F132" s="250">
        <v>10.125</v>
      </c>
      <c r="G132" s="250">
        <v>0</v>
      </c>
      <c r="H132" s="250">
        <v>0</v>
      </c>
      <c r="I132" s="250">
        <v>0.17031249999854481</v>
      </c>
      <c r="J132" s="250"/>
      <c r="K132" s="250"/>
      <c r="L132" s="250"/>
      <c r="M132" s="250"/>
      <c r="N132" s="250"/>
      <c r="O132" s="250"/>
      <c r="P132" s="250"/>
      <c r="Q132" s="250"/>
      <c r="R132" s="250"/>
      <c r="S132" s="250"/>
      <c r="T132" s="250"/>
      <c r="U132" s="250"/>
      <c r="V132" s="250"/>
      <c r="W132" s="250"/>
      <c r="X132" s="250"/>
      <c r="Y132" s="250"/>
      <c r="Z132" s="250"/>
      <c r="AA132" s="250"/>
      <c r="AB132" s="250"/>
      <c r="AC132" s="250"/>
    </row>
    <row r="133" spans="1:29" ht="15.75" customHeight="1" x14ac:dyDescent="0.25">
      <c r="A133" s="97" t="s">
        <v>732</v>
      </c>
      <c r="B133" s="249">
        <v>46251</v>
      </c>
      <c r="C133" s="246">
        <v>0.41666666666666669</v>
      </c>
      <c r="D133" s="246">
        <v>0.45833333333333331</v>
      </c>
      <c r="E133" s="250">
        <v>117.66250000009313</v>
      </c>
      <c r="F133" s="250">
        <v>23.66225961537566</v>
      </c>
      <c r="G133" s="250">
        <v>0</v>
      </c>
      <c r="H133" s="250">
        <v>0</v>
      </c>
      <c r="I133" s="250">
        <v>0</v>
      </c>
      <c r="J133" s="250"/>
      <c r="K133" s="250"/>
      <c r="L133" s="250"/>
      <c r="M133" s="250"/>
      <c r="N133" s="250"/>
      <c r="O133" s="250"/>
      <c r="P133" s="250"/>
      <c r="Q133" s="250"/>
      <c r="R133" s="250"/>
      <c r="S133" s="250"/>
      <c r="T133" s="250"/>
      <c r="U133" s="250"/>
      <c r="V133" s="250"/>
      <c r="W133" s="250"/>
      <c r="X133" s="250"/>
      <c r="Y133" s="250"/>
      <c r="Z133" s="250"/>
      <c r="AA133" s="250"/>
      <c r="AB133" s="250"/>
      <c r="AC133" s="250"/>
    </row>
    <row r="134" spans="1:29" ht="15.75" customHeight="1" x14ac:dyDescent="0.25">
      <c r="A134" s="97" t="s">
        <v>733</v>
      </c>
      <c r="B134" s="249">
        <v>46251</v>
      </c>
      <c r="C134" s="246">
        <v>0.45833333333333331</v>
      </c>
      <c r="D134" s="246">
        <v>0.5</v>
      </c>
      <c r="E134" s="250">
        <v>118.86666666669771</v>
      </c>
      <c r="F134" s="250">
        <v>14.525000000023283</v>
      </c>
      <c r="G134" s="250">
        <v>0</v>
      </c>
      <c r="H134" s="250">
        <v>0</v>
      </c>
      <c r="I134" s="250">
        <v>0</v>
      </c>
      <c r="J134" s="250"/>
      <c r="K134" s="250"/>
      <c r="L134" s="250"/>
      <c r="M134" s="250"/>
      <c r="N134" s="250"/>
      <c r="O134" s="250"/>
      <c r="P134" s="250"/>
      <c r="Q134" s="250"/>
      <c r="R134" s="250"/>
      <c r="S134" s="250"/>
      <c r="T134" s="250"/>
      <c r="U134" s="250"/>
      <c r="V134" s="250"/>
      <c r="W134" s="250"/>
      <c r="X134" s="250"/>
      <c r="Y134" s="250"/>
      <c r="Z134" s="250"/>
      <c r="AA134" s="250"/>
      <c r="AB134" s="250"/>
      <c r="AC134" s="250"/>
    </row>
    <row r="135" spans="1:29" ht="15.75" customHeight="1" x14ac:dyDescent="0.25">
      <c r="A135" s="97" t="s">
        <v>734</v>
      </c>
      <c r="B135" s="249">
        <v>46251</v>
      </c>
      <c r="C135" s="246">
        <v>0.5</v>
      </c>
      <c r="D135" s="246">
        <v>0.54166666666666663</v>
      </c>
      <c r="E135" s="250">
        <v>121.79999999981374</v>
      </c>
      <c r="F135" s="250">
        <v>13.348437499953434</v>
      </c>
      <c r="G135" s="250">
        <v>0</v>
      </c>
      <c r="H135" s="250">
        <v>0</v>
      </c>
      <c r="I135" s="250">
        <v>0</v>
      </c>
      <c r="J135" s="250"/>
      <c r="K135" s="250"/>
      <c r="L135" s="250"/>
      <c r="M135" s="250"/>
      <c r="N135" s="250"/>
      <c r="O135" s="250"/>
      <c r="P135" s="250"/>
      <c r="Q135" s="250"/>
      <c r="R135" s="250"/>
      <c r="S135" s="250"/>
      <c r="T135" s="250"/>
      <c r="U135" s="250"/>
      <c r="V135" s="250"/>
      <c r="W135" s="250"/>
      <c r="X135" s="250"/>
      <c r="Y135" s="250"/>
      <c r="Z135" s="250"/>
      <c r="AA135" s="250"/>
      <c r="AB135" s="250"/>
      <c r="AC135" s="250"/>
    </row>
    <row r="136" spans="1:29" ht="15.75" customHeight="1" x14ac:dyDescent="0.25">
      <c r="A136" s="97" t="s">
        <v>735</v>
      </c>
      <c r="B136" s="249">
        <v>46251</v>
      </c>
      <c r="C136" s="246">
        <v>0.54166666666666663</v>
      </c>
      <c r="D136" s="246">
        <v>0.58333333333333337</v>
      </c>
      <c r="E136" s="250">
        <v>111.78333333367482</v>
      </c>
      <c r="F136" s="250">
        <v>11.253467987873591</v>
      </c>
      <c r="G136" s="250">
        <v>0</v>
      </c>
      <c r="H136" s="250">
        <v>0</v>
      </c>
      <c r="I136" s="250">
        <v>0</v>
      </c>
      <c r="J136" s="250"/>
      <c r="K136" s="250"/>
      <c r="L136" s="250"/>
      <c r="M136" s="250"/>
      <c r="N136" s="250"/>
      <c r="O136" s="250"/>
      <c r="P136" s="250"/>
      <c r="Q136" s="250"/>
      <c r="R136" s="250"/>
      <c r="S136" s="250"/>
      <c r="T136" s="250"/>
      <c r="U136" s="250"/>
      <c r="V136" s="250"/>
      <c r="W136" s="250"/>
      <c r="X136" s="250"/>
      <c r="Y136" s="250"/>
      <c r="Z136" s="250"/>
      <c r="AA136" s="250"/>
      <c r="AB136" s="250"/>
      <c r="AC136" s="250"/>
    </row>
    <row r="137" spans="1:29" ht="15.75" customHeight="1" x14ac:dyDescent="0.25">
      <c r="A137" s="97" t="s">
        <v>736</v>
      </c>
      <c r="B137" s="249">
        <v>46251</v>
      </c>
      <c r="C137" s="246">
        <v>0.58333333333333337</v>
      </c>
      <c r="D137" s="246">
        <v>0.625</v>
      </c>
      <c r="E137" s="250">
        <v>115.79301075218245</v>
      </c>
      <c r="F137" s="250">
        <v>12.585594512172975</v>
      </c>
      <c r="G137" s="250">
        <v>0</v>
      </c>
      <c r="H137" s="250">
        <v>0</v>
      </c>
      <c r="I137" s="250">
        <v>0</v>
      </c>
      <c r="J137" s="250"/>
      <c r="K137" s="250"/>
      <c r="L137" s="250"/>
      <c r="M137" s="250"/>
      <c r="N137" s="250"/>
      <c r="O137" s="250"/>
      <c r="P137" s="250"/>
      <c r="Q137" s="250"/>
      <c r="R137" s="250"/>
      <c r="S137" s="250"/>
      <c r="T137" s="250"/>
      <c r="U137" s="250"/>
      <c r="V137" s="250"/>
      <c r="W137" s="250"/>
      <c r="X137" s="250"/>
      <c r="Y137" s="250"/>
      <c r="Z137" s="250"/>
      <c r="AA137" s="250"/>
      <c r="AB137" s="250"/>
      <c r="AC137" s="250"/>
    </row>
    <row r="138" spans="1:29" ht="15.75" customHeight="1" x14ac:dyDescent="0.25">
      <c r="A138" s="97" t="s">
        <v>737</v>
      </c>
      <c r="B138" s="249">
        <v>46251</v>
      </c>
      <c r="C138" s="246">
        <v>0.625</v>
      </c>
      <c r="D138" s="246">
        <v>0.66666666666666663</v>
      </c>
      <c r="E138" s="250">
        <v>112.93439037771896</v>
      </c>
      <c r="F138" s="250">
        <v>14.010937499930151</v>
      </c>
      <c r="G138" s="250">
        <v>0</v>
      </c>
      <c r="H138" s="250">
        <v>0</v>
      </c>
      <c r="I138" s="250">
        <v>0</v>
      </c>
      <c r="J138" s="250"/>
      <c r="K138" s="250"/>
      <c r="L138" s="250"/>
      <c r="M138" s="250"/>
      <c r="N138" s="250"/>
      <c r="O138" s="250"/>
      <c r="P138" s="250"/>
      <c r="Q138" s="250"/>
      <c r="R138" s="250"/>
      <c r="S138" s="250"/>
      <c r="T138" s="250"/>
      <c r="U138" s="250"/>
      <c r="V138" s="250"/>
      <c r="W138" s="250"/>
      <c r="X138" s="250"/>
      <c r="Y138" s="250"/>
      <c r="Z138" s="250"/>
      <c r="AA138" s="250"/>
      <c r="AB138" s="250"/>
      <c r="AC138" s="250"/>
    </row>
    <row r="139" spans="1:29" ht="15.75" customHeight="1" x14ac:dyDescent="0.25">
      <c r="A139" s="97" t="s">
        <v>738</v>
      </c>
      <c r="B139" s="249">
        <v>46251</v>
      </c>
      <c r="C139" s="246">
        <v>0.66666666666666663</v>
      </c>
      <c r="D139" s="246">
        <v>0.70833333333333337</v>
      </c>
      <c r="E139" s="250">
        <v>113.07853494305164</v>
      </c>
      <c r="F139" s="250">
        <v>21.926562500069849</v>
      </c>
      <c r="G139" s="250">
        <v>0</v>
      </c>
      <c r="H139" s="250">
        <v>0</v>
      </c>
      <c r="I139" s="250">
        <v>0</v>
      </c>
      <c r="J139" s="250"/>
      <c r="K139" s="250"/>
      <c r="L139" s="250"/>
      <c r="M139" s="250"/>
      <c r="N139" s="250"/>
      <c r="O139" s="250"/>
      <c r="P139" s="250"/>
      <c r="Q139" s="250"/>
      <c r="R139" s="250"/>
      <c r="S139" s="250"/>
      <c r="T139" s="250"/>
      <c r="U139" s="250"/>
      <c r="V139" s="250"/>
      <c r="W139" s="250"/>
      <c r="X139" s="250"/>
      <c r="Y139" s="250"/>
      <c r="Z139" s="250"/>
      <c r="AA139" s="250"/>
      <c r="AB139" s="250"/>
      <c r="AC139" s="250"/>
    </row>
    <row r="140" spans="1:29" ht="15.75" customHeight="1" x14ac:dyDescent="0.25">
      <c r="A140" s="97" t="s">
        <v>739</v>
      </c>
      <c r="B140" s="249">
        <v>46251</v>
      </c>
      <c r="C140" s="246">
        <v>0.70833333333333337</v>
      </c>
      <c r="D140" s="246">
        <v>0.75</v>
      </c>
      <c r="E140" s="250">
        <v>100.82739725988358</v>
      </c>
      <c r="F140" s="250">
        <v>32.139062499976717</v>
      </c>
      <c r="G140" s="250">
        <v>0</v>
      </c>
      <c r="H140" s="250">
        <v>0</v>
      </c>
      <c r="I140" s="250">
        <v>0</v>
      </c>
      <c r="J140" s="250"/>
      <c r="K140" s="250"/>
      <c r="L140" s="250"/>
      <c r="M140" s="250"/>
      <c r="N140" s="250"/>
      <c r="O140" s="250"/>
      <c r="P140" s="250"/>
      <c r="Q140" s="250"/>
      <c r="R140" s="250"/>
      <c r="S140" s="250"/>
      <c r="T140" s="250"/>
      <c r="U140" s="250"/>
      <c r="V140" s="250"/>
      <c r="W140" s="250"/>
      <c r="X140" s="250"/>
      <c r="Y140" s="250"/>
      <c r="Z140" s="250"/>
      <c r="AA140" s="250"/>
      <c r="AB140" s="250"/>
      <c r="AC140" s="250"/>
    </row>
    <row r="141" spans="1:29" ht="15.75" customHeight="1" x14ac:dyDescent="0.25">
      <c r="A141" s="97" t="s">
        <v>756</v>
      </c>
      <c r="B141" s="249">
        <v>46252</v>
      </c>
      <c r="C141" s="246">
        <v>0.41666666666666669</v>
      </c>
      <c r="D141" s="246">
        <v>0.45833333333333331</v>
      </c>
      <c r="E141" s="250">
        <v>0</v>
      </c>
      <c r="F141" s="250">
        <v>0</v>
      </c>
      <c r="G141" s="250">
        <v>0</v>
      </c>
      <c r="H141" s="250">
        <v>0</v>
      </c>
      <c r="I141" s="250">
        <v>0</v>
      </c>
      <c r="J141" s="250"/>
      <c r="K141" s="250"/>
      <c r="L141" s="250"/>
      <c r="M141" s="250"/>
      <c r="N141" s="250"/>
      <c r="O141" s="250"/>
      <c r="P141" s="250"/>
      <c r="Q141" s="250"/>
      <c r="R141" s="250"/>
      <c r="S141" s="250"/>
      <c r="T141" s="250"/>
      <c r="U141" s="250"/>
      <c r="V141" s="250"/>
      <c r="W141" s="250"/>
      <c r="X141" s="250"/>
      <c r="Y141" s="250"/>
      <c r="Z141" s="250"/>
      <c r="AA141" s="250"/>
      <c r="AB141" s="250"/>
      <c r="AC141" s="250"/>
    </row>
    <row r="142" spans="1:29" ht="15.75" customHeight="1" x14ac:dyDescent="0.25">
      <c r="A142" s="97" t="s">
        <v>757</v>
      </c>
      <c r="B142" s="249">
        <v>46252</v>
      </c>
      <c r="C142" s="246">
        <v>0.45833333333333331</v>
      </c>
      <c r="D142" s="246">
        <v>0.5</v>
      </c>
      <c r="E142" s="250">
        <v>0</v>
      </c>
      <c r="F142" s="250">
        <v>0</v>
      </c>
      <c r="G142" s="250">
        <v>0</v>
      </c>
      <c r="H142" s="250">
        <v>0</v>
      </c>
      <c r="I142" s="250">
        <v>0</v>
      </c>
      <c r="J142" s="250"/>
      <c r="K142" s="250"/>
      <c r="L142" s="250"/>
      <c r="M142" s="250"/>
      <c r="N142" s="250"/>
      <c r="O142" s="250"/>
      <c r="P142" s="250"/>
      <c r="Q142" s="250"/>
      <c r="R142" s="250"/>
      <c r="S142" s="250"/>
      <c r="T142" s="250"/>
      <c r="U142" s="250"/>
      <c r="V142" s="250"/>
      <c r="W142" s="250"/>
      <c r="X142" s="250"/>
      <c r="Y142" s="250"/>
      <c r="Z142" s="250"/>
      <c r="AA142" s="250"/>
      <c r="AB142" s="250"/>
      <c r="AC142" s="250"/>
    </row>
    <row r="143" spans="1:29" ht="15.75" customHeight="1" x14ac:dyDescent="0.25">
      <c r="A143" s="97" t="s">
        <v>758</v>
      </c>
      <c r="B143" s="249">
        <v>46252</v>
      </c>
      <c r="C143" s="246">
        <v>0.5</v>
      </c>
      <c r="D143" s="246">
        <v>0.54166666666666663</v>
      </c>
      <c r="E143" s="250">
        <v>0</v>
      </c>
      <c r="F143" s="250">
        <v>0</v>
      </c>
      <c r="G143" s="250">
        <v>0</v>
      </c>
      <c r="H143" s="250">
        <v>0</v>
      </c>
      <c r="I143" s="250">
        <v>0</v>
      </c>
      <c r="J143" s="250"/>
      <c r="K143" s="250"/>
      <c r="L143" s="250"/>
      <c r="M143" s="250"/>
      <c r="N143" s="250"/>
      <c r="O143" s="250"/>
      <c r="P143" s="250"/>
      <c r="Q143" s="250"/>
      <c r="R143" s="250"/>
      <c r="S143" s="250"/>
      <c r="T143" s="250"/>
      <c r="U143" s="250"/>
      <c r="V143" s="250"/>
      <c r="W143" s="250"/>
      <c r="X143" s="250"/>
      <c r="Y143" s="250"/>
      <c r="Z143" s="250"/>
      <c r="AA143" s="250"/>
      <c r="AB143" s="250"/>
      <c r="AC143" s="250"/>
    </row>
    <row r="144" spans="1:29" ht="15.75" customHeight="1" x14ac:dyDescent="0.25">
      <c r="A144" s="97" t="s">
        <v>759</v>
      </c>
      <c r="B144" s="249">
        <v>46252</v>
      </c>
      <c r="C144" s="246">
        <v>0.54166666666666663</v>
      </c>
      <c r="D144" s="246">
        <v>0.58333333333333337</v>
      </c>
      <c r="E144" s="250">
        <v>0</v>
      </c>
      <c r="F144" s="250">
        <v>0</v>
      </c>
      <c r="G144" s="250">
        <v>0</v>
      </c>
      <c r="H144" s="250">
        <v>0</v>
      </c>
      <c r="I144" s="250">
        <v>0</v>
      </c>
      <c r="J144" s="250"/>
      <c r="K144" s="250"/>
      <c r="L144" s="250"/>
      <c r="M144" s="250"/>
      <c r="N144" s="250"/>
      <c r="O144" s="250"/>
      <c r="P144" s="250"/>
      <c r="Q144" s="250"/>
      <c r="R144" s="250"/>
      <c r="S144" s="250"/>
      <c r="T144" s="250"/>
      <c r="U144" s="250"/>
      <c r="V144" s="250"/>
      <c r="W144" s="250"/>
      <c r="X144" s="250"/>
      <c r="Y144" s="250"/>
      <c r="Z144" s="250"/>
      <c r="AA144" s="250"/>
      <c r="AB144" s="250"/>
      <c r="AC144" s="250"/>
    </row>
    <row r="145" spans="1:29" ht="15.75" customHeight="1" x14ac:dyDescent="0.25">
      <c r="A145" s="97" t="s">
        <v>760</v>
      </c>
      <c r="B145" s="249">
        <v>46252</v>
      </c>
      <c r="C145" s="246">
        <v>0.58333333333333337</v>
      </c>
      <c r="D145" s="246">
        <v>0.625</v>
      </c>
      <c r="E145" s="250">
        <v>0</v>
      </c>
      <c r="F145" s="250">
        <v>0</v>
      </c>
      <c r="G145" s="250">
        <v>0</v>
      </c>
      <c r="H145" s="250">
        <v>0</v>
      </c>
      <c r="I145" s="250">
        <v>0</v>
      </c>
      <c r="J145" s="250"/>
      <c r="K145" s="250"/>
      <c r="L145" s="250"/>
      <c r="M145" s="250"/>
      <c r="N145" s="250"/>
      <c r="O145" s="250"/>
      <c r="P145" s="250"/>
      <c r="Q145" s="250"/>
      <c r="R145" s="250"/>
      <c r="S145" s="250"/>
      <c r="T145" s="250"/>
      <c r="U145" s="250"/>
      <c r="V145" s="250"/>
      <c r="W145" s="250"/>
      <c r="X145" s="250"/>
      <c r="Y145" s="250"/>
      <c r="Z145" s="250"/>
      <c r="AA145" s="250"/>
      <c r="AB145" s="250"/>
      <c r="AC145" s="250"/>
    </row>
    <row r="146" spans="1:29" ht="15.75" customHeight="1" x14ac:dyDescent="0.25">
      <c r="A146" s="97" t="s">
        <v>761</v>
      </c>
      <c r="B146" s="249">
        <v>46252</v>
      </c>
      <c r="C146" s="246">
        <v>0.625</v>
      </c>
      <c r="D146" s="246">
        <v>0.66666666666666663</v>
      </c>
      <c r="E146" s="250">
        <v>0</v>
      </c>
      <c r="F146" s="250">
        <v>0</v>
      </c>
      <c r="G146" s="250">
        <v>0</v>
      </c>
      <c r="H146" s="250">
        <v>0</v>
      </c>
      <c r="I146" s="250">
        <v>0</v>
      </c>
      <c r="J146" s="250"/>
      <c r="K146" s="250"/>
      <c r="L146" s="250"/>
      <c r="M146" s="250"/>
      <c r="N146" s="250"/>
      <c r="O146" s="250"/>
      <c r="P146" s="250"/>
      <c r="Q146" s="250"/>
      <c r="R146" s="250"/>
      <c r="S146" s="250"/>
      <c r="T146" s="250"/>
      <c r="U146" s="250"/>
      <c r="V146" s="250"/>
      <c r="W146" s="250"/>
      <c r="X146" s="250"/>
      <c r="Y146" s="250"/>
      <c r="Z146" s="250"/>
      <c r="AA146" s="250"/>
      <c r="AB146" s="250"/>
      <c r="AC146" s="250"/>
    </row>
    <row r="147" spans="1:29" ht="15.75" customHeight="1" x14ac:dyDescent="0.25">
      <c r="A147" s="97" t="s">
        <v>762</v>
      </c>
      <c r="B147" s="249">
        <v>46252</v>
      </c>
      <c r="C147" s="246">
        <v>0.66666666666666663</v>
      </c>
      <c r="D147" s="246">
        <v>0.70833333333333337</v>
      </c>
      <c r="E147" s="250">
        <v>0</v>
      </c>
      <c r="F147" s="250">
        <v>0</v>
      </c>
      <c r="G147" s="250">
        <v>0</v>
      </c>
      <c r="H147" s="250">
        <v>0</v>
      </c>
      <c r="I147" s="250">
        <v>0</v>
      </c>
      <c r="J147" s="250"/>
      <c r="K147" s="250"/>
      <c r="L147" s="250"/>
      <c r="M147" s="250"/>
      <c r="N147" s="250"/>
      <c r="O147" s="250"/>
      <c r="P147" s="250"/>
      <c r="Q147" s="250"/>
      <c r="R147" s="250"/>
      <c r="S147" s="250"/>
      <c r="T147" s="250"/>
      <c r="U147" s="250"/>
      <c r="V147" s="250"/>
      <c r="W147" s="250"/>
      <c r="X147" s="250"/>
      <c r="Y147" s="250"/>
      <c r="Z147" s="250"/>
      <c r="AA147" s="250"/>
      <c r="AB147" s="250"/>
      <c r="AC147" s="250"/>
    </row>
    <row r="148" spans="1:29" ht="15.75" customHeight="1" x14ac:dyDescent="0.25">
      <c r="A148" s="97" t="s">
        <v>763</v>
      </c>
      <c r="B148" s="249">
        <v>46252</v>
      </c>
      <c r="C148" s="246">
        <v>0.70833333333333337</v>
      </c>
      <c r="D148" s="246">
        <v>0.75</v>
      </c>
      <c r="E148" s="250">
        <v>0</v>
      </c>
      <c r="F148" s="250">
        <v>0</v>
      </c>
      <c r="G148" s="250">
        <v>0</v>
      </c>
      <c r="H148" s="250">
        <v>0</v>
      </c>
      <c r="I148" s="250">
        <v>0</v>
      </c>
      <c r="J148" s="250"/>
      <c r="K148" s="250"/>
      <c r="L148" s="250"/>
      <c r="M148" s="250"/>
      <c r="N148" s="250"/>
      <c r="O148" s="250"/>
      <c r="P148" s="250"/>
      <c r="Q148" s="250"/>
      <c r="R148" s="250"/>
      <c r="S148" s="250"/>
      <c r="T148" s="250"/>
      <c r="U148" s="250"/>
      <c r="V148" s="250"/>
      <c r="W148" s="250"/>
      <c r="X148" s="250"/>
      <c r="Y148" s="250"/>
      <c r="Z148" s="250"/>
      <c r="AA148" s="250"/>
      <c r="AB148" s="250"/>
      <c r="AC148" s="250"/>
    </row>
    <row r="149" spans="1:29" ht="15.75" customHeight="1" x14ac:dyDescent="0.25">
      <c r="A149" s="97" t="s">
        <v>780</v>
      </c>
      <c r="B149" s="249">
        <v>46253</v>
      </c>
      <c r="C149" s="246">
        <v>0.41666666666666669</v>
      </c>
      <c r="D149" s="246">
        <v>0.45833333333333331</v>
      </c>
      <c r="E149" s="250">
        <v>0</v>
      </c>
      <c r="F149" s="250">
        <v>0</v>
      </c>
      <c r="G149" s="250">
        <v>0</v>
      </c>
      <c r="H149" s="250">
        <v>0</v>
      </c>
      <c r="I149" s="250">
        <v>0</v>
      </c>
      <c r="J149" s="250"/>
      <c r="K149" s="250"/>
      <c r="L149" s="250"/>
      <c r="M149" s="250"/>
      <c r="N149" s="250"/>
      <c r="O149" s="250"/>
      <c r="P149" s="250"/>
      <c r="Q149" s="250"/>
      <c r="R149" s="250"/>
      <c r="S149" s="250"/>
      <c r="T149" s="250"/>
      <c r="U149" s="250"/>
      <c r="V149" s="250"/>
      <c r="W149" s="250"/>
      <c r="X149" s="250"/>
      <c r="Y149" s="250"/>
      <c r="Z149" s="250"/>
      <c r="AA149" s="250"/>
      <c r="AB149" s="250"/>
      <c r="AC149" s="250"/>
    </row>
    <row r="150" spans="1:29" ht="15.75" customHeight="1" x14ac:dyDescent="0.25">
      <c r="A150" s="97" t="s">
        <v>781</v>
      </c>
      <c r="B150" s="249">
        <v>46253</v>
      </c>
      <c r="C150" s="246">
        <v>0.45833333333333331</v>
      </c>
      <c r="D150" s="246">
        <v>0.5</v>
      </c>
      <c r="E150" s="250">
        <v>0</v>
      </c>
      <c r="F150" s="250">
        <v>0</v>
      </c>
      <c r="G150" s="250">
        <v>0</v>
      </c>
      <c r="H150" s="250">
        <v>0</v>
      </c>
      <c r="I150" s="250">
        <v>0</v>
      </c>
      <c r="J150" s="250"/>
      <c r="K150" s="250"/>
      <c r="L150" s="250"/>
      <c r="M150" s="250"/>
      <c r="N150" s="250"/>
      <c r="O150" s="250"/>
      <c r="P150" s="250"/>
      <c r="Q150" s="250"/>
      <c r="R150" s="250"/>
      <c r="S150" s="250"/>
      <c r="T150" s="250"/>
      <c r="U150" s="250"/>
      <c r="V150" s="250"/>
      <c r="W150" s="250"/>
      <c r="X150" s="250"/>
      <c r="Y150" s="250"/>
      <c r="Z150" s="250"/>
      <c r="AA150" s="250"/>
      <c r="AB150" s="250"/>
      <c r="AC150" s="250"/>
    </row>
    <row r="151" spans="1:29" ht="15.75" customHeight="1" x14ac:dyDescent="0.25">
      <c r="A151" s="97" t="s">
        <v>782</v>
      </c>
      <c r="B151" s="249">
        <v>46253</v>
      </c>
      <c r="C151" s="246">
        <v>0.5</v>
      </c>
      <c r="D151" s="246">
        <v>0.54166666666666663</v>
      </c>
      <c r="E151" s="250">
        <v>0</v>
      </c>
      <c r="F151" s="250">
        <v>0</v>
      </c>
      <c r="G151" s="250">
        <v>0</v>
      </c>
      <c r="H151" s="250">
        <v>0</v>
      </c>
      <c r="I151" s="250">
        <v>0</v>
      </c>
      <c r="J151" s="250"/>
      <c r="K151" s="250"/>
      <c r="L151" s="250"/>
      <c r="M151" s="250"/>
      <c r="N151" s="250"/>
      <c r="O151" s="250"/>
      <c r="P151" s="250"/>
      <c r="Q151" s="250"/>
      <c r="R151" s="250"/>
      <c r="S151" s="250"/>
      <c r="T151" s="250"/>
      <c r="U151" s="250"/>
      <c r="V151" s="250"/>
      <c r="W151" s="250"/>
      <c r="X151" s="250"/>
      <c r="Y151" s="250"/>
      <c r="Z151" s="250"/>
      <c r="AA151" s="250"/>
      <c r="AB151" s="250"/>
      <c r="AC151" s="250"/>
    </row>
    <row r="152" spans="1:29" ht="15.75" customHeight="1" x14ac:dyDescent="0.25">
      <c r="A152" s="97" t="s">
        <v>783</v>
      </c>
      <c r="B152" s="249">
        <v>46253</v>
      </c>
      <c r="C152" s="246">
        <v>0.54166666666666663</v>
      </c>
      <c r="D152" s="246">
        <v>0.58333333333333337</v>
      </c>
      <c r="E152" s="250">
        <v>0</v>
      </c>
      <c r="F152" s="250">
        <v>0</v>
      </c>
      <c r="G152" s="250">
        <v>0</v>
      </c>
      <c r="H152" s="250">
        <v>0</v>
      </c>
      <c r="I152" s="250">
        <v>0</v>
      </c>
      <c r="J152" s="250"/>
      <c r="K152" s="250"/>
      <c r="L152" s="250"/>
      <c r="M152" s="250"/>
      <c r="N152" s="250"/>
      <c r="O152" s="250"/>
      <c r="P152" s="250"/>
      <c r="Q152" s="250"/>
      <c r="R152" s="250"/>
      <c r="S152" s="250"/>
      <c r="T152" s="250"/>
      <c r="U152" s="250"/>
      <c r="V152" s="250"/>
      <c r="W152" s="250"/>
      <c r="X152" s="250"/>
      <c r="Y152" s="250"/>
      <c r="Z152" s="250"/>
      <c r="AA152" s="250"/>
      <c r="AB152" s="250"/>
      <c r="AC152" s="250"/>
    </row>
    <row r="153" spans="1:29" ht="15.75" customHeight="1" x14ac:dyDescent="0.25">
      <c r="A153" s="97" t="s">
        <v>784</v>
      </c>
      <c r="B153" s="249">
        <v>46253</v>
      </c>
      <c r="C153" s="246">
        <v>0.58333333333333337</v>
      </c>
      <c r="D153" s="246">
        <v>0.625</v>
      </c>
      <c r="E153" s="250">
        <v>0</v>
      </c>
      <c r="F153" s="250">
        <v>0</v>
      </c>
      <c r="G153" s="250">
        <v>0</v>
      </c>
      <c r="H153" s="250">
        <v>0</v>
      </c>
      <c r="I153" s="250">
        <v>0</v>
      </c>
      <c r="J153" s="250"/>
      <c r="K153" s="250"/>
      <c r="L153" s="250"/>
      <c r="M153" s="250"/>
      <c r="N153" s="250"/>
      <c r="O153" s="250"/>
      <c r="P153" s="250"/>
      <c r="Q153" s="250"/>
      <c r="R153" s="250"/>
      <c r="S153" s="250"/>
      <c r="T153" s="250"/>
      <c r="U153" s="250"/>
      <c r="V153" s="250"/>
      <c r="W153" s="250"/>
      <c r="X153" s="250"/>
      <c r="Y153" s="250"/>
      <c r="Z153" s="250"/>
      <c r="AA153" s="250"/>
      <c r="AB153" s="250"/>
      <c r="AC153" s="250"/>
    </row>
    <row r="154" spans="1:29" ht="15.75" customHeight="1" x14ac:dyDescent="0.25">
      <c r="A154" s="97" t="s">
        <v>785</v>
      </c>
      <c r="B154" s="249">
        <v>46253</v>
      </c>
      <c r="C154" s="246">
        <v>0.625</v>
      </c>
      <c r="D154" s="246">
        <v>0.66666666666666663</v>
      </c>
      <c r="E154" s="250">
        <v>0</v>
      </c>
      <c r="F154" s="250">
        <v>0</v>
      </c>
      <c r="G154" s="250">
        <v>0</v>
      </c>
      <c r="H154" s="250">
        <v>0</v>
      </c>
      <c r="I154" s="250">
        <v>0</v>
      </c>
      <c r="J154" s="250"/>
      <c r="K154" s="250"/>
      <c r="L154" s="250"/>
      <c r="M154" s="250"/>
      <c r="N154" s="250"/>
      <c r="O154" s="250"/>
      <c r="P154" s="250"/>
      <c r="Q154" s="250"/>
      <c r="R154" s="250"/>
      <c r="S154" s="250"/>
      <c r="T154" s="250"/>
      <c r="U154" s="250"/>
      <c r="V154" s="250"/>
      <c r="W154" s="250"/>
      <c r="X154" s="250"/>
      <c r="Y154" s="250"/>
      <c r="Z154" s="250"/>
      <c r="AA154" s="250"/>
      <c r="AB154" s="250"/>
      <c r="AC154" s="250"/>
    </row>
    <row r="155" spans="1:29" ht="15.75" customHeight="1" x14ac:dyDescent="0.25">
      <c r="A155" s="97" t="s">
        <v>786</v>
      </c>
      <c r="B155" s="249">
        <v>46253</v>
      </c>
      <c r="C155" s="246">
        <v>0.66666666666666663</v>
      </c>
      <c r="D155" s="246">
        <v>0.70833333333333337</v>
      </c>
      <c r="E155" s="250">
        <v>0</v>
      </c>
      <c r="F155" s="250">
        <v>0</v>
      </c>
      <c r="G155" s="250">
        <v>0</v>
      </c>
      <c r="H155" s="250">
        <v>0</v>
      </c>
      <c r="I155" s="250">
        <v>0</v>
      </c>
      <c r="J155" s="250"/>
      <c r="K155" s="250"/>
      <c r="L155" s="250"/>
      <c r="M155" s="250"/>
      <c r="N155" s="250"/>
      <c r="O155" s="250"/>
      <c r="P155" s="250"/>
      <c r="Q155" s="250"/>
      <c r="R155" s="250"/>
      <c r="S155" s="250"/>
      <c r="T155" s="250"/>
      <c r="U155" s="250"/>
      <c r="V155" s="250"/>
      <c r="W155" s="250"/>
      <c r="X155" s="250"/>
      <c r="Y155" s="250"/>
      <c r="Z155" s="250"/>
      <c r="AA155" s="250"/>
      <c r="AB155" s="250"/>
      <c r="AC155" s="250"/>
    </row>
    <row r="156" spans="1:29" ht="15.75" customHeight="1" x14ac:dyDescent="0.25">
      <c r="A156" s="97" t="s">
        <v>787</v>
      </c>
      <c r="B156" s="249">
        <v>46253</v>
      </c>
      <c r="C156" s="246">
        <v>0.70833333333333337</v>
      </c>
      <c r="D156" s="246">
        <v>0.75</v>
      </c>
      <c r="E156" s="250">
        <v>0</v>
      </c>
      <c r="F156" s="250">
        <v>0</v>
      </c>
      <c r="G156" s="250">
        <v>0</v>
      </c>
      <c r="H156" s="250">
        <v>0</v>
      </c>
      <c r="I156" s="250">
        <v>0</v>
      </c>
      <c r="J156" s="250"/>
      <c r="K156" s="250"/>
      <c r="L156" s="250"/>
      <c r="M156" s="250"/>
      <c r="N156" s="250"/>
      <c r="O156" s="250"/>
      <c r="P156" s="250"/>
      <c r="Q156" s="250"/>
      <c r="R156" s="250"/>
      <c r="S156" s="250"/>
      <c r="T156" s="250"/>
      <c r="U156" s="250"/>
      <c r="V156" s="250"/>
      <c r="W156" s="250"/>
      <c r="X156" s="250"/>
      <c r="Y156" s="250"/>
      <c r="Z156" s="250"/>
      <c r="AA156" s="250"/>
      <c r="AB156" s="250"/>
      <c r="AC156" s="250"/>
    </row>
    <row r="157" spans="1:29" ht="15.75" customHeight="1" x14ac:dyDescent="0.25">
      <c r="A157" s="97" t="s">
        <v>804</v>
      </c>
      <c r="B157" s="249">
        <v>46254</v>
      </c>
      <c r="C157" s="246">
        <v>0.41666666666666669</v>
      </c>
      <c r="D157" s="246">
        <v>0.45833333333333331</v>
      </c>
      <c r="E157" s="250">
        <v>0</v>
      </c>
      <c r="F157" s="250">
        <v>0</v>
      </c>
      <c r="G157" s="250">
        <v>0</v>
      </c>
      <c r="H157" s="250">
        <v>0</v>
      </c>
      <c r="I157" s="250">
        <v>0</v>
      </c>
      <c r="J157" s="250"/>
      <c r="K157" s="250"/>
      <c r="L157" s="250"/>
      <c r="M157" s="250"/>
      <c r="N157" s="250"/>
      <c r="O157" s="250"/>
      <c r="P157" s="250"/>
      <c r="Q157" s="250"/>
      <c r="R157" s="250"/>
      <c r="S157" s="250"/>
      <c r="T157" s="250"/>
      <c r="U157" s="250"/>
      <c r="V157" s="250"/>
      <c r="W157" s="250"/>
      <c r="X157" s="250"/>
      <c r="Y157" s="250"/>
      <c r="Z157" s="250"/>
      <c r="AA157" s="250"/>
      <c r="AB157" s="250"/>
      <c r="AC157" s="250"/>
    </row>
    <row r="158" spans="1:29" ht="15.75" customHeight="1" x14ac:dyDescent="0.25">
      <c r="A158" s="97" t="s">
        <v>805</v>
      </c>
      <c r="B158" s="249">
        <v>46254</v>
      </c>
      <c r="C158" s="246">
        <v>0.45833333333333331</v>
      </c>
      <c r="D158" s="246">
        <v>0.5</v>
      </c>
      <c r="E158" s="250">
        <v>0</v>
      </c>
      <c r="F158" s="250">
        <v>0</v>
      </c>
      <c r="G158" s="250">
        <v>0</v>
      </c>
      <c r="H158" s="250">
        <v>0</v>
      </c>
      <c r="I158" s="250">
        <v>0</v>
      </c>
      <c r="J158" s="250"/>
      <c r="K158" s="250"/>
      <c r="L158" s="250"/>
      <c r="M158" s="250"/>
      <c r="N158" s="250"/>
      <c r="O158" s="250"/>
      <c r="P158" s="250"/>
      <c r="Q158" s="250"/>
      <c r="R158" s="250"/>
      <c r="S158" s="250"/>
      <c r="T158" s="250"/>
      <c r="U158" s="250"/>
      <c r="V158" s="250"/>
      <c r="W158" s="250"/>
      <c r="X158" s="250"/>
      <c r="Y158" s="250"/>
      <c r="Z158" s="250"/>
      <c r="AA158" s="250"/>
      <c r="AB158" s="250"/>
      <c r="AC158" s="250"/>
    </row>
    <row r="159" spans="1:29" ht="15.75" customHeight="1" x14ac:dyDescent="0.25">
      <c r="A159" s="97" t="s">
        <v>806</v>
      </c>
      <c r="B159" s="249">
        <v>46254</v>
      </c>
      <c r="C159" s="246">
        <v>0.5</v>
      </c>
      <c r="D159" s="246">
        <v>0.54166666666666663</v>
      </c>
      <c r="E159" s="250">
        <v>0</v>
      </c>
      <c r="F159" s="250">
        <v>0</v>
      </c>
      <c r="G159" s="250">
        <v>0</v>
      </c>
      <c r="H159" s="250">
        <v>0</v>
      </c>
      <c r="I159" s="250">
        <v>0</v>
      </c>
      <c r="J159" s="250"/>
      <c r="K159" s="250"/>
      <c r="L159" s="250"/>
      <c r="M159" s="250"/>
      <c r="N159" s="250"/>
      <c r="O159" s="250"/>
      <c r="P159" s="250"/>
      <c r="Q159" s="250"/>
      <c r="R159" s="250"/>
      <c r="S159" s="250"/>
      <c r="T159" s="250"/>
      <c r="U159" s="250"/>
      <c r="V159" s="250"/>
      <c r="W159" s="250"/>
      <c r="X159" s="250"/>
      <c r="Y159" s="250"/>
      <c r="Z159" s="250"/>
      <c r="AA159" s="250"/>
      <c r="AB159" s="250"/>
      <c r="AC159" s="250"/>
    </row>
    <row r="160" spans="1:29" ht="15.75" customHeight="1" x14ac:dyDescent="0.25">
      <c r="A160" s="97" t="s">
        <v>807</v>
      </c>
      <c r="B160" s="249">
        <v>46254</v>
      </c>
      <c r="C160" s="246">
        <v>0.54166666666666663</v>
      </c>
      <c r="D160" s="246">
        <v>0.58333333333333337</v>
      </c>
      <c r="E160" s="250">
        <v>0</v>
      </c>
      <c r="F160" s="250">
        <v>0</v>
      </c>
      <c r="G160" s="250">
        <v>0</v>
      </c>
      <c r="H160" s="250">
        <v>0</v>
      </c>
      <c r="I160" s="250">
        <v>0</v>
      </c>
      <c r="J160" s="250"/>
      <c r="K160" s="250"/>
      <c r="L160" s="250"/>
      <c r="M160" s="250"/>
      <c r="N160" s="250"/>
      <c r="O160" s="250"/>
      <c r="P160" s="250"/>
      <c r="Q160" s="250"/>
      <c r="R160" s="250"/>
      <c r="S160" s="250"/>
      <c r="T160" s="250"/>
      <c r="U160" s="250"/>
      <c r="V160" s="250"/>
      <c r="W160" s="250"/>
      <c r="X160" s="250"/>
      <c r="Y160" s="250"/>
      <c r="Z160" s="250"/>
      <c r="AA160" s="250"/>
      <c r="AB160" s="250"/>
      <c r="AC160" s="250"/>
    </row>
    <row r="161" spans="1:29" ht="15.75" customHeight="1" x14ac:dyDescent="0.25">
      <c r="A161" s="97" t="s">
        <v>808</v>
      </c>
      <c r="B161" s="249">
        <v>46254</v>
      </c>
      <c r="C161" s="246">
        <v>0.58333333333333337</v>
      </c>
      <c r="D161" s="246">
        <v>0.625</v>
      </c>
      <c r="E161" s="250">
        <v>0</v>
      </c>
      <c r="F161" s="250">
        <v>0</v>
      </c>
      <c r="G161" s="250">
        <v>0</v>
      </c>
      <c r="H161" s="250">
        <v>0</v>
      </c>
      <c r="I161" s="250">
        <v>0</v>
      </c>
      <c r="J161" s="250"/>
      <c r="K161" s="250"/>
      <c r="L161" s="250"/>
      <c r="M161" s="250"/>
      <c r="N161" s="250"/>
      <c r="O161" s="250"/>
      <c r="P161" s="250"/>
      <c r="Q161" s="250"/>
      <c r="R161" s="250"/>
      <c r="S161" s="250"/>
      <c r="T161" s="250"/>
      <c r="U161" s="250"/>
      <c r="V161" s="250"/>
      <c r="W161" s="250"/>
      <c r="X161" s="250"/>
      <c r="Y161" s="250"/>
      <c r="Z161" s="250"/>
      <c r="AA161" s="250"/>
      <c r="AB161" s="250"/>
      <c r="AC161" s="250"/>
    </row>
    <row r="162" spans="1:29" ht="15.75" customHeight="1" x14ac:dyDescent="0.25">
      <c r="A162" s="97" t="s">
        <v>809</v>
      </c>
      <c r="B162" s="249">
        <v>46254</v>
      </c>
      <c r="C162" s="246">
        <v>0.625</v>
      </c>
      <c r="D162" s="246">
        <v>0.66666666666666663</v>
      </c>
      <c r="E162" s="250">
        <v>0</v>
      </c>
      <c r="F162" s="250">
        <v>0</v>
      </c>
      <c r="G162" s="250">
        <v>0</v>
      </c>
      <c r="H162" s="250">
        <v>0</v>
      </c>
      <c r="I162" s="250">
        <v>0</v>
      </c>
      <c r="J162" s="250"/>
      <c r="K162" s="250"/>
      <c r="L162" s="250"/>
      <c r="M162" s="250"/>
      <c r="N162" s="250"/>
      <c r="O162" s="250"/>
      <c r="P162" s="250"/>
      <c r="Q162" s="250"/>
      <c r="R162" s="250"/>
      <c r="S162" s="250"/>
      <c r="T162" s="250"/>
      <c r="U162" s="250"/>
      <c r="V162" s="250"/>
      <c r="W162" s="250"/>
      <c r="X162" s="250"/>
      <c r="Y162" s="250"/>
      <c r="Z162" s="250"/>
      <c r="AA162" s="250"/>
      <c r="AB162" s="250"/>
      <c r="AC162" s="250"/>
    </row>
    <row r="163" spans="1:29" ht="15.75" customHeight="1" x14ac:dyDescent="0.25">
      <c r="A163" s="97" t="s">
        <v>810</v>
      </c>
      <c r="B163" s="249">
        <v>46254</v>
      </c>
      <c r="C163" s="246">
        <v>0.66666666666666663</v>
      </c>
      <c r="D163" s="246">
        <v>0.70833333333333337</v>
      </c>
      <c r="E163" s="250">
        <v>0</v>
      </c>
      <c r="F163" s="250">
        <v>0</v>
      </c>
      <c r="G163" s="250">
        <v>0</v>
      </c>
      <c r="H163" s="250">
        <v>0</v>
      </c>
      <c r="I163" s="250">
        <v>0</v>
      </c>
      <c r="J163" s="250"/>
      <c r="K163" s="250"/>
      <c r="L163" s="250"/>
      <c r="M163" s="250"/>
      <c r="N163" s="250"/>
      <c r="O163" s="250"/>
      <c r="P163" s="250"/>
      <c r="Q163" s="250"/>
      <c r="R163" s="250"/>
      <c r="S163" s="250"/>
      <c r="T163" s="250"/>
      <c r="U163" s="250"/>
      <c r="V163" s="250"/>
      <c r="W163" s="250"/>
      <c r="X163" s="250"/>
      <c r="Y163" s="250"/>
      <c r="Z163" s="250"/>
      <c r="AA163" s="250"/>
      <c r="AB163" s="250"/>
      <c r="AC163" s="250"/>
    </row>
    <row r="164" spans="1:29" ht="15.75" customHeight="1" x14ac:dyDescent="0.25">
      <c r="A164" s="97" t="s">
        <v>811</v>
      </c>
      <c r="B164" s="249">
        <v>46254</v>
      </c>
      <c r="C164" s="246">
        <v>0.70833333333333337</v>
      </c>
      <c r="D164" s="246">
        <v>0.75</v>
      </c>
      <c r="E164" s="250">
        <v>0</v>
      </c>
      <c r="F164" s="250">
        <v>0</v>
      </c>
      <c r="G164" s="250">
        <v>0</v>
      </c>
      <c r="H164" s="250">
        <v>0</v>
      </c>
      <c r="I164" s="250">
        <v>0</v>
      </c>
      <c r="J164" s="250"/>
      <c r="K164" s="250"/>
      <c r="L164" s="250"/>
      <c r="M164" s="250"/>
      <c r="N164" s="250"/>
      <c r="O164" s="250"/>
      <c r="P164" s="250"/>
      <c r="Q164" s="250"/>
      <c r="R164" s="250"/>
      <c r="S164" s="250"/>
      <c r="T164" s="250"/>
      <c r="U164" s="250"/>
      <c r="V164" s="250"/>
      <c r="W164" s="250"/>
      <c r="X164" s="250"/>
      <c r="Y164" s="250"/>
      <c r="Z164" s="250"/>
      <c r="AA164" s="250"/>
      <c r="AB164" s="250"/>
      <c r="AC164" s="250"/>
    </row>
    <row r="165" spans="1:29" ht="15.75" customHeight="1" x14ac:dyDescent="0.25">
      <c r="A165" s="97" t="s">
        <v>828</v>
      </c>
      <c r="B165" s="249">
        <v>46255</v>
      </c>
      <c r="C165" s="246">
        <v>0.41666666666666669</v>
      </c>
      <c r="D165" s="246">
        <v>0.45833333333333331</v>
      </c>
      <c r="E165" s="250">
        <v>0</v>
      </c>
      <c r="F165" s="250">
        <v>0</v>
      </c>
      <c r="G165" s="250">
        <v>0</v>
      </c>
      <c r="H165" s="250">
        <v>0</v>
      </c>
      <c r="I165" s="250">
        <v>0</v>
      </c>
      <c r="J165" s="250"/>
      <c r="K165" s="250"/>
      <c r="L165" s="250"/>
      <c r="M165" s="250"/>
      <c r="N165" s="250"/>
      <c r="O165" s="250"/>
      <c r="P165" s="250"/>
      <c r="Q165" s="250"/>
      <c r="R165" s="250"/>
      <c r="S165" s="250"/>
      <c r="T165" s="250"/>
      <c r="U165" s="250"/>
      <c r="V165" s="250"/>
      <c r="W165" s="250"/>
      <c r="X165" s="250"/>
      <c r="Y165" s="250"/>
      <c r="Z165" s="250"/>
      <c r="AA165" s="250"/>
      <c r="AB165" s="250"/>
      <c r="AC165" s="250"/>
    </row>
    <row r="166" spans="1:29" ht="15.75" customHeight="1" x14ac:dyDescent="0.25">
      <c r="A166" s="97" t="s">
        <v>829</v>
      </c>
      <c r="B166" s="249">
        <v>46255</v>
      </c>
      <c r="C166" s="246">
        <v>0.45833333333333331</v>
      </c>
      <c r="D166" s="246">
        <v>0.5</v>
      </c>
      <c r="E166" s="250">
        <v>0</v>
      </c>
      <c r="F166" s="250">
        <v>0</v>
      </c>
      <c r="G166" s="250">
        <v>0</v>
      </c>
      <c r="H166" s="250">
        <v>0</v>
      </c>
      <c r="I166" s="250">
        <v>0</v>
      </c>
      <c r="J166" s="250"/>
      <c r="K166" s="250"/>
      <c r="L166" s="250"/>
      <c r="M166" s="250"/>
      <c r="N166" s="250"/>
      <c r="O166" s="250"/>
      <c r="P166" s="250"/>
      <c r="Q166" s="250"/>
      <c r="R166" s="250"/>
      <c r="S166" s="250"/>
      <c r="T166" s="250"/>
      <c r="U166" s="250"/>
      <c r="V166" s="250"/>
      <c r="W166" s="250"/>
      <c r="X166" s="250"/>
      <c r="Y166" s="250"/>
      <c r="Z166" s="250"/>
      <c r="AA166" s="250"/>
      <c r="AB166" s="250"/>
      <c r="AC166" s="250"/>
    </row>
    <row r="167" spans="1:29" ht="15.75" customHeight="1" x14ac:dyDescent="0.25">
      <c r="A167" s="97" t="s">
        <v>830</v>
      </c>
      <c r="B167" s="249">
        <v>46255</v>
      </c>
      <c r="C167" s="246">
        <v>0.5</v>
      </c>
      <c r="D167" s="246">
        <v>0.54166666666666663</v>
      </c>
      <c r="E167" s="250">
        <v>0</v>
      </c>
      <c r="F167" s="250">
        <v>0</v>
      </c>
      <c r="G167" s="250">
        <v>0</v>
      </c>
      <c r="H167" s="250">
        <v>0</v>
      </c>
      <c r="I167" s="250">
        <v>0</v>
      </c>
      <c r="J167" s="250"/>
      <c r="K167" s="250"/>
      <c r="L167" s="250"/>
      <c r="M167" s="250"/>
      <c r="N167" s="250"/>
      <c r="O167" s="250"/>
      <c r="P167" s="250"/>
      <c r="Q167" s="250"/>
      <c r="R167" s="250"/>
      <c r="S167" s="250"/>
      <c r="T167" s="250"/>
      <c r="U167" s="250"/>
      <c r="V167" s="250"/>
      <c r="W167" s="250"/>
      <c r="X167" s="250"/>
      <c r="Y167" s="250"/>
      <c r="Z167" s="250"/>
      <c r="AA167" s="250"/>
      <c r="AB167" s="250"/>
      <c r="AC167" s="250"/>
    </row>
    <row r="168" spans="1:29" ht="15.75" customHeight="1" x14ac:dyDescent="0.25">
      <c r="A168" s="97" t="s">
        <v>831</v>
      </c>
      <c r="B168" s="249">
        <v>46255</v>
      </c>
      <c r="C168" s="246">
        <v>0.54166666666666663</v>
      </c>
      <c r="D168" s="246">
        <v>0.58333333333333337</v>
      </c>
      <c r="E168" s="250">
        <v>0</v>
      </c>
      <c r="F168" s="250">
        <v>0</v>
      </c>
      <c r="G168" s="250">
        <v>0</v>
      </c>
      <c r="H168" s="250">
        <v>0</v>
      </c>
      <c r="I168" s="250">
        <v>0</v>
      </c>
      <c r="J168" s="250"/>
      <c r="K168" s="250"/>
      <c r="L168" s="250"/>
      <c r="M168" s="250"/>
      <c r="N168" s="250"/>
      <c r="O168" s="250"/>
      <c r="P168" s="250"/>
      <c r="Q168" s="250"/>
      <c r="R168" s="250"/>
      <c r="S168" s="250"/>
      <c r="T168" s="250"/>
      <c r="U168" s="250"/>
      <c r="V168" s="250"/>
      <c r="W168" s="250"/>
      <c r="X168" s="250"/>
      <c r="Y168" s="250"/>
      <c r="Z168" s="250"/>
      <c r="AA168" s="250"/>
      <c r="AB168" s="250"/>
      <c r="AC168" s="250"/>
    </row>
    <row r="169" spans="1:29" ht="15.75" customHeight="1" x14ac:dyDescent="0.25">
      <c r="A169" s="97" t="s">
        <v>832</v>
      </c>
      <c r="B169" s="249">
        <v>46255</v>
      </c>
      <c r="C169" s="246">
        <v>0.58333333333333337</v>
      </c>
      <c r="D169" s="246">
        <v>0.625</v>
      </c>
      <c r="E169" s="250">
        <v>0</v>
      </c>
      <c r="F169" s="250">
        <v>0</v>
      </c>
      <c r="G169" s="250">
        <v>0</v>
      </c>
      <c r="H169" s="250">
        <v>0</v>
      </c>
      <c r="I169" s="250">
        <v>0</v>
      </c>
      <c r="J169" s="250"/>
      <c r="K169" s="250"/>
      <c r="L169" s="250"/>
      <c r="M169" s="250"/>
      <c r="N169" s="250"/>
      <c r="O169" s="250"/>
      <c r="P169" s="250"/>
      <c r="Q169" s="250"/>
      <c r="R169" s="250"/>
      <c r="S169" s="250"/>
      <c r="T169" s="250"/>
      <c r="U169" s="250"/>
      <c r="V169" s="250"/>
      <c r="W169" s="250"/>
      <c r="X169" s="250"/>
      <c r="Y169" s="250"/>
      <c r="Z169" s="250"/>
      <c r="AA169" s="250"/>
      <c r="AB169" s="250"/>
      <c r="AC169" s="250"/>
    </row>
    <row r="170" spans="1:29" ht="15.75" customHeight="1" x14ac:dyDescent="0.25">
      <c r="A170" s="97" t="s">
        <v>833</v>
      </c>
      <c r="B170" s="249">
        <v>46255</v>
      </c>
      <c r="C170" s="246">
        <v>0.625</v>
      </c>
      <c r="D170" s="246">
        <v>0.66666666666666663</v>
      </c>
      <c r="E170" s="250">
        <v>0</v>
      </c>
      <c r="F170" s="250">
        <v>0</v>
      </c>
      <c r="G170" s="250">
        <v>0</v>
      </c>
      <c r="H170" s="250">
        <v>0</v>
      </c>
      <c r="I170" s="250">
        <v>0</v>
      </c>
      <c r="J170" s="250"/>
      <c r="K170" s="250"/>
      <c r="L170" s="250"/>
      <c r="M170" s="250"/>
      <c r="N170" s="250"/>
      <c r="O170" s="250"/>
      <c r="P170" s="250"/>
      <c r="Q170" s="250"/>
      <c r="R170" s="250"/>
      <c r="S170" s="250"/>
      <c r="T170" s="250"/>
      <c r="U170" s="250"/>
      <c r="V170" s="250"/>
      <c r="W170" s="250"/>
      <c r="X170" s="250"/>
      <c r="Y170" s="250"/>
      <c r="Z170" s="250"/>
      <c r="AA170" s="250"/>
      <c r="AB170" s="250"/>
      <c r="AC170" s="250"/>
    </row>
    <row r="171" spans="1:29" ht="15.75" customHeight="1" x14ac:dyDescent="0.25">
      <c r="A171" s="97" t="s">
        <v>834</v>
      </c>
      <c r="B171" s="249">
        <v>46255</v>
      </c>
      <c r="C171" s="246">
        <v>0.66666666666666663</v>
      </c>
      <c r="D171" s="246">
        <v>0.70833333333333337</v>
      </c>
      <c r="E171" s="250">
        <v>0</v>
      </c>
      <c r="F171" s="250">
        <v>0</v>
      </c>
      <c r="G171" s="250">
        <v>0</v>
      </c>
      <c r="H171" s="250">
        <v>0</v>
      </c>
      <c r="I171" s="250">
        <v>0</v>
      </c>
      <c r="J171" s="250"/>
      <c r="K171" s="250"/>
      <c r="L171" s="250"/>
      <c r="M171" s="250"/>
      <c r="N171" s="250"/>
      <c r="O171" s="250"/>
      <c r="P171" s="250"/>
      <c r="Q171" s="250"/>
      <c r="R171" s="250"/>
      <c r="S171" s="250"/>
      <c r="T171" s="250"/>
      <c r="U171" s="250"/>
      <c r="V171" s="250"/>
      <c r="W171" s="250"/>
      <c r="X171" s="250"/>
      <c r="Y171" s="250"/>
      <c r="Z171" s="250"/>
      <c r="AA171" s="250"/>
      <c r="AB171" s="250"/>
      <c r="AC171" s="250"/>
    </row>
    <row r="172" spans="1:29" ht="15.75" customHeight="1" x14ac:dyDescent="0.25">
      <c r="A172" s="97" t="s">
        <v>835</v>
      </c>
      <c r="B172" s="249">
        <v>46255</v>
      </c>
      <c r="C172" s="246">
        <v>0.70833333333333337</v>
      </c>
      <c r="D172" s="246">
        <v>0.75</v>
      </c>
      <c r="E172" s="250">
        <v>0</v>
      </c>
      <c r="F172" s="250">
        <v>0</v>
      </c>
      <c r="G172" s="250">
        <v>0</v>
      </c>
      <c r="H172" s="250">
        <v>0</v>
      </c>
      <c r="I172" s="250">
        <v>0</v>
      </c>
      <c r="J172" s="250"/>
      <c r="K172" s="250"/>
      <c r="L172" s="250"/>
      <c r="M172" s="250"/>
      <c r="N172" s="250"/>
      <c r="O172" s="250"/>
      <c r="P172" s="250"/>
      <c r="Q172" s="250"/>
      <c r="R172" s="250"/>
      <c r="S172" s="250"/>
      <c r="T172" s="250"/>
      <c r="U172" s="250"/>
      <c r="V172" s="250"/>
      <c r="W172" s="250"/>
      <c r="X172" s="250"/>
      <c r="Y172" s="250"/>
      <c r="Z172" s="250"/>
      <c r="AA172" s="250"/>
      <c r="AB172" s="250"/>
      <c r="AC172" s="250"/>
    </row>
    <row r="173" spans="1:29" ht="15.75" customHeight="1" x14ac:dyDescent="0.25">
      <c r="A173" s="97" t="s">
        <v>852</v>
      </c>
      <c r="B173" s="249">
        <v>46256</v>
      </c>
      <c r="C173" s="246">
        <v>0.41666666666666669</v>
      </c>
      <c r="D173" s="246">
        <v>0.45833333333333331</v>
      </c>
      <c r="E173" s="250">
        <v>0</v>
      </c>
      <c r="F173" s="250">
        <v>0</v>
      </c>
      <c r="G173" s="250">
        <v>0</v>
      </c>
      <c r="H173" s="250">
        <v>0</v>
      </c>
      <c r="I173" s="250">
        <v>0</v>
      </c>
      <c r="J173" s="250"/>
      <c r="K173" s="250"/>
      <c r="L173" s="250"/>
      <c r="M173" s="250"/>
      <c r="N173" s="250"/>
      <c r="O173" s="250"/>
      <c r="P173" s="250"/>
      <c r="Q173" s="250"/>
      <c r="R173" s="250"/>
      <c r="S173" s="250"/>
      <c r="T173" s="250"/>
      <c r="U173" s="250"/>
      <c r="V173" s="250"/>
      <c r="W173" s="250"/>
      <c r="X173" s="250"/>
      <c r="Y173" s="250"/>
      <c r="Z173" s="250"/>
      <c r="AA173" s="250"/>
      <c r="AB173" s="250"/>
      <c r="AC173" s="250"/>
    </row>
    <row r="174" spans="1:29" ht="15.75" customHeight="1" x14ac:dyDescent="0.25">
      <c r="A174" s="97" t="s">
        <v>853</v>
      </c>
      <c r="B174" s="249">
        <v>46256</v>
      </c>
      <c r="C174" s="246">
        <v>0.45833333333333331</v>
      </c>
      <c r="D174" s="246">
        <v>0.5</v>
      </c>
      <c r="E174" s="250">
        <v>0</v>
      </c>
      <c r="F174" s="250">
        <v>0</v>
      </c>
      <c r="G174" s="250">
        <v>0</v>
      </c>
      <c r="H174" s="250">
        <v>0</v>
      </c>
      <c r="I174" s="250">
        <v>0</v>
      </c>
      <c r="J174" s="250"/>
      <c r="K174" s="250"/>
      <c r="L174" s="250"/>
      <c r="M174" s="250"/>
      <c r="N174" s="250"/>
      <c r="O174" s="250"/>
      <c r="P174" s="250"/>
      <c r="Q174" s="250"/>
      <c r="R174" s="250"/>
      <c r="S174" s="250"/>
      <c r="T174" s="250"/>
      <c r="U174" s="250"/>
      <c r="V174" s="250"/>
      <c r="W174" s="250"/>
      <c r="X174" s="250"/>
      <c r="Y174" s="250"/>
      <c r="Z174" s="250"/>
      <c r="AA174" s="250"/>
      <c r="AB174" s="250"/>
      <c r="AC174" s="250"/>
    </row>
    <row r="175" spans="1:29" ht="15.75" customHeight="1" x14ac:dyDescent="0.25">
      <c r="A175" s="97" t="s">
        <v>854</v>
      </c>
      <c r="B175" s="249">
        <v>46256</v>
      </c>
      <c r="C175" s="246">
        <v>0.5</v>
      </c>
      <c r="D175" s="246">
        <v>0.54166666666666663</v>
      </c>
      <c r="E175" s="250">
        <v>0</v>
      </c>
      <c r="F175" s="250">
        <v>0</v>
      </c>
      <c r="G175" s="250">
        <v>0</v>
      </c>
      <c r="H175" s="250">
        <v>0</v>
      </c>
      <c r="I175" s="250">
        <v>0</v>
      </c>
      <c r="J175" s="250"/>
      <c r="K175" s="250"/>
      <c r="L175" s="250"/>
      <c r="M175" s="250"/>
      <c r="N175" s="250"/>
      <c r="O175" s="250"/>
      <c r="P175" s="250"/>
      <c r="Q175" s="250"/>
      <c r="R175" s="250"/>
      <c r="S175" s="250"/>
      <c r="T175" s="250"/>
      <c r="U175" s="250"/>
      <c r="V175" s="250"/>
      <c r="W175" s="250"/>
      <c r="X175" s="250"/>
      <c r="Y175" s="250"/>
      <c r="Z175" s="250"/>
      <c r="AA175" s="250"/>
      <c r="AB175" s="250"/>
      <c r="AC175" s="250"/>
    </row>
    <row r="176" spans="1:29" ht="15.75" customHeight="1" x14ac:dyDescent="0.25">
      <c r="A176" s="97" t="s">
        <v>855</v>
      </c>
      <c r="B176" s="249">
        <v>46256</v>
      </c>
      <c r="C176" s="246">
        <v>0.54166666666666663</v>
      </c>
      <c r="D176" s="246">
        <v>0.58333333333333337</v>
      </c>
      <c r="E176" s="250">
        <v>0</v>
      </c>
      <c r="F176" s="250">
        <v>0</v>
      </c>
      <c r="G176" s="250">
        <v>0</v>
      </c>
      <c r="H176" s="250">
        <v>0</v>
      </c>
      <c r="I176" s="250">
        <v>0</v>
      </c>
      <c r="J176" s="250"/>
      <c r="K176" s="250"/>
      <c r="L176" s="250"/>
      <c r="M176" s="250"/>
      <c r="N176" s="250"/>
      <c r="O176" s="250"/>
      <c r="P176" s="250"/>
      <c r="Q176" s="250"/>
      <c r="R176" s="250"/>
      <c r="S176" s="250"/>
      <c r="T176" s="250"/>
      <c r="U176" s="250"/>
      <c r="V176" s="250"/>
      <c r="W176" s="250"/>
      <c r="X176" s="250"/>
      <c r="Y176" s="250"/>
      <c r="Z176" s="250"/>
      <c r="AA176" s="250"/>
      <c r="AB176" s="250"/>
      <c r="AC176" s="250"/>
    </row>
    <row r="177" spans="1:29" ht="15.75" customHeight="1" x14ac:dyDescent="0.25">
      <c r="A177" s="97" t="s">
        <v>856</v>
      </c>
      <c r="B177" s="249">
        <v>46256</v>
      </c>
      <c r="C177" s="246">
        <v>0.58333333333333337</v>
      </c>
      <c r="D177" s="246">
        <v>0.625</v>
      </c>
      <c r="E177" s="250">
        <v>0</v>
      </c>
      <c r="F177" s="250">
        <v>0</v>
      </c>
      <c r="G177" s="250">
        <v>0</v>
      </c>
      <c r="H177" s="250">
        <v>0</v>
      </c>
      <c r="I177" s="250">
        <v>0</v>
      </c>
      <c r="J177" s="250"/>
      <c r="K177" s="250"/>
      <c r="L177" s="250"/>
      <c r="M177" s="250"/>
      <c r="N177" s="250"/>
      <c r="O177" s="250"/>
      <c r="P177" s="250"/>
      <c r="Q177" s="250"/>
      <c r="R177" s="250"/>
      <c r="S177" s="250"/>
      <c r="T177" s="250"/>
      <c r="U177" s="250"/>
      <c r="V177" s="250"/>
      <c r="W177" s="250"/>
      <c r="X177" s="250"/>
      <c r="Y177" s="250"/>
      <c r="Z177" s="250"/>
      <c r="AA177" s="250"/>
      <c r="AB177" s="250"/>
      <c r="AC177" s="250"/>
    </row>
    <row r="178" spans="1:29" ht="15.75" customHeight="1" x14ac:dyDescent="0.25">
      <c r="A178" s="97" t="s">
        <v>857</v>
      </c>
      <c r="B178" s="249">
        <v>46256</v>
      </c>
      <c r="C178" s="246">
        <v>0.625</v>
      </c>
      <c r="D178" s="246">
        <v>0.66666666666666663</v>
      </c>
      <c r="E178" s="250">
        <v>0</v>
      </c>
      <c r="F178" s="250">
        <v>0</v>
      </c>
      <c r="G178" s="250">
        <v>0</v>
      </c>
      <c r="H178" s="250">
        <v>0</v>
      </c>
      <c r="I178" s="250">
        <v>0</v>
      </c>
      <c r="J178" s="250"/>
      <c r="K178" s="250"/>
      <c r="L178" s="250"/>
      <c r="M178" s="250"/>
      <c r="N178" s="250"/>
      <c r="O178" s="250"/>
      <c r="P178" s="250"/>
      <c r="Q178" s="250"/>
      <c r="R178" s="250"/>
      <c r="S178" s="250"/>
      <c r="T178" s="250"/>
      <c r="U178" s="250"/>
      <c r="V178" s="250"/>
      <c r="W178" s="250"/>
      <c r="X178" s="250"/>
      <c r="Y178" s="250"/>
      <c r="Z178" s="250"/>
      <c r="AA178" s="250"/>
      <c r="AB178" s="250"/>
      <c r="AC178" s="250"/>
    </row>
    <row r="179" spans="1:29" ht="15.75" customHeight="1" x14ac:dyDescent="0.25">
      <c r="A179" s="97" t="s">
        <v>858</v>
      </c>
      <c r="B179" s="249">
        <v>46256</v>
      </c>
      <c r="C179" s="246">
        <v>0.66666666666666663</v>
      </c>
      <c r="D179" s="246">
        <v>0.70833333333333337</v>
      </c>
      <c r="E179" s="250">
        <v>0</v>
      </c>
      <c r="F179" s="250">
        <v>0</v>
      </c>
      <c r="G179" s="250">
        <v>0</v>
      </c>
      <c r="H179" s="250">
        <v>0</v>
      </c>
      <c r="I179" s="250">
        <v>0</v>
      </c>
      <c r="J179" s="250"/>
      <c r="K179" s="250"/>
      <c r="L179" s="250"/>
      <c r="M179" s="250"/>
      <c r="N179" s="250"/>
      <c r="O179" s="250"/>
      <c r="P179" s="250"/>
      <c r="Q179" s="250"/>
      <c r="R179" s="250"/>
      <c r="S179" s="250"/>
      <c r="T179" s="250"/>
      <c r="U179" s="250"/>
      <c r="V179" s="250"/>
      <c r="W179" s="250"/>
      <c r="X179" s="250"/>
      <c r="Y179" s="250"/>
      <c r="Z179" s="250"/>
      <c r="AA179" s="250"/>
      <c r="AB179" s="250"/>
      <c r="AC179" s="250"/>
    </row>
    <row r="180" spans="1:29" ht="15.75" customHeight="1" x14ac:dyDescent="0.25">
      <c r="A180" s="97" t="s">
        <v>859</v>
      </c>
      <c r="B180" s="249">
        <v>46256</v>
      </c>
      <c r="C180" s="246">
        <v>0.70833333333333337</v>
      </c>
      <c r="D180" s="246">
        <v>0.75</v>
      </c>
      <c r="E180" s="250">
        <v>0</v>
      </c>
      <c r="F180" s="250">
        <v>0</v>
      </c>
      <c r="G180" s="250">
        <v>0</v>
      </c>
      <c r="H180" s="250">
        <v>0</v>
      </c>
      <c r="I180" s="250">
        <v>0</v>
      </c>
      <c r="J180" s="250"/>
      <c r="K180" s="250"/>
      <c r="L180" s="250"/>
      <c r="M180" s="250"/>
      <c r="N180" s="250"/>
      <c r="O180" s="250"/>
      <c r="P180" s="250"/>
      <c r="Q180" s="250"/>
      <c r="R180" s="250"/>
      <c r="S180" s="250"/>
      <c r="T180" s="250"/>
      <c r="U180" s="250"/>
      <c r="V180" s="250"/>
      <c r="W180" s="250"/>
      <c r="X180" s="250"/>
      <c r="Y180" s="250"/>
      <c r="Z180" s="250"/>
      <c r="AA180" s="250"/>
      <c r="AB180" s="250"/>
      <c r="AC180" s="250"/>
    </row>
    <row r="181" spans="1:29" ht="15.75" customHeight="1" x14ac:dyDescent="0.25">
      <c r="A181" s="97" t="s">
        <v>876</v>
      </c>
      <c r="B181" s="249">
        <v>46257</v>
      </c>
      <c r="C181" s="246">
        <v>0.41666666666666669</v>
      </c>
      <c r="D181" s="246">
        <v>0.45833333333333331</v>
      </c>
      <c r="E181" s="250">
        <v>0</v>
      </c>
      <c r="F181" s="250">
        <v>0</v>
      </c>
      <c r="G181" s="250">
        <v>0</v>
      </c>
      <c r="H181" s="250">
        <v>0</v>
      </c>
      <c r="I181" s="250">
        <v>0</v>
      </c>
      <c r="J181" s="250"/>
      <c r="K181" s="250"/>
      <c r="L181" s="250"/>
      <c r="M181" s="250"/>
      <c r="N181" s="250"/>
      <c r="O181" s="250"/>
      <c r="P181" s="250"/>
      <c r="Q181" s="250"/>
      <c r="R181" s="250"/>
      <c r="S181" s="250"/>
      <c r="T181" s="250"/>
      <c r="U181" s="250"/>
      <c r="V181" s="250"/>
      <c r="W181" s="250"/>
      <c r="X181" s="250"/>
      <c r="Y181" s="250"/>
      <c r="Z181" s="250"/>
      <c r="AA181" s="250"/>
      <c r="AB181" s="250"/>
      <c r="AC181" s="250"/>
    </row>
    <row r="182" spans="1:29" ht="15.75" customHeight="1" x14ac:dyDescent="0.25">
      <c r="A182" s="97" t="s">
        <v>877</v>
      </c>
      <c r="B182" s="249">
        <v>46257</v>
      </c>
      <c r="C182" s="246">
        <v>0.45833333333333331</v>
      </c>
      <c r="D182" s="246">
        <v>0.5</v>
      </c>
      <c r="E182" s="250">
        <v>0</v>
      </c>
      <c r="F182" s="250">
        <v>0</v>
      </c>
      <c r="G182" s="250">
        <v>0</v>
      </c>
      <c r="H182" s="250">
        <v>0</v>
      </c>
      <c r="I182" s="250">
        <v>0</v>
      </c>
      <c r="J182" s="250"/>
      <c r="K182" s="250"/>
      <c r="L182" s="250"/>
      <c r="M182" s="250"/>
      <c r="N182" s="250"/>
      <c r="O182" s="250"/>
      <c r="P182" s="250"/>
      <c r="Q182" s="250"/>
      <c r="R182" s="250"/>
      <c r="S182" s="250"/>
      <c r="T182" s="250"/>
      <c r="U182" s="250"/>
      <c r="V182" s="250"/>
      <c r="W182" s="250"/>
      <c r="X182" s="250"/>
      <c r="Y182" s="250"/>
      <c r="Z182" s="250"/>
      <c r="AA182" s="250"/>
      <c r="AB182" s="250"/>
      <c r="AC182" s="250"/>
    </row>
    <row r="183" spans="1:29" ht="15.75" customHeight="1" x14ac:dyDescent="0.25">
      <c r="A183" s="97" t="s">
        <v>878</v>
      </c>
      <c r="B183" s="249">
        <v>46257</v>
      </c>
      <c r="C183" s="246">
        <v>0.5</v>
      </c>
      <c r="D183" s="246">
        <v>0.54166666666666663</v>
      </c>
      <c r="E183" s="250">
        <v>0</v>
      </c>
      <c r="F183" s="250">
        <v>0</v>
      </c>
      <c r="G183" s="250">
        <v>0</v>
      </c>
      <c r="H183" s="250">
        <v>0</v>
      </c>
      <c r="I183" s="250">
        <v>0</v>
      </c>
      <c r="J183" s="250"/>
      <c r="K183" s="250"/>
      <c r="L183" s="250"/>
      <c r="M183" s="250"/>
      <c r="N183" s="250"/>
      <c r="O183" s="250"/>
      <c r="P183" s="250"/>
      <c r="Q183" s="250"/>
      <c r="R183" s="250"/>
      <c r="S183" s="250"/>
      <c r="T183" s="250"/>
      <c r="U183" s="250"/>
      <c r="V183" s="250"/>
      <c r="W183" s="250"/>
      <c r="X183" s="250"/>
      <c r="Y183" s="250"/>
      <c r="Z183" s="250"/>
      <c r="AA183" s="250"/>
      <c r="AB183" s="250"/>
      <c r="AC183" s="250"/>
    </row>
    <row r="184" spans="1:29" ht="15.75" customHeight="1" x14ac:dyDescent="0.25">
      <c r="A184" s="97" t="s">
        <v>879</v>
      </c>
      <c r="B184" s="249">
        <v>46257</v>
      </c>
      <c r="C184" s="246">
        <v>0.54166666666666663</v>
      </c>
      <c r="D184" s="246">
        <v>0.58333333333333337</v>
      </c>
      <c r="E184" s="250">
        <v>0</v>
      </c>
      <c r="F184" s="250">
        <v>0</v>
      </c>
      <c r="G184" s="250">
        <v>0</v>
      </c>
      <c r="H184" s="250">
        <v>0</v>
      </c>
      <c r="I184" s="250">
        <v>0</v>
      </c>
      <c r="J184" s="250"/>
      <c r="K184" s="250"/>
      <c r="L184" s="250"/>
      <c r="M184" s="250"/>
      <c r="N184" s="250"/>
      <c r="O184" s="250"/>
      <c r="P184" s="250"/>
      <c r="Q184" s="250"/>
      <c r="R184" s="250"/>
      <c r="S184" s="250"/>
      <c r="T184" s="250"/>
      <c r="U184" s="250"/>
      <c r="V184" s="250"/>
      <c r="W184" s="250"/>
      <c r="X184" s="250"/>
      <c r="Y184" s="250"/>
      <c r="Z184" s="250"/>
      <c r="AA184" s="250"/>
      <c r="AB184" s="250"/>
      <c r="AC184" s="250"/>
    </row>
    <row r="185" spans="1:29" ht="15.75" customHeight="1" x14ac:dyDescent="0.25">
      <c r="A185" s="97" t="s">
        <v>880</v>
      </c>
      <c r="B185" s="249">
        <v>46257</v>
      </c>
      <c r="C185" s="246">
        <v>0.58333333333333337</v>
      </c>
      <c r="D185" s="246">
        <v>0.625</v>
      </c>
      <c r="E185" s="250">
        <v>0</v>
      </c>
      <c r="F185" s="250">
        <v>0</v>
      </c>
      <c r="G185" s="250">
        <v>0</v>
      </c>
      <c r="H185" s="250">
        <v>0</v>
      </c>
      <c r="I185" s="250">
        <v>0</v>
      </c>
      <c r="J185" s="250"/>
      <c r="K185" s="250"/>
      <c r="L185" s="250"/>
      <c r="M185" s="250"/>
      <c r="N185" s="250"/>
      <c r="O185" s="250"/>
      <c r="P185" s="250"/>
      <c r="Q185" s="250"/>
      <c r="R185" s="250"/>
      <c r="S185" s="250"/>
      <c r="T185" s="250"/>
      <c r="U185" s="250"/>
      <c r="V185" s="250"/>
      <c r="W185" s="250"/>
      <c r="X185" s="250"/>
      <c r="Y185" s="250"/>
      <c r="Z185" s="250"/>
      <c r="AA185" s="250"/>
      <c r="AB185" s="250"/>
      <c r="AC185" s="250"/>
    </row>
    <row r="186" spans="1:29" ht="15.75" customHeight="1" x14ac:dyDescent="0.25">
      <c r="A186" s="97" t="s">
        <v>881</v>
      </c>
      <c r="B186" s="249">
        <v>46257</v>
      </c>
      <c r="C186" s="246">
        <v>0.625</v>
      </c>
      <c r="D186" s="246">
        <v>0.66666666666666663</v>
      </c>
      <c r="E186" s="250">
        <v>0</v>
      </c>
      <c r="F186" s="250">
        <v>0</v>
      </c>
      <c r="G186" s="250">
        <v>0</v>
      </c>
      <c r="H186" s="250">
        <v>0</v>
      </c>
      <c r="I186" s="250">
        <v>0</v>
      </c>
      <c r="J186" s="250"/>
      <c r="K186" s="250"/>
      <c r="L186" s="250"/>
      <c r="M186" s="250"/>
      <c r="N186" s="250"/>
      <c r="O186" s="250"/>
      <c r="P186" s="250"/>
      <c r="Q186" s="250"/>
      <c r="R186" s="250"/>
      <c r="S186" s="250"/>
      <c r="T186" s="250"/>
      <c r="U186" s="250"/>
      <c r="V186" s="250"/>
      <c r="W186" s="250"/>
      <c r="X186" s="250"/>
      <c r="Y186" s="250"/>
      <c r="Z186" s="250"/>
      <c r="AA186" s="250"/>
      <c r="AB186" s="250"/>
      <c r="AC186" s="250"/>
    </row>
    <row r="187" spans="1:29" ht="15.75" customHeight="1" x14ac:dyDescent="0.25">
      <c r="A187" s="97" t="s">
        <v>882</v>
      </c>
      <c r="B187" s="249">
        <v>46257</v>
      </c>
      <c r="C187" s="246">
        <v>0.66666666666666663</v>
      </c>
      <c r="D187" s="246">
        <v>0.70833333333333337</v>
      </c>
      <c r="E187" s="250">
        <v>0</v>
      </c>
      <c r="F187" s="250">
        <v>0</v>
      </c>
      <c r="G187" s="250">
        <v>0</v>
      </c>
      <c r="H187" s="250">
        <v>0</v>
      </c>
      <c r="I187" s="250">
        <v>0</v>
      </c>
      <c r="J187" s="250"/>
      <c r="K187" s="250"/>
      <c r="L187" s="250"/>
      <c r="M187" s="250"/>
      <c r="N187" s="250"/>
      <c r="O187" s="250"/>
      <c r="P187" s="250"/>
      <c r="Q187" s="250"/>
      <c r="R187" s="250"/>
      <c r="S187" s="250"/>
      <c r="T187" s="250"/>
      <c r="U187" s="250"/>
      <c r="V187" s="250"/>
      <c r="W187" s="250"/>
      <c r="X187" s="250"/>
      <c r="Y187" s="250"/>
      <c r="Z187" s="250"/>
      <c r="AA187" s="250"/>
      <c r="AB187" s="250"/>
      <c r="AC187" s="250"/>
    </row>
    <row r="188" spans="1:29" ht="15.75" customHeight="1" x14ac:dyDescent="0.25">
      <c r="A188" s="97" t="s">
        <v>883</v>
      </c>
      <c r="B188" s="249">
        <v>46257</v>
      </c>
      <c r="C188" s="246">
        <v>0.70833333333333337</v>
      </c>
      <c r="D188" s="246">
        <v>0.75</v>
      </c>
      <c r="E188" s="250">
        <v>0</v>
      </c>
      <c r="F188" s="250">
        <v>0</v>
      </c>
      <c r="G188" s="250">
        <v>0</v>
      </c>
      <c r="H188" s="250">
        <v>0</v>
      </c>
      <c r="I188" s="250">
        <v>0</v>
      </c>
      <c r="J188" s="250"/>
      <c r="K188" s="250"/>
      <c r="L188" s="250"/>
      <c r="M188" s="250"/>
      <c r="N188" s="250"/>
      <c r="O188" s="250"/>
      <c r="P188" s="250"/>
      <c r="Q188" s="250"/>
      <c r="R188" s="250"/>
      <c r="S188" s="250"/>
      <c r="T188" s="250"/>
      <c r="U188" s="250"/>
      <c r="V188" s="250"/>
      <c r="W188" s="250"/>
      <c r="X188" s="250"/>
      <c r="Y188" s="250"/>
      <c r="Z188" s="250"/>
      <c r="AA188" s="250"/>
      <c r="AB188" s="250"/>
      <c r="AC188" s="250"/>
    </row>
    <row r="189" spans="1:29" ht="15.75" customHeight="1" x14ac:dyDescent="0.25">
      <c r="A189" s="97" t="s">
        <v>900</v>
      </c>
      <c r="B189" s="249">
        <v>46258</v>
      </c>
      <c r="C189" s="246">
        <v>0.41666666666666669</v>
      </c>
      <c r="D189" s="246">
        <v>0.45833333333333331</v>
      </c>
      <c r="E189" s="250">
        <v>0</v>
      </c>
      <c r="F189" s="250">
        <v>0</v>
      </c>
      <c r="G189" s="250">
        <v>0</v>
      </c>
      <c r="H189" s="250">
        <v>0</v>
      </c>
      <c r="I189" s="250">
        <v>0</v>
      </c>
      <c r="J189" s="250"/>
      <c r="K189" s="250"/>
      <c r="L189" s="250"/>
      <c r="M189" s="250"/>
      <c r="N189" s="250"/>
      <c r="O189" s="250"/>
      <c r="P189" s="250"/>
      <c r="Q189" s="250"/>
      <c r="R189" s="250"/>
      <c r="S189" s="250"/>
      <c r="T189" s="250"/>
      <c r="U189" s="250"/>
      <c r="V189" s="250"/>
      <c r="W189" s="250"/>
      <c r="X189" s="250"/>
      <c r="Y189" s="250"/>
      <c r="Z189" s="250"/>
      <c r="AA189" s="250"/>
      <c r="AB189" s="250"/>
      <c r="AC189" s="250"/>
    </row>
    <row r="190" spans="1:29" ht="15.75" customHeight="1" x14ac:dyDescent="0.25">
      <c r="A190" s="97" t="s">
        <v>901</v>
      </c>
      <c r="B190" s="249">
        <v>46258</v>
      </c>
      <c r="C190" s="246">
        <v>0.45833333333333331</v>
      </c>
      <c r="D190" s="246">
        <v>0.5</v>
      </c>
      <c r="E190" s="250">
        <v>0</v>
      </c>
      <c r="F190" s="250">
        <v>0</v>
      </c>
      <c r="G190" s="250">
        <v>0</v>
      </c>
      <c r="H190" s="250">
        <v>0</v>
      </c>
      <c r="I190" s="250">
        <v>0</v>
      </c>
      <c r="J190" s="250"/>
      <c r="K190" s="250"/>
      <c r="L190" s="250"/>
      <c r="M190" s="250"/>
      <c r="N190" s="250"/>
      <c r="O190" s="250"/>
      <c r="P190" s="250"/>
      <c r="Q190" s="250"/>
      <c r="R190" s="250"/>
      <c r="S190" s="250"/>
      <c r="T190" s="250"/>
      <c r="U190" s="250"/>
      <c r="V190" s="250"/>
      <c r="W190" s="250"/>
      <c r="X190" s="250"/>
      <c r="Y190" s="250"/>
      <c r="Z190" s="250"/>
      <c r="AA190" s="250"/>
      <c r="AB190" s="250"/>
      <c r="AC190" s="250"/>
    </row>
    <row r="191" spans="1:29" ht="15.75" customHeight="1" x14ac:dyDescent="0.25">
      <c r="A191" s="97" t="s">
        <v>902</v>
      </c>
      <c r="B191" s="249">
        <v>46258</v>
      </c>
      <c r="C191" s="246">
        <v>0.5</v>
      </c>
      <c r="D191" s="246">
        <v>0.54166666666666663</v>
      </c>
      <c r="E191" s="250">
        <v>0</v>
      </c>
      <c r="F191" s="250">
        <v>0</v>
      </c>
      <c r="G191" s="250">
        <v>0</v>
      </c>
      <c r="H191" s="250">
        <v>0</v>
      </c>
      <c r="I191" s="250">
        <v>0</v>
      </c>
      <c r="J191" s="250"/>
      <c r="K191" s="250"/>
      <c r="L191" s="250"/>
      <c r="M191" s="250"/>
      <c r="N191" s="250"/>
      <c r="O191" s="250"/>
      <c r="P191" s="250"/>
      <c r="Q191" s="250"/>
      <c r="R191" s="250"/>
      <c r="S191" s="250"/>
      <c r="T191" s="250"/>
      <c r="U191" s="250"/>
      <c r="V191" s="250"/>
      <c r="W191" s="250"/>
      <c r="X191" s="250"/>
      <c r="Y191" s="250"/>
      <c r="Z191" s="250"/>
      <c r="AA191" s="250"/>
      <c r="AB191" s="250"/>
      <c r="AC191" s="250"/>
    </row>
    <row r="192" spans="1:29" ht="15.75" customHeight="1" x14ac:dyDescent="0.25">
      <c r="A192" s="97" t="s">
        <v>903</v>
      </c>
      <c r="B192" s="249">
        <v>46258</v>
      </c>
      <c r="C192" s="246">
        <v>0.54166666666666663</v>
      </c>
      <c r="D192" s="246">
        <v>0.58333333333333337</v>
      </c>
      <c r="E192" s="250">
        <v>0</v>
      </c>
      <c r="F192" s="250">
        <v>0</v>
      </c>
      <c r="G192" s="250">
        <v>0</v>
      </c>
      <c r="H192" s="250">
        <v>0</v>
      </c>
      <c r="I192" s="250">
        <v>0</v>
      </c>
      <c r="J192" s="250"/>
      <c r="K192" s="250"/>
      <c r="L192" s="250"/>
      <c r="M192" s="250"/>
      <c r="N192" s="250"/>
      <c r="O192" s="250"/>
      <c r="P192" s="250"/>
      <c r="Q192" s="250"/>
      <c r="R192" s="250"/>
      <c r="S192" s="250"/>
      <c r="T192" s="250"/>
      <c r="U192" s="250"/>
      <c r="V192" s="250"/>
      <c r="W192" s="250"/>
      <c r="X192" s="250"/>
      <c r="Y192" s="250"/>
      <c r="Z192" s="250"/>
      <c r="AA192" s="250"/>
      <c r="AB192" s="250"/>
      <c r="AC192" s="250"/>
    </row>
    <row r="193" spans="1:29" ht="15.75" customHeight="1" x14ac:dyDescent="0.25">
      <c r="A193" s="97" t="s">
        <v>904</v>
      </c>
      <c r="B193" s="249">
        <v>46258</v>
      </c>
      <c r="C193" s="246">
        <v>0.58333333333333337</v>
      </c>
      <c r="D193" s="246">
        <v>0.625</v>
      </c>
      <c r="E193" s="250">
        <v>0</v>
      </c>
      <c r="F193" s="250">
        <v>0</v>
      </c>
      <c r="G193" s="250">
        <v>0</v>
      </c>
      <c r="H193" s="250">
        <v>0</v>
      </c>
      <c r="I193" s="250">
        <v>0</v>
      </c>
      <c r="J193" s="250"/>
      <c r="K193" s="250"/>
      <c r="L193" s="250"/>
      <c r="M193" s="250"/>
      <c r="N193" s="250"/>
      <c r="O193" s="250"/>
      <c r="P193" s="250"/>
      <c r="Q193" s="250"/>
      <c r="R193" s="250"/>
      <c r="S193" s="250"/>
      <c r="T193" s="250"/>
      <c r="U193" s="250"/>
      <c r="V193" s="250"/>
      <c r="W193" s="250"/>
      <c r="X193" s="250"/>
      <c r="Y193" s="250"/>
      <c r="Z193" s="250"/>
      <c r="AA193" s="250"/>
      <c r="AB193" s="250"/>
      <c r="AC193" s="250"/>
    </row>
    <row r="194" spans="1:29" ht="15.75" customHeight="1" x14ac:dyDescent="0.25">
      <c r="A194" s="97" t="s">
        <v>905</v>
      </c>
      <c r="B194" s="249">
        <v>46258</v>
      </c>
      <c r="C194" s="246">
        <v>0.625</v>
      </c>
      <c r="D194" s="246">
        <v>0.66666666666666663</v>
      </c>
      <c r="E194" s="250">
        <v>0</v>
      </c>
      <c r="F194" s="250">
        <v>0</v>
      </c>
      <c r="G194" s="250">
        <v>0</v>
      </c>
      <c r="H194" s="250">
        <v>0</v>
      </c>
      <c r="I194" s="250">
        <v>0</v>
      </c>
      <c r="J194" s="250"/>
      <c r="K194" s="250"/>
      <c r="L194" s="250"/>
      <c r="M194" s="250"/>
      <c r="N194" s="250"/>
      <c r="O194" s="250"/>
      <c r="P194" s="250"/>
      <c r="Q194" s="250"/>
      <c r="R194" s="250"/>
      <c r="S194" s="250"/>
      <c r="T194" s="250"/>
      <c r="U194" s="250"/>
      <c r="V194" s="250"/>
      <c r="W194" s="250"/>
      <c r="X194" s="250"/>
      <c r="Y194" s="250"/>
      <c r="Z194" s="250"/>
      <c r="AA194" s="250"/>
      <c r="AB194" s="250"/>
      <c r="AC194" s="250"/>
    </row>
    <row r="195" spans="1:29" ht="15.75" customHeight="1" x14ac:dyDescent="0.25">
      <c r="A195" s="97" t="s">
        <v>906</v>
      </c>
      <c r="B195" s="249">
        <v>46258</v>
      </c>
      <c r="C195" s="246">
        <v>0.66666666666666663</v>
      </c>
      <c r="D195" s="246">
        <v>0.70833333333333337</v>
      </c>
      <c r="E195" s="250">
        <v>0</v>
      </c>
      <c r="F195" s="250">
        <v>0</v>
      </c>
      <c r="G195" s="250">
        <v>0</v>
      </c>
      <c r="H195" s="250">
        <v>0</v>
      </c>
      <c r="I195" s="250">
        <v>0</v>
      </c>
      <c r="J195" s="250"/>
      <c r="K195" s="250"/>
      <c r="L195" s="250"/>
      <c r="M195" s="250"/>
      <c r="N195" s="250"/>
      <c r="O195" s="250"/>
      <c r="P195" s="250"/>
      <c r="Q195" s="250"/>
      <c r="R195" s="250"/>
      <c r="S195" s="250"/>
      <c r="T195" s="250"/>
      <c r="U195" s="250"/>
      <c r="V195" s="250"/>
      <c r="W195" s="250"/>
      <c r="X195" s="250"/>
      <c r="Y195" s="250"/>
      <c r="Z195" s="250"/>
      <c r="AA195" s="250"/>
      <c r="AB195" s="250"/>
      <c r="AC195" s="250"/>
    </row>
    <row r="196" spans="1:29" ht="15.75" customHeight="1" x14ac:dyDescent="0.25">
      <c r="A196" s="97" t="s">
        <v>907</v>
      </c>
      <c r="B196" s="249">
        <v>46258</v>
      </c>
      <c r="C196" s="246">
        <v>0.70833333333333337</v>
      </c>
      <c r="D196" s="246">
        <v>0.75</v>
      </c>
      <c r="E196" s="250">
        <v>0</v>
      </c>
      <c r="F196" s="250">
        <v>0</v>
      </c>
      <c r="G196" s="250">
        <v>0</v>
      </c>
      <c r="H196" s="250">
        <v>0</v>
      </c>
      <c r="I196" s="250">
        <v>0</v>
      </c>
      <c r="J196" s="250"/>
      <c r="K196" s="250"/>
      <c r="L196" s="250"/>
      <c r="M196" s="250"/>
      <c r="N196" s="250"/>
      <c r="O196" s="250"/>
      <c r="P196" s="250"/>
      <c r="Q196" s="250"/>
      <c r="R196" s="250"/>
      <c r="S196" s="250"/>
      <c r="T196" s="250"/>
      <c r="U196" s="250"/>
      <c r="V196" s="250"/>
      <c r="W196" s="250"/>
      <c r="X196" s="250"/>
      <c r="Y196" s="250"/>
      <c r="Z196" s="250"/>
      <c r="AA196" s="250"/>
      <c r="AB196" s="250"/>
      <c r="AC196" s="250"/>
    </row>
    <row r="197" spans="1:29" ht="15.75" customHeight="1" x14ac:dyDescent="0.25">
      <c r="A197" s="97" t="s">
        <v>924</v>
      </c>
      <c r="B197" s="249">
        <v>46259</v>
      </c>
      <c r="C197" s="246">
        <v>0.41666666666666669</v>
      </c>
      <c r="D197" s="246">
        <v>0.45833333333333331</v>
      </c>
      <c r="E197" s="250">
        <v>0</v>
      </c>
      <c r="F197" s="250">
        <v>0</v>
      </c>
      <c r="G197" s="250">
        <v>0</v>
      </c>
      <c r="H197" s="250">
        <v>0</v>
      </c>
      <c r="I197" s="250">
        <v>0</v>
      </c>
      <c r="J197" s="250"/>
      <c r="K197" s="250"/>
      <c r="L197" s="250"/>
      <c r="M197" s="250"/>
      <c r="N197" s="250"/>
      <c r="O197" s="250"/>
      <c r="P197" s="250"/>
      <c r="Q197" s="250"/>
      <c r="R197" s="250"/>
      <c r="S197" s="250"/>
      <c r="T197" s="250"/>
      <c r="U197" s="250"/>
      <c r="V197" s="250"/>
      <c r="W197" s="250"/>
      <c r="X197" s="250"/>
      <c r="Y197" s="250"/>
      <c r="Z197" s="250"/>
      <c r="AA197" s="250"/>
      <c r="AB197" s="250"/>
      <c r="AC197" s="250"/>
    </row>
    <row r="198" spans="1:29" ht="15.75" customHeight="1" x14ac:dyDescent="0.25">
      <c r="A198" s="97" t="s">
        <v>925</v>
      </c>
      <c r="B198" s="249">
        <v>46259</v>
      </c>
      <c r="C198" s="246">
        <v>0.45833333333333331</v>
      </c>
      <c r="D198" s="246">
        <v>0.5</v>
      </c>
      <c r="E198" s="250">
        <v>0</v>
      </c>
      <c r="F198" s="250">
        <v>0</v>
      </c>
      <c r="G198" s="250">
        <v>0</v>
      </c>
      <c r="H198" s="250">
        <v>0</v>
      </c>
      <c r="I198" s="250">
        <v>0</v>
      </c>
      <c r="J198" s="250"/>
      <c r="K198" s="250"/>
      <c r="L198" s="250"/>
      <c r="M198" s="250"/>
      <c r="N198" s="250"/>
      <c r="O198" s="250"/>
      <c r="P198" s="250"/>
      <c r="Q198" s="250"/>
      <c r="R198" s="250"/>
      <c r="S198" s="250"/>
      <c r="T198" s="250"/>
      <c r="U198" s="250"/>
      <c r="V198" s="250"/>
      <c r="W198" s="250"/>
      <c r="X198" s="250"/>
      <c r="Y198" s="250"/>
      <c r="Z198" s="250"/>
      <c r="AA198" s="250"/>
      <c r="AB198" s="250"/>
      <c r="AC198" s="250"/>
    </row>
    <row r="199" spans="1:29" ht="15.75" customHeight="1" x14ac:dyDescent="0.25">
      <c r="A199" s="97" t="s">
        <v>926</v>
      </c>
      <c r="B199" s="249">
        <v>46259</v>
      </c>
      <c r="C199" s="246">
        <v>0.5</v>
      </c>
      <c r="D199" s="246">
        <v>0.54166666666666663</v>
      </c>
      <c r="E199" s="250">
        <v>0</v>
      </c>
      <c r="F199" s="250">
        <v>0</v>
      </c>
      <c r="G199" s="250">
        <v>0</v>
      </c>
      <c r="H199" s="250">
        <v>0</v>
      </c>
      <c r="I199" s="250">
        <v>0</v>
      </c>
      <c r="J199" s="250"/>
      <c r="K199" s="250"/>
      <c r="L199" s="250"/>
      <c r="M199" s="250"/>
      <c r="N199" s="250"/>
      <c r="O199" s="250"/>
      <c r="P199" s="250"/>
      <c r="Q199" s="250"/>
      <c r="R199" s="250"/>
      <c r="S199" s="250"/>
      <c r="T199" s="250"/>
      <c r="U199" s="250"/>
      <c r="V199" s="250"/>
      <c r="W199" s="250"/>
      <c r="X199" s="250"/>
      <c r="Y199" s="250"/>
      <c r="Z199" s="250"/>
      <c r="AA199" s="250"/>
      <c r="AB199" s="250"/>
      <c r="AC199" s="250"/>
    </row>
    <row r="200" spans="1:29" ht="15.75" customHeight="1" x14ac:dyDescent="0.25">
      <c r="A200" s="97" t="s">
        <v>927</v>
      </c>
      <c r="B200" s="249">
        <v>46259</v>
      </c>
      <c r="C200" s="246">
        <v>0.54166666666666663</v>
      </c>
      <c r="D200" s="246">
        <v>0.58333333333333337</v>
      </c>
      <c r="E200" s="250">
        <v>0</v>
      </c>
      <c r="F200" s="250">
        <v>0</v>
      </c>
      <c r="G200" s="250">
        <v>0</v>
      </c>
      <c r="H200" s="250">
        <v>0</v>
      </c>
      <c r="I200" s="250">
        <v>0</v>
      </c>
      <c r="J200" s="250"/>
      <c r="K200" s="250"/>
      <c r="L200" s="250"/>
      <c r="M200" s="250"/>
      <c r="N200" s="250"/>
      <c r="O200" s="250"/>
      <c r="P200" s="250"/>
      <c r="Q200" s="250"/>
      <c r="R200" s="250"/>
      <c r="S200" s="250"/>
      <c r="T200" s="250"/>
      <c r="U200" s="250"/>
      <c r="V200" s="250"/>
      <c r="W200" s="250"/>
      <c r="X200" s="250"/>
      <c r="Y200" s="250"/>
      <c r="Z200" s="250"/>
      <c r="AA200" s="250"/>
      <c r="AB200" s="250"/>
      <c r="AC200" s="250"/>
    </row>
    <row r="201" spans="1:29" ht="15.75" customHeight="1" x14ac:dyDescent="0.25">
      <c r="A201" s="97" t="s">
        <v>928</v>
      </c>
      <c r="B201" s="249">
        <v>46259</v>
      </c>
      <c r="C201" s="246">
        <v>0.58333333333333337</v>
      </c>
      <c r="D201" s="246">
        <v>0.625</v>
      </c>
      <c r="E201" s="250">
        <v>0</v>
      </c>
      <c r="F201" s="250">
        <v>0</v>
      </c>
      <c r="G201" s="250">
        <v>0</v>
      </c>
      <c r="H201" s="250">
        <v>0</v>
      </c>
      <c r="I201" s="250">
        <v>0</v>
      </c>
      <c r="J201" s="250"/>
      <c r="K201" s="250"/>
      <c r="L201" s="250"/>
      <c r="M201" s="250"/>
      <c r="N201" s="250"/>
      <c r="O201" s="250"/>
      <c r="P201" s="250"/>
      <c r="Q201" s="250"/>
      <c r="R201" s="250"/>
      <c r="S201" s="250"/>
      <c r="T201" s="250"/>
      <c r="U201" s="250"/>
      <c r="V201" s="250"/>
      <c r="W201" s="250"/>
      <c r="X201" s="250"/>
      <c r="Y201" s="250"/>
      <c r="Z201" s="250"/>
      <c r="AA201" s="250"/>
      <c r="AB201" s="250"/>
      <c r="AC201" s="250"/>
    </row>
    <row r="202" spans="1:29" ht="15.75" customHeight="1" x14ac:dyDescent="0.25">
      <c r="A202" s="97" t="s">
        <v>929</v>
      </c>
      <c r="B202" s="249">
        <v>46259</v>
      </c>
      <c r="C202" s="246">
        <v>0.625</v>
      </c>
      <c r="D202" s="246">
        <v>0.66666666666666663</v>
      </c>
      <c r="E202" s="250">
        <v>0</v>
      </c>
      <c r="F202" s="250">
        <v>0</v>
      </c>
      <c r="G202" s="250">
        <v>0</v>
      </c>
      <c r="H202" s="250">
        <v>0</v>
      </c>
      <c r="I202" s="250">
        <v>0</v>
      </c>
      <c r="J202" s="250"/>
      <c r="K202" s="250"/>
      <c r="L202" s="250"/>
      <c r="M202" s="250"/>
      <c r="N202" s="250"/>
      <c r="O202" s="250"/>
      <c r="P202" s="250"/>
      <c r="Q202" s="250"/>
      <c r="R202" s="250"/>
      <c r="S202" s="250"/>
      <c r="T202" s="250"/>
      <c r="U202" s="250"/>
      <c r="V202" s="250"/>
      <c r="W202" s="250"/>
      <c r="X202" s="250"/>
      <c r="Y202" s="250"/>
      <c r="Z202" s="250"/>
      <c r="AA202" s="250"/>
      <c r="AB202" s="250"/>
      <c r="AC202" s="250"/>
    </row>
    <row r="203" spans="1:29" ht="15.75" customHeight="1" x14ac:dyDescent="0.25">
      <c r="A203" s="97" t="s">
        <v>930</v>
      </c>
      <c r="B203" s="249">
        <v>46259</v>
      </c>
      <c r="C203" s="246">
        <v>0.66666666666666663</v>
      </c>
      <c r="D203" s="246">
        <v>0.70833333333333337</v>
      </c>
      <c r="E203" s="250">
        <v>0</v>
      </c>
      <c r="F203" s="250">
        <v>0</v>
      </c>
      <c r="G203" s="250">
        <v>0</v>
      </c>
      <c r="H203" s="250">
        <v>0</v>
      </c>
      <c r="I203" s="250">
        <v>0</v>
      </c>
      <c r="J203" s="250"/>
      <c r="K203" s="250"/>
      <c r="L203" s="250"/>
      <c r="M203" s="250"/>
      <c r="N203" s="250"/>
      <c r="O203" s="250"/>
      <c r="P203" s="250"/>
      <c r="Q203" s="250"/>
      <c r="R203" s="250"/>
      <c r="S203" s="250"/>
      <c r="T203" s="250"/>
      <c r="U203" s="250"/>
      <c r="V203" s="250"/>
      <c r="W203" s="250"/>
      <c r="X203" s="250"/>
      <c r="Y203" s="250"/>
      <c r="Z203" s="250"/>
      <c r="AA203" s="250"/>
      <c r="AB203" s="250"/>
      <c r="AC203" s="250"/>
    </row>
    <row r="204" spans="1:29" ht="15.75" customHeight="1" x14ac:dyDescent="0.25">
      <c r="A204" s="97" t="s">
        <v>931</v>
      </c>
      <c r="B204" s="249">
        <v>46259</v>
      </c>
      <c r="C204" s="246">
        <v>0.70833333333333337</v>
      </c>
      <c r="D204" s="246">
        <v>0.75</v>
      </c>
      <c r="E204" s="250">
        <v>0</v>
      </c>
      <c r="F204" s="250">
        <v>0</v>
      </c>
      <c r="G204" s="250">
        <v>0</v>
      </c>
      <c r="H204" s="250">
        <v>0</v>
      </c>
      <c r="I204" s="250">
        <v>0</v>
      </c>
      <c r="J204" s="250"/>
      <c r="K204" s="250"/>
      <c r="L204" s="250"/>
      <c r="M204" s="250"/>
      <c r="N204" s="250"/>
      <c r="O204" s="250"/>
      <c r="P204" s="250"/>
      <c r="Q204" s="250"/>
      <c r="R204" s="250"/>
      <c r="S204" s="250"/>
      <c r="T204" s="250"/>
      <c r="U204" s="250"/>
      <c r="V204" s="250"/>
      <c r="W204" s="250"/>
      <c r="X204" s="250"/>
      <c r="Y204" s="250"/>
      <c r="Z204" s="250"/>
      <c r="AA204" s="250"/>
      <c r="AB204" s="250"/>
      <c r="AC204" s="250"/>
    </row>
    <row r="205" spans="1:29" ht="15.75" customHeight="1" x14ac:dyDescent="0.25">
      <c r="A205" s="97" t="s">
        <v>948</v>
      </c>
      <c r="B205" s="249">
        <v>46260</v>
      </c>
      <c r="C205" s="246">
        <v>0.41666666666666669</v>
      </c>
      <c r="D205" s="246">
        <v>0.45833333333333331</v>
      </c>
      <c r="E205" s="250">
        <v>0</v>
      </c>
      <c r="F205" s="250">
        <v>0</v>
      </c>
      <c r="G205" s="250">
        <v>0</v>
      </c>
      <c r="H205" s="250">
        <v>0</v>
      </c>
      <c r="I205" s="250">
        <v>0</v>
      </c>
      <c r="J205" s="250"/>
      <c r="K205" s="250"/>
      <c r="L205" s="250"/>
      <c r="M205" s="250"/>
      <c r="N205" s="250"/>
      <c r="O205" s="250"/>
      <c r="P205" s="250"/>
      <c r="Q205" s="250"/>
      <c r="R205" s="250"/>
      <c r="S205" s="250"/>
      <c r="T205" s="250"/>
      <c r="U205" s="250"/>
      <c r="V205" s="250"/>
      <c r="W205" s="250"/>
      <c r="X205" s="250"/>
      <c r="Y205" s="250"/>
      <c r="Z205" s="250"/>
      <c r="AA205" s="250"/>
      <c r="AB205" s="250"/>
      <c r="AC205" s="250"/>
    </row>
    <row r="206" spans="1:29" ht="15.75" customHeight="1" x14ac:dyDescent="0.25">
      <c r="A206" s="97" t="s">
        <v>949</v>
      </c>
      <c r="B206" s="249">
        <v>46260</v>
      </c>
      <c r="C206" s="246">
        <v>0.45833333333333331</v>
      </c>
      <c r="D206" s="246">
        <v>0.5</v>
      </c>
      <c r="E206" s="250">
        <v>0</v>
      </c>
      <c r="F206" s="250">
        <v>0</v>
      </c>
      <c r="G206" s="250">
        <v>0</v>
      </c>
      <c r="H206" s="250">
        <v>0</v>
      </c>
      <c r="I206" s="250">
        <v>0</v>
      </c>
      <c r="J206" s="250"/>
      <c r="K206" s="250"/>
      <c r="L206" s="250"/>
      <c r="M206" s="250"/>
      <c r="N206" s="250"/>
      <c r="O206" s="250"/>
      <c r="P206" s="250"/>
      <c r="Q206" s="250"/>
      <c r="R206" s="250"/>
      <c r="S206" s="250"/>
      <c r="T206" s="250"/>
      <c r="U206" s="250"/>
      <c r="V206" s="250"/>
      <c r="W206" s="250"/>
      <c r="X206" s="250"/>
      <c r="Y206" s="250"/>
      <c r="Z206" s="250"/>
      <c r="AA206" s="250"/>
      <c r="AB206" s="250"/>
      <c r="AC206" s="250"/>
    </row>
    <row r="207" spans="1:29" ht="15.75" customHeight="1" x14ac:dyDescent="0.25">
      <c r="A207" s="97" t="s">
        <v>950</v>
      </c>
      <c r="B207" s="249">
        <v>46260</v>
      </c>
      <c r="C207" s="246">
        <v>0.5</v>
      </c>
      <c r="D207" s="246">
        <v>0.54166666666666663</v>
      </c>
      <c r="E207" s="250">
        <v>0</v>
      </c>
      <c r="F207" s="250">
        <v>0</v>
      </c>
      <c r="G207" s="250">
        <v>0</v>
      </c>
      <c r="H207" s="250">
        <v>0</v>
      </c>
      <c r="I207" s="250">
        <v>0</v>
      </c>
      <c r="J207" s="250"/>
      <c r="K207" s="250"/>
      <c r="L207" s="250"/>
      <c r="M207" s="250"/>
      <c r="N207" s="250"/>
      <c r="O207" s="250"/>
      <c r="P207" s="250"/>
      <c r="Q207" s="250"/>
      <c r="R207" s="250"/>
      <c r="S207" s="250"/>
      <c r="T207" s="250"/>
      <c r="U207" s="250"/>
      <c r="V207" s="250"/>
      <c r="W207" s="250"/>
      <c r="X207" s="250"/>
      <c r="Y207" s="250"/>
      <c r="Z207" s="250"/>
      <c r="AA207" s="250"/>
      <c r="AB207" s="250"/>
      <c r="AC207" s="250"/>
    </row>
    <row r="208" spans="1:29" ht="15.75" customHeight="1" x14ac:dyDescent="0.25">
      <c r="A208" s="97" t="s">
        <v>951</v>
      </c>
      <c r="B208" s="249">
        <v>46260</v>
      </c>
      <c r="C208" s="246">
        <v>0.54166666666666663</v>
      </c>
      <c r="D208" s="246">
        <v>0.58333333333333337</v>
      </c>
      <c r="E208" s="250">
        <v>0</v>
      </c>
      <c r="F208" s="250">
        <v>0</v>
      </c>
      <c r="G208" s="250">
        <v>0</v>
      </c>
      <c r="H208" s="250">
        <v>0</v>
      </c>
      <c r="I208" s="250">
        <v>0</v>
      </c>
      <c r="J208" s="250"/>
      <c r="K208" s="250"/>
      <c r="L208" s="250"/>
      <c r="M208" s="250"/>
      <c r="N208" s="250"/>
      <c r="O208" s="250"/>
      <c r="P208" s="250"/>
      <c r="Q208" s="250"/>
      <c r="R208" s="250"/>
      <c r="S208" s="250"/>
      <c r="T208" s="250"/>
      <c r="U208" s="250"/>
      <c r="V208" s="250"/>
      <c r="W208" s="250"/>
      <c r="X208" s="250"/>
      <c r="Y208" s="250"/>
      <c r="Z208" s="250"/>
      <c r="AA208" s="250"/>
      <c r="AB208" s="250"/>
      <c r="AC208" s="250"/>
    </row>
    <row r="209" spans="1:29" ht="15.75" customHeight="1" x14ac:dyDescent="0.25">
      <c r="A209" s="97" t="s">
        <v>952</v>
      </c>
      <c r="B209" s="249">
        <v>46260</v>
      </c>
      <c r="C209" s="246">
        <v>0.58333333333333337</v>
      </c>
      <c r="D209" s="246">
        <v>0.625</v>
      </c>
      <c r="E209" s="250">
        <v>0</v>
      </c>
      <c r="F209" s="250">
        <v>0</v>
      </c>
      <c r="G209" s="250">
        <v>0</v>
      </c>
      <c r="H209" s="250">
        <v>0</v>
      </c>
      <c r="I209" s="250">
        <v>0</v>
      </c>
      <c r="J209" s="250"/>
      <c r="K209" s="250"/>
      <c r="L209" s="250"/>
      <c r="M209" s="250"/>
      <c r="N209" s="250"/>
      <c r="O209" s="250"/>
      <c r="P209" s="250"/>
      <c r="Q209" s="250"/>
      <c r="R209" s="250"/>
      <c r="S209" s="250"/>
      <c r="T209" s="250"/>
      <c r="U209" s="250"/>
      <c r="V209" s="250"/>
      <c r="W209" s="250"/>
      <c r="X209" s="250"/>
      <c r="Y209" s="250"/>
      <c r="Z209" s="250"/>
      <c r="AA209" s="250"/>
      <c r="AB209" s="250"/>
      <c r="AC209" s="250"/>
    </row>
    <row r="210" spans="1:29" ht="15.75" customHeight="1" x14ac:dyDescent="0.25">
      <c r="A210" s="97" t="s">
        <v>953</v>
      </c>
      <c r="B210" s="249">
        <v>46260</v>
      </c>
      <c r="C210" s="246">
        <v>0.625</v>
      </c>
      <c r="D210" s="246">
        <v>0.66666666666666663</v>
      </c>
      <c r="E210" s="250">
        <v>0</v>
      </c>
      <c r="F210" s="250">
        <v>0</v>
      </c>
      <c r="G210" s="250">
        <v>0</v>
      </c>
      <c r="H210" s="250">
        <v>0</v>
      </c>
      <c r="I210" s="250">
        <v>0</v>
      </c>
      <c r="J210" s="250"/>
      <c r="K210" s="250"/>
      <c r="L210" s="250"/>
      <c r="M210" s="250"/>
      <c r="N210" s="250"/>
      <c r="O210" s="250"/>
      <c r="P210" s="250"/>
      <c r="Q210" s="250"/>
      <c r="R210" s="250"/>
      <c r="S210" s="250"/>
      <c r="T210" s="250"/>
      <c r="U210" s="250"/>
      <c r="V210" s="250"/>
      <c r="W210" s="250"/>
      <c r="X210" s="250"/>
      <c r="Y210" s="250"/>
      <c r="Z210" s="250"/>
      <c r="AA210" s="250"/>
      <c r="AB210" s="250"/>
      <c r="AC210" s="250"/>
    </row>
    <row r="211" spans="1:29" ht="15.75" customHeight="1" x14ac:dyDescent="0.25">
      <c r="A211" s="97" t="s">
        <v>954</v>
      </c>
      <c r="B211" s="249">
        <v>46260</v>
      </c>
      <c r="C211" s="246">
        <v>0.66666666666666663</v>
      </c>
      <c r="D211" s="246">
        <v>0.70833333333333337</v>
      </c>
      <c r="E211" s="250">
        <v>0</v>
      </c>
      <c r="F211" s="250">
        <v>0</v>
      </c>
      <c r="G211" s="250">
        <v>0</v>
      </c>
      <c r="H211" s="250">
        <v>0</v>
      </c>
      <c r="I211" s="250">
        <v>0</v>
      </c>
      <c r="J211" s="250"/>
      <c r="K211" s="250"/>
      <c r="L211" s="250"/>
      <c r="M211" s="250"/>
      <c r="N211" s="250"/>
      <c r="O211" s="250"/>
      <c r="P211" s="250"/>
      <c r="Q211" s="250"/>
      <c r="R211" s="250"/>
      <c r="S211" s="250"/>
      <c r="T211" s="250"/>
      <c r="U211" s="250"/>
      <c r="V211" s="250"/>
      <c r="W211" s="250"/>
      <c r="X211" s="250"/>
      <c r="Y211" s="250"/>
      <c r="Z211" s="250"/>
      <c r="AA211" s="250"/>
      <c r="AB211" s="250"/>
      <c r="AC211" s="250"/>
    </row>
    <row r="212" spans="1:29" ht="15.75" customHeight="1" x14ac:dyDescent="0.25">
      <c r="A212" s="97" t="s">
        <v>955</v>
      </c>
      <c r="B212" s="249">
        <v>46260</v>
      </c>
      <c r="C212" s="246">
        <v>0.70833333333333337</v>
      </c>
      <c r="D212" s="246">
        <v>0.75</v>
      </c>
      <c r="E212" s="250">
        <v>0</v>
      </c>
      <c r="F212" s="250">
        <v>0</v>
      </c>
      <c r="G212" s="250">
        <v>0</v>
      </c>
      <c r="H212" s="250">
        <v>0</v>
      </c>
      <c r="I212" s="250">
        <v>0</v>
      </c>
      <c r="J212" s="250"/>
      <c r="K212" s="250"/>
      <c r="L212" s="250"/>
      <c r="M212" s="250"/>
      <c r="N212" s="250"/>
      <c r="O212" s="250"/>
      <c r="P212" s="250"/>
      <c r="Q212" s="250"/>
      <c r="R212" s="250"/>
      <c r="S212" s="250"/>
      <c r="T212" s="250"/>
      <c r="U212" s="250"/>
      <c r="V212" s="250"/>
      <c r="W212" s="250"/>
      <c r="X212" s="250"/>
      <c r="Y212" s="250"/>
      <c r="Z212" s="250"/>
      <c r="AA212" s="250"/>
      <c r="AB212" s="250"/>
      <c r="AC212" s="250"/>
    </row>
    <row r="213" spans="1:29" ht="15.75" customHeight="1" x14ac:dyDescent="0.25">
      <c r="A213" s="97" t="s">
        <v>972</v>
      </c>
      <c r="B213" s="249">
        <v>46261</v>
      </c>
      <c r="C213" s="246">
        <v>0.41666666666666669</v>
      </c>
      <c r="D213" s="246">
        <v>0.45833333333333331</v>
      </c>
      <c r="E213" s="250">
        <v>0</v>
      </c>
      <c r="F213" s="250">
        <v>0</v>
      </c>
      <c r="G213" s="250">
        <v>0</v>
      </c>
      <c r="H213" s="250">
        <v>0</v>
      </c>
      <c r="I213" s="250">
        <v>0</v>
      </c>
      <c r="J213" s="250"/>
      <c r="K213" s="250"/>
      <c r="L213" s="250"/>
      <c r="M213" s="250"/>
      <c r="N213" s="250"/>
      <c r="O213" s="250"/>
      <c r="P213" s="250"/>
      <c r="Q213" s="250"/>
      <c r="R213" s="250"/>
      <c r="S213" s="250"/>
      <c r="T213" s="250"/>
      <c r="U213" s="250"/>
      <c r="V213" s="250"/>
      <c r="W213" s="250"/>
      <c r="X213" s="250"/>
      <c r="Y213" s="250"/>
      <c r="Z213" s="250"/>
      <c r="AA213" s="250"/>
      <c r="AB213" s="250"/>
      <c r="AC213" s="250"/>
    </row>
    <row r="214" spans="1:29" ht="15.75" customHeight="1" x14ac:dyDescent="0.25">
      <c r="A214" s="97" t="s">
        <v>973</v>
      </c>
      <c r="B214" s="249">
        <v>46261</v>
      </c>
      <c r="C214" s="246">
        <v>0.45833333333333331</v>
      </c>
      <c r="D214" s="246">
        <v>0.5</v>
      </c>
      <c r="E214" s="250">
        <v>0</v>
      </c>
      <c r="F214" s="250">
        <v>0</v>
      </c>
      <c r="G214" s="250">
        <v>0</v>
      </c>
      <c r="H214" s="250">
        <v>0</v>
      </c>
      <c r="I214" s="250">
        <v>0</v>
      </c>
      <c r="J214" s="250"/>
      <c r="K214" s="250"/>
      <c r="L214" s="250"/>
      <c r="M214" s="250"/>
      <c r="N214" s="250"/>
      <c r="O214" s="250"/>
      <c r="P214" s="250"/>
      <c r="Q214" s="250"/>
      <c r="R214" s="250"/>
      <c r="S214" s="250"/>
      <c r="T214" s="250"/>
      <c r="U214" s="250"/>
      <c r="V214" s="250"/>
      <c r="W214" s="250"/>
      <c r="X214" s="250"/>
      <c r="Y214" s="250"/>
      <c r="Z214" s="250"/>
      <c r="AA214" s="250"/>
      <c r="AB214" s="250"/>
      <c r="AC214" s="250"/>
    </row>
    <row r="215" spans="1:29" ht="15.75" customHeight="1" x14ac:dyDescent="0.25">
      <c r="A215" s="97" t="s">
        <v>974</v>
      </c>
      <c r="B215" s="249">
        <v>46261</v>
      </c>
      <c r="C215" s="246">
        <v>0.5</v>
      </c>
      <c r="D215" s="246">
        <v>0.54166666666666663</v>
      </c>
      <c r="E215" s="250">
        <v>0</v>
      </c>
      <c r="F215" s="250">
        <v>0</v>
      </c>
      <c r="G215" s="250">
        <v>0</v>
      </c>
      <c r="H215" s="250">
        <v>0</v>
      </c>
      <c r="I215" s="250">
        <v>0</v>
      </c>
      <c r="J215" s="250"/>
      <c r="K215" s="250"/>
      <c r="L215" s="250"/>
      <c r="M215" s="250"/>
      <c r="N215" s="250"/>
      <c r="O215" s="250"/>
      <c r="P215" s="250"/>
      <c r="Q215" s="250"/>
      <c r="R215" s="250"/>
      <c r="S215" s="250"/>
      <c r="T215" s="250"/>
      <c r="U215" s="250"/>
      <c r="V215" s="250"/>
      <c r="W215" s="250"/>
      <c r="X215" s="250"/>
      <c r="Y215" s="250"/>
      <c r="Z215" s="250"/>
      <c r="AA215" s="250"/>
      <c r="AB215" s="250"/>
      <c r="AC215" s="250"/>
    </row>
    <row r="216" spans="1:29" ht="15.75" customHeight="1" x14ac:dyDescent="0.25">
      <c r="A216" s="97" t="s">
        <v>975</v>
      </c>
      <c r="B216" s="249">
        <v>46261</v>
      </c>
      <c r="C216" s="246">
        <v>0.54166666666666663</v>
      </c>
      <c r="D216" s="246">
        <v>0.58333333333333337</v>
      </c>
      <c r="E216" s="250">
        <v>0</v>
      </c>
      <c r="F216" s="250">
        <v>0</v>
      </c>
      <c r="G216" s="250">
        <v>0</v>
      </c>
      <c r="H216" s="250">
        <v>0</v>
      </c>
      <c r="I216" s="250">
        <v>0</v>
      </c>
      <c r="J216" s="250"/>
      <c r="K216" s="250"/>
      <c r="L216" s="250"/>
      <c r="M216" s="250"/>
      <c r="N216" s="250"/>
      <c r="O216" s="250"/>
      <c r="P216" s="250"/>
      <c r="Q216" s="250"/>
      <c r="R216" s="250"/>
      <c r="S216" s="250"/>
      <c r="T216" s="250"/>
      <c r="U216" s="250"/>
      <c r="V216" s="250"/>
      <c r="W216" s="250"/>
      <c r="X216" s="250"/>
      <c r="Y216" s="250"/>
      <c r="Z216" s="250"/>
      <c r="AA216" s="250"/>
      <c r="AB216" s="250"/>
      <c r="AC216" s="250"/>
    </row>
    <row r="217" spans="1:29" ht="15.75" customHeight="1" x14ac:dyDescent="0.25">
      <c r="A217" s="97" t="s">
        <v>976</v>
      </c>
      <c r="B217" s="249">
        <v>46261</v>
      </c>
      <c r="C217" s="246">
        <v>0.58333333333333337</v>
      </c>
      <c r="D217" s="246">
        <v>0.625</v>
      </c>
      <c r="E217" s="250">
        <v>0</v>
      </c>
      <c r="F217" s="250">
        <v>0</v>
      </c>
      <c r="G217" s="250">
        <v>0</v>
      </c>
      <c r="H217" s="250">
        <v>0</v>
      </c>
      <c r="I217" s="250">
        <v>0</v>
      </c>
      <c r="J217" s="250"/>
      <c r="K217" s="250"/>
      <c r="L217" s="250"/>
      <c r="M217" s="250"/>
      <c r="N217" s="250"/>
      <c r="O217" s="250"/>
      <c r="P217" s="250"/>
      <c r="Q217" s="250"/>
      <c r="R217" s="250"/>
      <c r="S217" s="250"/>
      <c r="T217" s="250"/>
      <c r="U217" s="250"/>
      <c r="V217" s="250"/>
      <c r="W217" s="250"/>
      <c r="X217" s="250"/>
      <c r="Y217" s="250"/>
      <c r="Z217" s="250"/>
      <c r="AA217" s="250"/>
      <c r="AB217" s="250"/>
      <c r="AC217" s="250"/>
    </row>
    <row r="218" spans="1:29" ht="15.75" customHeight="1" x14ac:dyDescent="0.25">
      <c r="A218" s="97" t="s">
        <v>977</v>
      </c>
      <c r="B218" s="249">
        <v>46261</v>
      </c>
      <c r="C218" s="246">
        <v>0.625</v>
      </c>
      <c r="D218" s="246">
        <v>0.66666666666666663</v>
      </c>
      <c r="E218" s="250">
        <v>0</v>
      </c>
      <c r="F218" s="250">
        <v>0</v>
      </c>
      <c r="G218" s="250">
        <v>0</v>
      </c>
      <c r="H218" s="250">
        <v>0</v>
      </c>
      <c r="I218" s="250">
        <v>0</v>
      </c>
      <c r="J218" s="250"/>
      <c r="K218" s="250"/>
      <c r="L218" s="250"/>
      <c r="M218" s="250"/>
      <c r="N218" s="250"/>
      <c r="O218" s="250"/>
      <c r="P218" s="250"/>
      <c r="Q218" s="250"/>
      <c r="R218" s="250"/>
      <c r="S218" s="250"/>
      <c r="T218" s="250"/>
      <c r="U218" s="250"/>
      <c r="V218" s="250"/>
      <c r="W218" s="250"/>
      <c r="X218" s="250"/>
      <c r="Y218" s="250"/>
      <c r="Z218" s="250"/>
      <c r="AA218" s="250"/>
      <c r="AB218" s="250"/>
      <c r="AC218" s="250"/>
    </row>
    <row r="219" spans="1:29" ht="15.75" customHeight="1" x14ac:dyDescent="0.25">
      <c r="A219" s="97" t="s">
        <v>978</v>
      </c>
      <c r="B219" s="249">
        <v>46261</v>
      </c>
      <c r="C219" s="246">
        <v>0.66666666666666663</v>
      </c>
      <c r="D219" s="246">
        <v>0.70833333333333337</v>
      </c>
      <c r="E219" s="250">
        <v>0</v>
      </c>
      <c r="F219" s="250">
        <v>0</v>
      </c>
      <c r="G219" s="250">
        <v>0</v>
      </c>
      <c r="H219" s="250">
        <v>0</v>
      </c>
      <c r="I219" s="250">
        <v>0</v>
      </c>
      <c r="J219" s="250"/>
      <c r="K219" s="250"/>
      <c r="L219" s="250"/>
      <c r="M219" s="250"/>
      <c r="N219" s="250"/>
      <c r="O219" s="250"/>
      <c r="P219" s="250"/>
      <c r="Q219" s="250"/>
      <c r="R219" s="250"/>
      <c r="S219" s="250"/>
      <c r="T219" s="250"/>
      <c r="U219" s="250"/>
      <c r="V219" s="250"/>
      <c r="W219" s="250"/>
      <c r="X219" s="250"/>
      <c r="Y219" s="250"/>
      <c r="Z219" s="250"/>
      <c r="AA219" s="250"/>
      <c r="AB219" s="250"/>
      <c r="AC219" s="250"/>
    </row>
    <row r="220" spans="1:29" ht="15.75" customHeight="1" x14ac:dyDescent="0.25">
      <c r="A220" s="97" t="s">
        <v>979</v>
      </c>
      <c r="B220" s="249">
        <v>46261</v>
      </c>
      <c r="C220" s="246">
        <v>0.70833333333333337</v>
      </c>
      <c r="D220" s="246">
        <v>0.75</v>
      </c>
      <c r="E220" s="250">
        <v>0</v>
      </c>
      <c r="F220" s="250">
        <v>0</v>
      </c>
      <c r="G220" s="250">
        <v>0</v>
      </c>
      <c r="H220" s="250">
        <v>0</v>
      </c>
      <c r="I220" s="250">
        <v>0</v>
      </c>
      <c r="J220" s="250"/>
      <c r="K220" s="250"/>
      <c r="L220" s="250"/>
      <c r="M220" s="250"/>
      <c r="N220" s="250"/>
      <c r="O220" s="250"/>
      <c r="P220" s="250"/>
      <c r="Q220" s="250"/>
      <c r="R220" s="250"/>
      <c r="S220" s="250"/>
      <c r="T220" s="250"/>
      <c r="U220" s="250"/>
      <c r="V220" s="250"/>
      <c r="W220" s="250"/>
      <c r="X220" s="250"/>
      <c r="Y220" s="250"/>
      <c r="Z220" s="250"/>
      <c r="AA220" s="250"/>
      <c r="AB220" s="250"/>
      <c r="AC220" s="250"/>
    </row>
    <row r="221" spans="1:29" ht="15.75" customHeight="1" x14ac:dyDescent="0.25">
      <c r="A221" s="97" t="s">
        <v>996</v>
      </c>
      <c r="B221" s="249">
        <v>46262</v>
      </c>
      <c r="C221" s="246">
        <v>0.41666666666666669</v>
      </c>
      <c r="D221" s="246">
        <v>0.45833333333333331</v>
      </c>
      <c r="E221" s="250">
        <v>0</v>
      </c>
      <c r="F221" s="250">
        <v>0</v>
      </c>
      <c r="G221" s="250">
        <v>0</v>
      </c>
      <c r="H221" s="250">
        <v>0</v>
      </c>
      <c r="I221" s="250">
        <v>0</v>
      </c>
      <c r="J221" s="250"/>
      <c r="K221" s="250"/>
      <c r="L221" s="250"/>
      <c r="M221" s="250"/>
      <c r="N221" s="250"/>
      <c r="O221" s="250"/>
      <c r="P221" s="250"/>
      <c r="Q221" s="250"/>
      <c r="R221" s="250"/>
      <c r="S221" s="250"/>
      <c r="T221" s="250"/>
      <c r="U221" s="250"/>
      <c r="V221" s="250"/>
      <c r="W221" s="250"/>
      <c r="X221" s="250"/>
      <c r="Y221" s="250"/>
      <c r="Z221" s="250"/>
      <c r="AA221" s="250"/>
      <c r="AB221" s="250"/>
      <c r="AC221" s="250"/>
    </row>
    <row r="222" spans="1:29" ht="15.75" customHeight="1" x14ac:dyDescent="0.25">
      <c r="A222" s="97" t="s">
        <v>997</v>
      </c>
      <c r="B222" s="249">
        <v>46262</v>
      </c>
      <c r="C222" s="246">
        <v>0.45833333333333331</v>
      </c>
      <c r="D222" s="246">
        <v>0.5</v>
      </c>
      <c r="E222" s="250">
        <v>0</v>
      </c>
      <c r="F222" s="250">
        <v>0</v>
      </c>
      <c r="G222" s="250">
        <v>0</v>
      </c>
      <c r="H222" s="250">
        <v>0</v>
      </c>
      <c r="I222" s="250">
        <v>0</v>
      </c>
      <c r="J222" s="250"/>
      <c r="K222" s="250"/>
      <c r="L222" s="250"/>
      <c r="M222" s="250"/>
      <c r="N222" s="250"/>
      <c r="O222" s="250"/>
      <c r="P222" s="250"/>
      <c r="Q222" s="250"/>
      <c r="R222" s="250"/>
      <c r="S222" s="250"/>
      <c r="T222" s="250"/>
      <c r="U222" s="250"/>
      <c r="V222" s="250"/>
      <c r="W222" s="250"/>
      <c r="X222" s="250"/>
      <c r="Y222" s="250"/>
      <c r="Z222" s="250"/>
      <c r="AA222" s="250"/>
      <c r="AB222" s="250"/>
      <c r="AC222" s="250"/>
    </row>
    <row r="223" spans="1:29" ht="15.75" customHeight="1" x14ac:dyDescent="0.25">
      <c r="A223" s="97" t="s">
        <v>998</v>
      </c>
      <c r="B223" s="249">
        <v>46262</v>
      </c>
      <c r="C223" s="246">
        <v>0.5</v>
      </c>
      <c r="D223" s="246">
        <v>0.54166666666666663</v>
      </c>
      <c r="E223" s="250">
        <v>0</v>
      </c>
      <c r="F223" s="250">
        <v>0</v>
      </c>
      <c r="G223" s="250">
        <v>0</v>
      </c>
      <c r="H223" s="250">
        <v>0</v>
      </c>
      <c r="I223" s="250">
        <v>0</v>
      </c>
      <c r="J223" s="250"/>
      <c r="K223" s="250"/>
      <c r="L223" s="250"/>
      <c r="M223" s="250"/>
      <c r="N223" s="250"/>
      <c r="O223" s="250"/>
      <c r="P223" s="250"/>
      <c r="Q223" s="250"/>
      <c r="R223" s="250"/>
      <c r="S223" s="250"/>
      <c r="T223" s="250"/>
      <c r="U223" s="250"/>
      <c r="V223" s="250"/>
      <c r="W223" s="250"/>
      <c r="X223" s="250"/>
      <c r="Y223" s="250"/>
      <c r="Z223" s="250"/>
      <c r="AA223" s="250"/>
      <c r="AB223" s="250"/>
      <c r="AC223" s="250"/>
    </row>
    <row r="224" spans="1:29" ht="15.75" customHeight="1" x14ac:dyDescent="0.25">
      <c r="A224" s="97" t="s">
        <v>999</v>
      </c>
      <c r="B224" s="249">
        <v>46262</v>
      </c>
      <c r="C224" s="246">
        <v>0.54166666666666663</v>
      </c>
      <c r="D224" s="246">
        <v>0.58333333333333337</v>
      </c>
      <c r="E224" s="250">
        <v>0</v>
      </c>
      <c r="F224" s="250">
        <v>0</v>
      </c>
      <c r="G224" s="250">
        <v>0</v>
      </c>
      <c r="H224" s="250">
        <v>0</v>
      </c>
      <c r="I224" s="250">
        <v>0</v>
      </c>
      <c r="J224" s="250"/>
      <c r="K224" s="250"/>
      <c r="L224" s="250"/>
      <c r="M224" s="250"/>
      <c r="N224" s="250"/>
      <c r="O224" s="250"/>
      <c r="P224" s="250"/>
      <c r="Q224" s="250"/>
      <c r="R224" s="250"/>
      <c r="S224" s="250"/>
      <c r="T224" s="250"/>
      <c r="U224" s="250"/>
      <c r="V224" s="250"/>
      <c r="W224" s="250"/>
      <c r="X224" s="250"/>
      <c r="Y224" s="250"/>
      <c r="Z224" s="250"/>
      <c r="AA224" s="250"/>
      <c r="AB224" s="250"/>
      <c r="AC224" s="250"/>
    </row>
    <row r="225" spans="1:29" ht="15.75" customHeight="1" x14ac:dyDescent="0.25">
      <c r="A225" s="97" t="s">
        <v>1000</v>
      </c>
      <c r="B225" s="249">
        <v>46262</v>
      </c>
      <c r="C225" s="246">
        <v>0.58333333333333337</v>
      </c>
      <c r="D225" s="246">
        <v>0.625</v>
      </c>
      <c r="E225" s="250">
        <v>0</v>
      </c>
      <c r="F225" s="250">
        <v>0</v>
      </c>
      <c r="G225" s="250">
        <v>0</v>
      </c>
      <c r="H225" s="250">
        <v>0</v>
      </c>
      <c r="I225" s="250">
        <v>0</v>
      </c>
      <c r="J225" s="250"/>
      <c r="K225" s="250"/>
      <c r="L225" s="250"/>
      <c r="M225" s="250"/>
      <c r="N225" s="250"/>
      <c r="O225" s="250"/>
      <c r="P225" s="250"/>
      <c r="Q225" s="250"/>
      <c r="R225" s="250"/>
      <c r="S225" s="250"/>
      <c r="T225" s="250"/>
      <c r="U225" s="250"/>
      <c r="V225" s="250"/>
      <c r="W225" s="250"/>
      <c r="X225" s="250"/>
      <c r="Y225" s="250"/>
      <c r="Z225" s="250"/>
      <c r="AA225" s="250"/>
      <c r="AB225" s="250"/>
      <c r="AC225" s="250"/>
    </row>
    <row r="226" spans="1:29" ht="15.75" customHeight="1" x14ac:dyDescent="0.25">
      <c r="A226" s="97" t="s">
        <v>1001</v>
      </c>
      <c r="B226" s="249">
        <v>46262</v>
      </c>
      <c r="C226" s="246">
        <v>0.625</v>
      </c>
      <c r="D226" s="246">
        <v>0.66666666666666663</v>
      </c>
      <c r="E226" s="250">
        <v>0</v>
      </c>
      <c r="F226" s="250">
        <v>0</v>
      </c>
      <c r="G226" s="250">
        <v>0</v>
      </c>
      <c r="H226" s="250">
        <v>0</v>
      </c>
      <c r="I226" s="250">
        <v>0</v>
      </c>
      <c r="J226" s="250"/>
      <c r="K226" s="250"/>
      <c r="L226" s="250"/>
      <c r="M226" s="250"/>
      <c r="N226" s="250"/>
      <c r="O226" s="250"/>
      <c r="P226" s="250"/>
      <c r="Q226" s="250"/>
      <c r="R226" s="250"/>
      <c r="S226" s="250"/>
      <c r="T226" s="250"/>
      <c r="U226" s="250"/>
      <c r="V226" s="250"/>
      <c r="W226" s="250"/>
      <c r="X226" s="250"/>
      <c r="Y226" s="250"/>
      <c r="Z226" s="250"/>
      <c r="AA226" s="250"/>
      <c r="AB226" s="250"/>
      <c r="AC226" s="250"/>
    </row>
    <row r="227" spans="1:29" ht="15.75" customHeight="1" x14ac:dyDescent="0.25">
      <c r="A227" s="97" t="s">
        <v>1002</v>
      </c>
      <c r="B227" s="249">
        <v>46262</v>
      </c>
      <c r="C227" s="246">
        <v>0.66666666666666663</v>
      </c>
      <c r="D227" s="246">
        <v>0.70833333333333337</v>
      </c>
      <c r="E227" s="250">
        <v>0</v>
      </c>
      <c r="F227" s="250">
        <v>0</v>
      </c>
      <c r="G227" s="250">
        <v>0</v>
      </c>
      <c r="H227" s="250">
        <v>0</v>
      </c>
      <c r="I227" s="250">
        <v>0</v>
      </c>
      <c r="J227" s="250"/>
      <c r="K227" s="250"/>
      <c r="L227" s="250"/>
      <c r="M227" s="250"/>
      <c r="N227" s="250"/>
      <c r="O227" s="250"/>
      <c r="P227" s="250"/>
      <c r="Q227" s="250"/>
      <c r="R227" s="250"/>
      <c r="S227" s="250"/>
      <c r="T227" s="250"/>
      <c r="U227" s="250"/>
      <c r="V227" s="250"/>
      <c r="W227" s="250"/>
      <c r="X227" s="250"/>
      <c r="Y227" s="250"/>
      <c r="Z227" s="250"/>
      <c r="AA227" s="250"/>
      <c r="AB227" s="250"/>
      <c r="AC227" s="250"/>
    </row>
    <row r="228" spans="1:29" ht="15.75" customHeight="1" x14ac:dyDescent="0.25">
      <c r="A228" s="97" t="s">
        <v>1003</v>
      </c>
      <c r="B228" s="249">
        <v>46262</v>
      </c>
      <c r="C228" s="246">
        <v>0.70833333333333337</v>
      </c>
      <c r="D228" s="246">
        <v>0.75</v>
      </c>
      <c r="E228" s="250">
        <v>0</v>
      </c>
      <c r="F228" s="250">
        <v>0</v>
      </c>
      <c r="G228" s="250">
        <v>0</v>
      </c>
      <c r="H228" s="250">
        <v>0</v>
      </c>
      <c r="I228" s="250">
        <v>0</v>
      </c>
      <c r="J228" s="250"/>
      <c r="K228" s="250"/>
      <c r="L228" s="250"/>
      <c r="M228" s="250"/>
      <c r="N228" s="250"/>
      <c r="O228" s="250"/>
      <c r="P228" s="250"/>
      <c r="Q228" s="250"/>
      <c r="R228" s="250"/>
      <c r="S228" s="250"/>
      <c r="T228" s="250"/>
      <c r="U228" s="250"/>
      <c r="V228" s="250"/>
      <c r="W228" s="250"/>
      <c r="X228" s="250"/>
      <c r="Y228" s="250"/>
      <c r="Z228" s="250"/>
      <c r="AA228" s="250"/>
      <c r="AB228" s="250"/>
      <c r="AC228" s="250"/>
    </row>
    <row r="229" spans="1:29" ht="15.75" customHeight="1" x14ac:dyDescent="0.25">
      <c r="A229" s="97" t="s">
        <v>1020</v>
      </c>
      <c r="B229" s="249">
        <v>46263</v>
      </c>
      <c r="C229" s="246">
        <v>0.41666666666666669</v>
      </c>
      <c r="D229" s="246">
        <v>0.45833333333333331</v>
      </c>
      <c r="E229" s="250">
        <v>0</v>
      </c>
      <c r="F229" s="250">
        <v>0</v>
      </c>
      <c r="G229" s="250">
        <v>0</v>
      </c>
      <c r="H229" s="250">
        <v>0</v>
      </c>
      <c r="I229" s="250">
        <v>0</v>
      </c>
      <c r="J229" s="250"/>
      <c r="K229" s="250"/>
      <c r="L229" s="250"/>
      <c r="M229" s="250"/>
      <c r="N229" s="250"/>
      <c r="O229" s="250"/>
      <c r="P229" s="250"/>
      <c r="Q229" s="250"/>
      <c r="R229" s="250"/>
      <c r="S229" s="250"/>
      <c r="T229" s="250"/>
      <c r="U229" s="250"/>
      <c r="V229" s="250"/>
      <c r="W229" s="250"/>
      <c r="X229" s="250"/>
      <c r="Y229" s="250"/>
      <c r="Z229" s="250"/>
      <c r="AA229" s="250"/>
      <c r="AB229" s="250"/>
      <c r="AC229" s="250"/>
    </row>
    <row r="230" spans="1:29" ht="15.75" customHeight="1" x14ac:dyDescent="0.25">
      <c r="A230" s="97" t="s">
        <v>1021</v>
      </c>
      <c r="B230" s="249">
        <v>46263</v>
      </c>
      <c r="C230" s="246">
        <v>0.45833333333333331</v>
      </c>
      <c r="D230" s="246">
        <v>0.5</v>
      </c>
      <c r="E230" s="250">
        <v>0</v>
      </c>
      <c r="F230" s="250">
        <v>0</v>
      </c>
      <c r="G230" s="250">
        <v>0</v>
      </c>
      <c r="H230" s="250">
        <v>0</v>
      </c>
      <c r="I230" s="250">
        <v>0</v>
      </c>
      <c r="J230" s="250"/>
      <c r="K230" s="250"/>
      <c r="L230" s="250"/>
      <c r="M230" s="250"/>
      <c r="N230" s="250"/>
      <c r="O230" s="250"/>
      <c r="P230" s="250"/>
      <c r="Q230" s="250"/>
      <c r="R230" s="250"/>
      <c r="S230" s="250"/>
      <c r="T230" s="250"/>
      <c r="U230" s="250"/>
      <c r="V230" s="250"/>
      <c r="W230" s="250"/>
      <c r="X230" s="250"/>
      <c r="Y230" s="250"/>
      <c r="Z230" s="250"/>
      <c r="AA230" s="250"/>
      <c r="AB230" s="250"/>
      <c r="AC230" s="250"/>
    </row>
    <row r="231" spans="1:29" ht="15.75" customHeight="1" x14ac:dyDescent="0.25">
      <c r="A231" s="97" t="s">
        <v>1022</v>
      </c>
      <c r="B231" s="249">
        <v>46263</v>
      </c>
      <c r="C231" s="246">
        <v>0.5</v>
      </c>
      <c r="D231" s="246">
        <v>0.54166666666666663</v>
      </c>
      <c r="E231" s="250">
        <v>0</v>
      </c>
      <c r="F231" s="250">
        <v>0</v>
      </c>
      <c r="G231" s="250">
        <v>0</v>
      </c>
      <c r="H231" s="250">
        <v>0</v>
      </c>
      <c r="I231" s="250">
        <v>0</v>
      </c>
      <c r="J231" s="250"/>
      <c r="K231" s="250"/>
      <c r="L231" s="250"/>
      <c r="M231" s="250"/>
      <c r="N231" s="250"/>
      <c r="O231" s="250"/>
      <c r="P231" s="250"/>
      <c r="Q231" s="250"/>
      <c r="R231" s="250"/>
      <c r="S231" s="250"/>
      <c r="T231" s="250"/>
      <c r="U231" s="250"/>
      <c r="V231" s="250"/>
      <c r="W231" s="250"/>
      <c r="X231" s="250"/>
      <c r="Y231" s="250"/>
      <c r="Z231" s="250"/>
      <c r="AA231" s="250"/>
      <c r="AB231" s="250"/>
      <c r="AC231" s="250"/>
    </row>
    <row r="232" spans="1:29" ht="15.75" customHeight="1" x14ac:dyDescent="0.25">
      <c r="A232" s="97" t="s">
        <v>1023</v>
      </c>
      <c r="B232" s="249">
        <v>46263</v>
      </c>
      <c r="C232" s="246">
        <v>0.54166666666666663</v>
      </c>
      <c r="D232" s="246">
        <v>0.58333333333333337</v>
      </c>
      <c r="E232" s="250">
        <v>0</v>
      </c>
      <c r="F232" s="250">
        <v>0</v>
      </c>
      <c r="G232" s="250">
        <v>0</v>
      </c>
      <c r="H232" s="250">
        <v>0</v>
      </c>
      <c r="I232" s="250">
        <v>0</v>
      </c>
      <c r="J232" s="250"/>
      <c r="K232" s="250"/>
      <c r="L232" s="250"/>
      <c r="M232" s="250"/>
      <c r="N232" s="250"/>
      <c r="O232" s="250"/>
      <c r="P232" s="250"/>
      <c r="Q232" s="250"/>
      <c r="R232" s="250"/>
      <c r="S232" s="250"/>
      <c r="T232" s="250"/>
      <c r="U232" s="250"/>
      <c r="V232" s="250"/>
      <c r="W232" s="250"/>
      <c r="X232" s="250"/>
      <c r="Y232" s="250"/>
      <c r="Z232" s="250"/>
      <c r="AA232" s="250"/>
      <c r="AB232" s="250"/>
      <c r="AC232" s="250"/>
    </row>
    <row r="233" spans="1:29" ht="15.75" customHeight="1" x14ac:dyDescent="0.25">
      <c r="A233" s="97" t="s">
        <v>1024</v>
      </c>
      <c r="B233" s="249">
        <v>46263</v>
      </c>
      <c r="C233" s="246">
        <v>0.58333333333333337</v>
      </c>
      <c r="D233" s="246">
        <v>0.625</v>
      </c>
      <c r="E233" s="250">
        <v>0</v>
      </c>
      <c r="F233" s="250">
        <v>0</v>
      </c>
      <c r="G233" s="250">
        <v>0</v>
      </c>
      <c r="H233" s="250">
        <v>0</v>
      </c>
      <c r="I233" s="250">
        <v>0</v>
      </c>
      <c r="J233" s="250"/>
      <c r="K233" s="250"/>
      <c r="L233" s="250"/>
      <c r="M233" s="250"/>
      <c r="N233" s="250"/>
      <c r="O233" s="250"/>
      <c r="P233" s="250"/>
      <c r="Q233" s="250"/>
      <c r="R233" s="250"/>
      <c r="S233" s="250"/>
      <c r="T233" s="250"/>
      <c r="U233" s="250"/>
      <c r="V233" s="250"/>
      <c r="W233" s="250"/>
      <c r="X233" s="250"/>
      <c r="Y233" s="250"/>
      <c r="Z233" s="250"/>
      <c r="AA233" s="250"/>
      <c r="AB233" s="250"/>
      <c r="AC233" s="250"/>
    </row>
    <row r="234" spans="1:29" ht="15.75" customHeight="1" x14ac:dyDescent="0.25">
      <c r="A234" s="97" t="s">
        <v>1025</v>
      </c>
      <c r="B234" s="249">
        <v>46263</v>
      </c>
      <c r="C234" s="246">
        <v>0.625</v>
      </c>
      <c r="D234" s="246">
        <v>0.66666666666666663</v>
      </c>
      <c r="E234" s="250">
        <v>0</v>
      </c>
      <c r="F234" s="250">
        <v>0</v>
      </c>
      <c r="G234" s="250">
        <v>0</v>
      </c>
      <c r="H234" s="250">
        <v>0</v>
      </c>
      <c r="I234" s="250">
        <v>0</v>
      </c>
      <c r="J234" s="250"/>
      <c r="K234" s="250"/>
      <c r="L234" s="250"/>
      <c r="M234" s="250"/>
      <c r="N234" s="250"/>
      <c r="O234" s="250"/>
      <c r="P234" s="250"/>
      <c r="Q234" s="250"/>
      <c r="R234" s="250"/>
      <c r="S234" s="250"/>
      <c r="T234" s="250"/>
      <c r="U234" s="250"/>
      <c r="V234" s="250"/>
      <c r="W234" s="250"/>
      <c r="X234" s="250"/>
      <c r="Y234" s="250"/>
      <c r="Z234" s="250"/>
      <c r="AA234" s="250"/>
      <c r="AB234" s="250"/>
      <c r="AC234" s="250"/>
    </row>
    <row r="235" spans="1:29" ht="15.75" customHeight="1" x14ac:dyDescent="0.25">
      <c r="A235" s="97" t="s">
        <v>1026</v>
      </c>
      <c r="B235" s="249">
        <v>46263</v>
      </c>
      <c r="C235" s="246">
        <v>0.66666666666666663</v>
      </c>
      <c r="D235" s="246">
        <v>0.70833333333333337</v>
      </c>
      <c r="E235" s="250">
        <v>0</v>
      </c>
      <c r="F235" s="250">
        <v>0</v>
      </c>
      <c r="G235" s="250">
        <v>0</v>
      </c>
      <c r="H235" s="250">
        <v>0</v>
      </c>
      <c r="I235" s="250">
        <v>0</v>
      </c>
      <c r="J235" s="250"/>
      <c r="K235" s="250"/>
      <c r="L235" s="250"/>
      <c r="M235" s="250"/>
      <c r="N235" s="250"/>
      <c r="O235" s="250"/>
      <c r="P235" s="250"/>
      <c r="Q235" s="250"/>
      <c r="R235" s="250"/>
      <c r="S235" s="250"/>
      <c r="T235" s="250"/>
      <c r="U235" s="250"/>
      <c r="V235" s="250"/>
      <c r="W235" s="250"/>
      <c r="X235" s="250"/>
      <c r="Y235" s="250"/>
      <c r="Z235" s="250"/>
      <c r="AA235" s="250"/>
      <c r="AB235" s="250"/>
      <c r="AC235" s="250"/>
    </row>
    <row r="236" spans="1:29" ht="15.75" customHeight="1" x14ac:dyDescent="0.25">
      <c r="A236" s="97" t="s">
        <v>1027</v>
      </c>
      <c r="B236" s="249">
        <v>46263</v>
      </c>
      <c r="C236" s="246">
        <v>0.70833333333333337</v>
      </c>
      <c r="D236" s="246">
        <v>0.75</v>
      </c>
      <c r="E236" s="250">
        <v>0</v>
      </c>
      <c r="F236" s="250">
        <v>0</v>
      </c>
      <c r="G236" s="250">
        <v>0</v>
      </c>
      <c r="H236" s="250">
        <v>0</v>
      </c>
      <c r="I236" s="250">
        <v>0</v>
      </c>
      <c r="J236" s="250"/>
      <c r="K236" s="250"/>
      <c r="L236" s="250"/>
      <c r="M236" s="250"/>
      <c r="N236" s="250"/>
      <c r="O236" s="250"/>
      <c r="P236" s="250"/>
      <c r="Q236" s="250"/>
      <c r="R236" s="250"/>
      <c r="S236" s="250"/>
      <c r="T236" s="250"/>
      <c r="U236" s="250"/>
      <c r="V236" s="250"/>
      <c r="W236" s="250"/>
      <c r="X236" s="250"/>
      <c r="Y236" s="250"/>
      <c r="Z236" s="250"/>
      <c r="AA236" s="250"/>
      <c r="AB236" s="250"/>
      <c r="AC236" s="250"/>
    </row>
    <row r="237" spans="1:29" ht="15.75" customHeight="1" x14ac:dyDescent="0.25">
      <c r="A237" s="97" t="s">
        <v>1044</v>
      </c>
      <c r="B237" s="249">
        <v>46264</v>
      </c>
      <c r="C237" s="246">
        <v>0.41666666666666669</v>
      </c>
      <c r="D237" s="246">
        <v>0.45833333333333331</v>
      </c>
      <c r="E237" s="250">
        <v>0</v>
      </c>
      <c r="F237" s="250">
        <v>0</v>
      </c>
      <c r="G237" s="250">
        <v>0</v>
      </c>
      <c r="H237" s="250">
        <v>0</v>
      </c>
      <c r="I237" s="250">
        <v>0</v>
      </c>
      <c r="J237" s="250"/>
      <c r="K237" s="250"/>
      <c r="L237" s="250"/>
      <c r="M237" s="250"/>
      <c r="N237" s="250"/>
      <c r="O237" s="250"/>
      <c r="P237" s="250"/>
      <c r="Q237" s="250"/>
      <c r="R237" s="250"/>
      <c r="S237" s="250"/>
      <c r="T237" s="250"/>
      <c r="U237" s="250"/>
      <c r="V237" s="250"/>
      <c r="W237" s="250"/>
      <c r="X237" s="250"/>
      <c r="Y237" s="250"/>
      <c r="Z237" s="250"/>
      <c r="AA237" s="250"/>
      <c r="AB237" s="250"/>
      <c r="AC237" s="250"/>
    </row>
    <row r="238" spans="1:29" ht="15.75" customHeight="1" x14ac:dyDescent="0.25">
      <c r="A238" s="97" t="s">
        <v>1045</v>
      </c>
      <c r="B238" s="249">
        <v>46264</v>
      </c>
      <c r="C238" s="246">
        <v>0.45833333333333331</v>
      </c>
      <c r="D238" s="246">
        <v>0.5</v>
      </c>
      <c r="E238" s="250">
        <v>0</v>
      </c>
      <c r="F238" s="250">
        <v>0</v>
      </c>
      <c r="G238" s="250">
        <v>0</v>
      </c>
      <c r="H238" s="250">
        <v>0</v>
      </c>
      <c r="I238" s="250">
        <v>0</v>
      </c>
      <c r="J238" s="250"/>
      <c r="K238" s="250"/>
      <c r="L238" s="250"/>
      <c r="M238" s="250"/>
      <c r="N238" s="250"/>
      <c r="O238" s="250"/>
      <c r="P238" s="250"/>
      <c r="Q238" s="250"/>
      <c r="R238" s="250"/>
      <c r="S238" s="250"/>
      <c r="T238" s="250"/>
      <c r="U238" s="250"/>
      <c r="V238" s="250"/>
      <c r="W238" s="250"/>
      <c r="X238" s="250"/>
      <c r="Y238" s="250"/>
      <c r="Z238" s="250"/>
      <c r="AA238" s="250"/>
      <c r="AB238" s="250"/>
      <c r="AC238" s="250"/>
    </row>
    <row r="239" spans="1:29" ht="15.75" customHeight="1" x14ac:dyDescent="0.25">
      <c r="A239" s="97" t="s">
        <v>1046</v>
      </c>
      <c r="B239" s="249">
        <v>46264</v>
      </c>
      <c r="C239" s="246">
        <v>0.5</v>
      </c>
      <c r="D239" s="246">
        <v>0.54166666666666663</v>
      </c>
      <c r="E239" s="250">
        <v>0</v>
      </c>
      <c r="F239" s="250">
        <v>0</v>
      </c>
      <c r="G239" s="250">
        <v>0</v>
      </c>
      <c r="H239" s="250">
        <v>0</v>
      </c>
      <c r="I239" s="250">
        <v>0</v>
      </c>
      <c r="J239" s="250"/>
      <c r="K239" s="250"/>
      <c r="L239" s="250"/>
      <c r="M239" s="250"/>
      <c r="N239" s="250"/>
      <c r="O239" s="250"/>
      <c r="P239" s="250"/>
      <c r="Q239" s="250"/>
      <c r="R239" s="250"/>
      <c r="S239" s="250"/>
      <c r="T239" s="250"/>
      <c r="U239" s="250"/>
      <c r="V239" s="250"/>
      <c r="W239" s="250"/>
      <c r="X239" s="250"/>
      <c r="Y239" s="250"/>
      <c r="Z239" s="250"/>
      <c r="AA239" s="250"/>
      <c r="AB239" s="250"/>
      <c r="AC239" s="250"/>
    </row>
    <row r="240" spans="1:29" ht="15.75" customHeight="1" x14ac:dyDescent="0.25">
      <c r="A240" s="97" t="s">
        <v>1047</v>
      </c>
      <c r="B240" s="249">
        <v>46264</v>
      </c>
      <c r="C240" s="246">
        <v>0.54166666666666663</v>
      </c>
      <c r="D240" s="246">
        <v>0.58333333333333337</v>
      </c>
      <c r="E240" s="250">
        <v>0</v>
      </c>
      <c r="F240" s="250">
        <v>0</v>
      </c>
      <c r="G240" s="250">
        <v>0</v>
      </c>
      <c r="H240" s="250">
        <v>0</v>
      </c>
      <c r="I240" s="250">
        <v>0</v>
      </c>
      <c r="J240" s="250"/>
      <c r="K240" s="250"/>
      <c r="L240" s="250"/>
      <c r="M240" s="250"/>
      <c r="N240" s="250"/>
      <c r="O240" s="250"/>
      <c r="P240" s="250"/>
      <c r="Q240" s="250"/>
      <c r="R240" s="250"/>
      <c r="S240" s="250"/>
      <c r="T240" s="250"/>
      <c r="U240" s="250"/>
      <c r="V240" s="250"/>
      <c r="W240" s="250"/>
      <c r="X240" s="250"/>
      <c r="Y240" s="250"/>
      <c r="Z240" s="250"/>
      <c r="AA240" s="250"/>
      <c r="AB240" s="250"/>
      <c r="AC240" s="250"/>
    </row>
    <row r="241" spans="1:29" ht="15.75" customHeight="1" x14ac:dyDescent="0.25">
      <c r="A241" s="97" t="s">
        <v>1048</v>
      </c>
      <c r="B241" s="249">
        <v>46264</v>
      </c>
      <c r="C241" s="246">
        <v>0.58333333333333337</v>
      </c>
      <c r="D241" s="246">
        <v>0.625</v>
      </c>
      <c r="E241" s="250">
        <v>0</v>
      </c>
      <c r="F241" s="250">
        <v>0</v>
      </c>
      <c r="G241" s="250">
        <v>0</v>
      </c>
      <c r="H241" s="250">
        <v>0</v>
      </c>
      <c r="I241" s="250">
        <v>0</v>
      </c>
      <c r="J241" s="250"/>
      <c r="K241" s="250"/>
      <c r="L241" s="250"/>
      <c r="M241" s="250"/>
      <c r="N241" s="250"/>
      <c r="O241" s="250"/>
      <c r="P241" s="250"/>
      <c r="Q241" s="250"/>
      <c r="R241" s="250"/>
      <c r="S241" s="250"/>
      <c r="T241" s="250"/>
      <c r="U241" s="250"/>
      <c r="V241" s="250"/>
      <c r="W241" s="250"/>
      <c r="X241" s="250"/>
      <c r="Y241" s="250"/>
      <c r="Z241" s="250"/>
      <c r="AA241" s="250"/>
      <c r="AB241" s="250"/>
      <c r="AC241" s="250"/>
    </row>
    <row r="242" spans="1:29" ht="15.75" customHeight="1" x14ac:dyDescent="0.25">
      <c r="A242" s="97" t="s">
        <v>1049</v>
      </c>
      <c r="B242" s="249">
        <v>46264</v>
      </c>
      <c r="C242" s="246">
        <v>0.625</v>
      </c>
      <c r="D242" s="246">
        <v>0.66666666666666663</v>
      </c>
      <c r="E242" s="250">
        <v>0</v>
      </c>
      <c r="F242" s="250">
        <v>0</v>
      </c>
      <c r="G242" s="250">
        <v>0</v>
      </c>
      <c r="H242" s="250">
        <v>0</v>
      </c>
      <c r="I242" s="250">
        <v>0</v>
      </c>
      <c r="J242" s="250"/>
      <c r="K242" s="250"/>
      <c r="L242" s="250"/>
      <c r="M242" s="250"/>
      <c r="N242" s="250"/>
      <c r="O242" s="250"/>
      <c r="P242" s="250"/>
      <c r="Q242" s="250"/>
      <c r="R242" s="250"/>
      <c r="S242" s="250"/>
      <c r="T242" s="250"/>
      <c r="U242" s="250"/>
      <c r="V242" s="250"/>
      <c r="W242" s="250"/>
      <c r="X242" s="250"/>
      <c r="Y242" s="250"/>
      <c r="Z242" s="250"/>
      <c r="AA242" s="250"/>
      <c r="AB242" s="250"/>
      <c r="AC242" s="250"/>
    </row>
    <row r="243" spans="1:29" ht="15.75" customHeight="1" x14ac:dyDescent="0.25">
      <c r="A243" s="97" t="s">
        <v>1050</v>
      </c>
      <c r="B243" s="249">
        <v>46264</v>
      </c>
      <c r="C243" s="246">
        <v>0.66666666666666663</v>
      </c>
      <c r="D243" s="246">
        <v>0.70833333333333337</v>
      </c>
      <c r="E243" s="250">
        <v>0</v>
      </c>
      <c r="F243" s="250">
        <v>0</v>
      </c>
      <c r="G243" s="250">
        <v>0</v>
      </c>
      <c r="H243" s="250">
        <v>0</v>
      </c>
      <c r="I243" s="250">
        <v>0</v>
      </c>
      <c r="J243" s="250"/>
      <c r="K243" s="250"/>
      <c r="L243" s="250"/>
      <c r="M243" s="250"/>
      <c r="N243" s="250"/>
      <c r="O243" s="250"/>
      <c r="P243" s="250"/>
      <c r="Q243" s="250"/>
      <c r="R243" s="250"/>
      <c r="S243" s="250"/>
      <c r="T243" s="250"/>
      <c r="U243" s="250"/>
      <c r="V243" s="250"/>
      <c r="W243" s="250"/>
      <c r="X243" s="250"/>
      <c r="Y243" s="250"/>
      <c r="Z243" s="250"/>
      <c r="AA243" s="250"/>
      <c r="AB243" s="250"/>
      <c r="AC243" s="250"/>
    </row>
    <row r="244" spans="1:29" ht="15.75" customHeight="1" x14ac:dyDescent="0.25">
      <c r="A244" s="97" t="s">
        <v>1051</v>
      </c>
      <c r="B244" s="249">
        <v>46264</v>
      </c>
      <c r="C244" s="246">
        <v>0.70833333333333337</v>
      </c>
      <c r="D244" s="246">
        <v>0.75</v>
      </c>
      <c r="E244" s="250">
        <v>0</v>
      </c>
      <c r="F244" s="250">
        <v>0</v>
      </c>
      <c r="G244" s="250">
        <v>0</v>
      </c>
      <c r="H244" s="250">
        <v>0</v>
      </c>
      <c r="I244" s="250">
        <v>0</v>
      </c>
      <c r="J244" s="250"/>
      <c r="K244" s="250"/>
      <c r="L244" s="250"/>
      <c r="M244" s="250"/>
      <c r="N244" s="250"/>
      <c r="O244" s="250"/>
      <c r="P244" s="250"/>
      <c r="Q244" s="250"/>
      <c r="R244" s="250"/>
      <c r="S244" s="250"/>
      <c r="T244" s="250"/>
      <c r="U244" s="250"/>
      <c r="V244" s="250"/>
      <c r="W244" s="250"/>
      <c r="X244" s="250"/>
      <c r="Y244" s="250"/>
      <c r="Z244" s="250"/>
      <c r="AA244" s="250"/>
      <c r="AB244" s="250"/>
      <c r="AC244" s="250"/>
    </row>
    <row r="245" spans="1:29" ht="15.75" customHeight="1" x14ac:dyDescent="0.25">
      <c r="A245" s="97" t="s">
        <v>1068</v>
      </c>
      <c r="B245" s="249">
        <v>46265</v>
      </c>
      <c r="C245" s="246">
        <v>0.41666666666666669</v>
      </c>
      <c r="D245" s="246">
        <v>0.45833333333333331</v>
      </c>
      <c r="E245" s="250">
        <v>0</v>
      </c>
      <c r="F245" s="250">
        <v>0</v>
      </c>
      <c r="G245" s="250">
        <v>0</v>
      </c>
      <c r="H245" s="250">
        <v>0</v>
      </c>
      <c r="I245" s="250">
        <v>0</v>
      </c>
      <c r="J245" s="250"/>
      <c r="K245" s="250"/>
      <c r="L245" s="250"/>
      <c r="M245" s="250"/>
      <c r="N245" s="250"/>
      <c r="O245" s="250"/>
      <c r="P245" s="250"/>
      <c r="Q245" s="250"/>
      <c r="R245" s="250"/>
      <c r="S245" s="250"/>
      <c r="T245" s="250"/>
      <c r="U245" s="250"/>
      <c r="V245" s="250"/>
      <c r="W245" s="250"/>
      <c r="X245" s="250"/>
      <c r="Y245" s="250"/>
      <c r="Z245" s="250"/>
      <c r="AA245" s="250"/>
      <c r="AB245" s="250"/>
      <c r="AC245" s="250"/>
    </row>
    <row r="246" spans="1:29" ht="15.75" customHeight="1" x14ac:dyDescent="0.25">
      <c r="A246" s="97" t="s">
        <v>1069</v>
      </c>
      <c r="B246" s="249">
        <v>46265</v>
      </c>
      <c r="C246" s="246">
        <v>0.45833333333333331</v>
      </c>
      <c r="D246" s="246">
        <v>0.5</v>
      </c>
      <c r="E246" s="250">
        <v>0</v>
      </c>
      <c r="F246" s="250">
        <v>0</v>
      </c>
      <c r="G246" s="250">
        <v>0</v>
      </c>
      <c r="H246" s="250">
        <v>0</v>
      </c>
      <c r="I246" s="250">
        <v>0</v>
      </c>
      <c r="J246" s="250"/>
      <c r="K246" s="250"/>
      <c r="L246" s="250"/>
      <c r="M246" s="250"/>
      <c r="N246" s="250"/>
      <c r="O246" s="250"/>
      <c r="P246" s="250"/>
      <c r="Q246" s="250"/>
      <c r="R246" s="250"/>
      <c r="S246" s="250"/>
      <c r="T246" s="250"/>
      <c r="U246" s="250"/>
      <c r="V246" s="250"/>
      <c r="W246" s="250"/>
      <c r="X246" s="250"/>
      <c r="Y246" s="250"/>
      <c r="Z246" s="250"/>
      <c r="AA246" s="250"/>
      <c r="AB246" s="250"/>
      <c r="AC246" s="250"/>
    </row>
    <row r="247" spans="1:29" ht="15.75" customHeight="1" x14ac:dyDescent="0.25">
      <c r="A247" s="97" t="s">
        <v>1070</v>
      </c>
      <c r="B247" s="249">
        <v>46265</v>
      </c>
      <c r="C247" s="246">
        <v>0.5</v>
      </c>
      <c r="D247" s="246">
        <v>0.54166666666666663</v>
      </c>
      <c r="E247" s="250">
        <v>0</v>
      </c>
      <c r="F247" s="250">
        <v>0</v>
      </c>
      <c r="G247" s="250">
        <v>0</v>
      </c>
      <c r="H247" s="250">
        <v>0</v>
      </c>
      <c r="I247" s="250">
        <v>0</v>
      </c>
      <c r="J247" s="250"/>
      <c r="K247" s="250"/>
      <c r="L247" s="250"/>
      <c r="M247" s="250"/>
      <c r="N247" s="250"/>
      <c r="O247" s="250"/>
      <c r="P247" s="250"/>
      <c r="Q247" s="250"/>
      <c r="R247" s="250"/>
      <c r="S247" s="250"/>
      <c r="T247" s="250"/>
      <c r="U247" s="250"/>
      <c r="V247" s="250"/>
      <c r="W247" s="250"/>
      <c r="X247" s="250"/>
      <c r="Y247" s="250"/>
      <c r="Z247" s="250"/>
      <c r="AA247" s="250"/>
      <c r="AB247" s="250"/>
      <c r="AC247" s="250"/>
    </row>
    <row r="248" spans="1:29" ht="15.75" customHeight="1" x14ac:dyDescent="0.25">
      <c r="A248" s="97" t="s">
        <v>1071</v>
      </c>
      <c r="B248" s="249">
        <v>46265</v>
      </c>
      <c r="C248" s="246">
        <v>0.54166666666666663</v>
      </c>
      <c r="D248" s="246">
        <v>0.58333333333333337</v>
      </c>
      <c r="E248" s="250">
        <v>0</v>
      </c>
      <c r="F248" s="250">
        <v>0</v>
      </c>
      <c r="G248" s="250">
        <v>0</v>
      </c>
      <c r="H248" s="250">
        <v>0</v>
      </c>
      <c r="I248" s="250">
        <v>0</v>
      </c>
      <c r="J248" s="250"/>
      <c r="K248" s="250"/>
      <c r="L248" s="250"/>
      <c r="M248" s="250"/>
      <c r="N248" s="250"/>
      <c r="O248" s="250"/>
      <c r="P248" s="250"/>
      <c r="Q248" s="250"/>
      <c r="R248" s="250"/>
      <c r="S248" s="250"/>
      <c r="T248" s="250"/>
      <c r="U248" s="250"/>
      <c r="V248" s="250"/>
      <c r="W248" s="250"/>
      <c r="X248" s="250"/>
      <c r="Y248" s="250"/>
      <c r="Z248" s="250"/>
      <c r="AA248" s="250"/>
      <c r="AB248" s="250"/>
      <c r="AC248" s="250"/>
    </row>
    <row r="249" spans="1:29" ht="15.75" customHeight="1" x14ac:dyDescent="0.25">
      <c r="A249" s="97" t="s">
        <v>1072</v>
      </c>
      <c r="B249" s="249">
        <v>46265</v>
      </c>
      <c r="C249" s="246">
        <v>0.58333333333333337</v>
      </c>
      <c r="D249" s="246">
        <v>0.625</v>
      </c>
      <c r="E249" s="250">
        <v>0</v>
      </c>
      <c r="F249" s="250">
        <v>0</v>
      </c>
      <c r="G249" s="250">
        <v>0</v>
      </c>
      <c r="H249" s="250">
        <v>0</v>
      </c>
      <c r="I249" s="250">
        <v>0</v>
      </c>
      <c r="J249" s="250"/>
      <c r="K249" s="250"/>
      <c r="L249" s="250"/>
      <c r="M249" s="250"/>
      <c r="N249" s="250"/>
      <c r="O249" s="250"/>
      <c r="P249" s="250"/>
      <c r="Q249" s="250"/>
      <c r="R249" s="250"/>
      <c r="S249" s="250"/>
      <c r="T249" s="250"/>
      <c r="U249" s="250"/>
      <c r="V249" s="250"/>
      <c r="W249" s="250"/>
      <c r="X249" s="250"/>
      <c r="Y249" s="250"/>
      <c r="Z249" s="250"/>
      <c r="AA249" s="250"/>
      <c r="AB249" s="250"/>
      <c r="AC249" s="250"/>
    </row>
    <row r="250" spans="1:29" ht="15.75" customHeight="1" x14ac:dyDescent="0.25">
      <c r="A250" s="97" t="s">
        <v>1073</v>
      </c>
      <c r="B250" s="249">
        <v>46265</v>
      </c>
      <c r="C250" s="246">
        <v>0.625</v>
      </c>
      <c r="D250" s="246">
        <v>0.66666666666666663</v>
      </c>
      <c r="E250" s="250">
        <v>0</v>
      </c>
      <c r="F250" s="250">
        <v>0</v>
      </c>
      <c r="G250" s="250">
        <v>0</v>
      </c>
      <c r="H250" s="250">
        <v>0</v>
      </c>
      <c r="I250" s="250">
        <v>0</v>
      </c>
      <c r="J250" s="250"/>
      <c r="K250" s="250"/>
      <c r="L250" s="250"/>
      <c r="M250" s="250"/>
      <c r="N250" s="250"/>
      <c r="O250" s="250"/>
      <c r="P250" s="250"/>
      <c r="Q250" s="250"/>
      <c r="R250" s="250"/>
      <c r="S250" s="250"/>
      <c r="T250" s="250"/>
      <c r="U250" s="250"/>
      <c r="V250" s="250"/>
      <c r="W250" s="250"/>
      <c r="X250" s="250"/>
      <c r="Y250" s="250"/>
      <c r="Z250" s="250"/>
      <c r="AA250" s="250"/>
      <c r="AB250" s="250"/>
      <c r="AC250" s="250"/>
    </row>
    <row r="251" spans="1:29" ht="15.75" customHeight="1" x14ac:dyDescent="0.25">
      <c r="A251" s="97" t="s">
        <v>1074</v>
      </c>
      <c r="B251" s="249">
        <v>46265</v>
      </c>
      <c r="C251" s="246">
        <v>0.66666666666666663</v>
      </c>
      <c r="D251" s="246">
        <v>0.70833333333333337</v>
      </c>
      <c r="E251" s="250">
        <v>0</v>
      </c>
      <c r="F251" s="250">
        <v>0</v>
      </c>
      <c r="G251" s="250">
        <v>0</v>
      </c>
      <c r="H251" s="250">
        <v>0</v>
      </c>
      <c r="I251" s="250">
        <v>0</v>
      </c>
      <c r="J251" s="250"/>
      <c r="K251" s="250"/>
      <c r="L251" s="250"/>
      <c r="M251" s="250"/>
      <c r="N251" s="250"/>
      <c r="O251" s="250"/>
      <c r="P251" s="250"/>
      <c r="Q251" s="250"/>
      <c r="R251" s="250"/>
      <c r="S251" s="250"/>
      <c r="T251" s="250"/>
      <c r="U251" s="250"/>
      <c r="V251" s="250"/>
      <c r="W251" s="250"/>
      <c r="X251" s="250"/>
      <c r="Y251" s="250"/>
      <c r="Z251" s="250"/>
      <c r="AA251" s="250"/>
      <c r="AB251" s="250"/>
      <c r="AC251" s="250"/>
    </row>
    <row r="252" spans="1:29" ht="15.75" customHeight="1" x14ac:dyDescent="0.25">
      <c r="A252" s="97" t="s">
        <v>1075</v>
      </c>
      <c r="B252" s="249">
        <v>46265</v>
      </c>
      <c r="C252" s="246">
        <v>0.70833333333333337</v>
      </c>
      <c r="D252" s="246">
        <v>0.75</v>
      </c>
      <c r="E252" s="250">
        <v>0</v>
      </c>
      <c r="F252" s="250">
        <v>0</v>
      </c>
      <c r="G252" s="250">
        <v>0</v>
      </c>
      <c r="H252" s="250">
        <v>0</v>
      </c>
      <c r="I252" s="250">
        <v>0</v>
      </c>
      <c r="J252" s="250"/>
      <c r="K252" s="250"/>
      <c r="L252" s="250"/>
      <c r="M252" s="250"/>
      <c r="N252" s="250"/>
      <c r="O252" s="250"/>
      <c r="P252" s="250"/>
      <c r="Q252" s="250"/>
      <c r="R252" s="250"/>
      <c r="S252" s="250"/>
      <c r="T252" s="250"/>
      <c r="U252" s="250"/>
      <c r="V252" s="250"/>
      <c r="W252" s="250"/>
      <c r="X252" s="250"/>
      <c r="Y252" s="250"/>
      <c r="Z252" s="250"/>
      <c r="AA252" s="250"/>
      <c r="AB252" s="250"/>
      <c r="AC252" s="250"/>
    </row>
    <row r="253" spans="1:29" ht="15.75" customHeight="1" x14ac:dyDescent="0.25">
      <c r="A253" s="97" t="s">
        <v>1092</v>
      </c>
      <c r="B253" s="249">
        <v>46266</v>
      </c>
      <c r="C253" s="246">
        <v>0.41666666666666669</v>
      </c>
      <c r="D253" s="246">
        <v>0.45833333333333331</v>
      </c>
      <c r="E253" s="250">
        <v>0</v>
      </c>
      <c r="F253" s="250">
        <v>0</v>
      </c>
      <c r="G253" s="250">
        <v>0</v>
      </c>
      <c r="H253" s="250">
        <v>0</v>
      </c>
      <c r="I253" s="250">
        <v>0</v>
      </c>
      <c r="J253" s="250"/>
      <c r="K253" s="250"/>
      <c r="L253" s="250"/>
      <c r="M253" s="250"/>
      <c r="N253" s="250"/>
      <c r="O253" s="250"/>
      <c r="P253" s="250"/>
      <c r="Q253" s="250"/>
      <c r="R253" s="250"/>
      <c r="S253" s="250"/>
      <c r="T253" s="250"/>
      <c r="U253" s="250"/>
      <c r="V253" s="250"/>
      <c r="W253" s="250"/>
      <c r="X253" s="250"/>
      <c r="Y253" s="250"/>
      <c r="Z253" s="250"/>
      <c r="AA253" s="250"/>
      <c r="AB253" s="250"/>
      <c r="AC253" s="250"/>
    </row>
    <row r="254" spans="1:29" ht="15.75" customHeight="1" x14ac:dyDescent="0.25">
      <c r="A254" s="97" t="s">
        <v>1093</v>
      </c>
      <c r="B254" s="249">
        <v>46266</v>
      </c>
      <c r="C254" s="246">
        <v>0.45833333333333331</v>
      </c>
      <c r="D254" s="246">
        <v>0.5</v>
      </c>
      <c r="E254" s="250">
        <v>0</v>
      </c>
      <c r="F254" s="250">
        <v>0</v>
      </c>
      <c r="G254" s="250">
        <v>0</v>
      </c>
      <c r="H254" s="250">
        <v>0</v>
      </c>
      <c r="I254" s="250">
        <v>0</v>
      </c>
      <c r="J254" s="250"/>
      <c r="K254" s="250"/>
      <c r="L254" s="250"/>
      <c r="M254" s="250"/>
      <c r="N254" s="250"/>
      <c r="O254" s="250"/>
      <c r="P254" s="250"/>
      <c r="Q254" s="250"/>
      <c r="R254" s="250"/>
      <c r="S254" s="250"/>
      <c r="T254" s="250"/>
      <c r="U254" s="250"/>
      <c r="V254" s="250"/>
      <c r="W254" s="250"/>
      <c r="X254" s="250"/>
      <c r="Y254" s="250"/>
      <c r="Z254" s="250"/>
      <c r="AA254" s="250"/>
      <c r="AB254" s="250"/>
      <c r="AC254" s="250"/>
    </row>
    <row r="255" spans="1:29" ht="15.75" customHeight="1" x14ac:dyDescent="0.25">
      <c r="A255" s="97" t="s">
        <v>1094</v>
      </c>
      <c r="B255" s="249">
        <v>46266</v>
      </c>
      <c r="C255" s="246">
        <v>0.5</v>
      </c>
      <c r="D255" s="246">
        <v>0.54166666666666663</v>
      </c>
      <c r="E255" s="250">
        <v>0</v>
      </c>
      <c r="F255" s="250">
        <v>0</v>
      </c>
      <c r="G255" s="250">
        <v>0</v>
      </c>
      <c r="H255" s="250">
        <v>0</v>
      </c>
      <c r="I255" s="250">
        <v>0</v>
      </c>
      <c r="J255" s="250"/>
      <c r="K255" s="250"/>
      <c r="L255" s="250"/>
      <c r="M255" s="250"/>
      <c r="N255" s="250"/>
      <c r="O255" s="250"/>
      <c r="P255" s="250"/>
      <c r="Q255" s="250"/>
      <c r="R255" s="250"/>
      <c r="S255" s="250"/>
      <c r="T255" s="250"/>
      <c r="U255" s="250"/>
      <c r="V255" s="250"/>
      <c r="W255" s="250"/>
      <c r="X255" s="250"/>
      <c r="Y255" s="250"/>
      <c r="Z255" s="250"/>
      <c r="AA255" s="250"/>
      <c r="AB255" s="250"/>
      <c r="AC255" s="250"/>
    </row>
    <row r="256" spans="1:29" ht="15.75" customHeight="1" x14ac:dyDescent="0.25">
      <c r="A256" s="97" t="s">
        <v>1095</v>
      </c>
      <c r="B256" s="249">
        <v>46266</v>
      </c>
      <c r="C256" s="246">
        <v>0.54166666666666663</v>
      </c>
      <c r="D256" s="246">
        <v>0.58333333333333337</v>
      </c>
      <c r="E256" s="250">
        <v>0</v>
      </c>
      <c r="F256" s="250">
        <v>0</v>
      </c>
      <c r="G256" s="250">
        <v>0</v>
      </c>
      <c r="H256" s="250">
        <v>0</v>
      </c>
      <c r="I256" s="250">
        <v>0</v>
      </c>
      <c r="J256" s="250"/>
      <c r="K256" s="250"/>
      <c r="L256" s="250"/>
      <c r="M256" s="250"/>
      <c r="N256" s="250"/>
      <c r="O256" s="250"/>
      <c r="P256" s="250"/>
      <c r="Q256" s="250"/>
      <c r="R256" s="250"/>
      <c r="S256" s="250"/>
      <c r="T256" s="250"/>
      <c r="U256" s="250"/>
      <c r="V256" s="250"/>
      <c r="W256" s="250"/>
      <c r="X256" s="250"/>
      <c r="Y256" s="250"/>
      <c r="Z256" s="250"/>
      <c r="AA256" s="250"/>
      <c r="AB256" s="250"/>
      <c r="AC256" s="250"/>
    </row>
    <row r="257" spans="1:29" ht="15.75" customHeight="1" x14ac:dyDescent="0.25">
      <c r="A257" s="97" t="s">
        <v>1096</v>
      </c>
      <c r="B257" s="249">
        <v>46266</v>
      </c>
      <c r="C257" s="246">
        <v>0.58333333333333337</v>
      </c>
      <c r="D257" s="246">
        <v>0.625</v>
      </c>
      <c r="E257" s="250">
        <v>0</v>
      </c>
      <c r="F257" s="250">
        <v>0</v>
      </c>
      <c r="G257" s="250">
        <v>0</v>
      </c>
      <c r="H257" s="250">
        <v>0</v>
      </c>
      <c r="I257" s="250">
        <v>0</v>
      </c>
      <c r="J257" s="250"/>
      <c r="K257" s="250"/>
      <c r="L257" s="250"/>
      <c r="M257" s="250"/>
      <c r="N257" s="250"/>
      <c r="O257" s="250"/>
      <c r="P257" s="250"/>
      <c r="Q257" s="250"/>
      <c r="R257" s="250"/>
      <c r="S257" s="250"/>
      <c r="T257" s="250"/>
      <c r="U257" s="250"/>
      <c r="V257" s="250"/>
      <c r="W257" s="250"/>
      <c r="X257" s="250"/>
      <c r="Y257" s="250"/>
      <c r="Z257" s="250"/>
      <c r="AA257" s="250"/>
      <c r="AB257" s="250"/>
      <c r="AC257" s="250"/>
    </row>
    <row r="258" spans="1:29" ht="15.75" customHeight="1" x14ac:dyDescent="0.25">
      <c r="A258" s="97" t="s">
        <v>1097</v>
      </c>
      <c r="B258" s="249">
        <v>46266</v>
      </c>
      <c r="C258" s="246">
        <v>0.625</v>
      </c>
      <c r="D258" s="246">
        <v>0.66666666666666663</v>
      </c>
      <c r="E258" s="250">
        <v>0</v>
      </c>
      <c r="F258" s="250">
        <v>0</v>
      </c>
      <c r="G258" s="250">
        <v>0</v>
      </c>
      <c r="H258" s="250">
        <v>0</v>
      </c>
      <c r="I258" s="250">
        <v>0</v>
      </c>
      <c r="J258" s="250"/>
      <c r="K258" s="250"/>
      <c r="L258" s="250"/>
      <c r="M258" s="250"/>
      <c r="N258" s="250"/>
      <c r="O258" s="250"/>
      <c r="P258" s="250"/>
      <c r="Q258" s="250"/>
      <c r="R258" s="250"/>
      <c r="S258" s="250"/>
      <c r="T258" s="250"/>
      <c r="U258" s="250"/>
      <c r="V258" s="250"/>
      <c r="W258" s="250"/>
      <c r="X258" s="250"/>
      <c r="Y258" s="250"/>
      <c r="Z258" s="250"/>
      <c r="AA258" s="250"/>
      <c r="AB258" s="250"/>
      <c r="AC258" s="250"/>
    </row>
    <row r="259" spans="1:29" ht="15.75" customHeight="1" x14ac:dyDescent="0.25">
      <c r="A259" s="97" t="s">
        <v>1098</v>
      </c>
      <c r="B259" s="249">
        <v>46266</v>
      </c>
      <c r="C259" s="246">
        <v>0.66666666666666663</v>
      </c>
      <c r="D259" s="246">
        <v>0.70833333333333337</v>
      </c>
      <c r="E259" s="250">
        <v>0</v>
      </c>
      <c r="F259" s="250">
        <v>0</v>
      </c>
      <c r="G259" s="250">
        <v>0</v>
      </c>
      <c r="H259" s="250">
        <v>0</v>
      </c>
      <c r="I259" s="250">
        <v>0</v>
      </c>
      <c r="J259" s="250"/>
      <c r="K259" s="250"/>
      <c r="L259" s="250"/>
      <c r="M259" s="250"/>
      <c r="N259" s="250"/>
      <c r="O259" s="250"/>
      <c r="P259" s="250"/>
      <c r="Q259" s="250"/>
      <c r="R259" s="250"/>
      <c r="S259" s="250"/>
      <c r="T259" s="250"/>
      <c r="U259" s="250"/>
      <c r="V259" s="250"/>
      <c r="W259" s="250"/>
      <c r="X259" s="250"/>
      <c r="Y259" s="250"/>
      <c r="Z259" s="250"/>
      <c r="AA259" s="250"/>
      <c r="AB259" s="250"/>
      <c r="AC259" s="250"/>
    </row>
    <row r="260" spans="1:29" ht="15.75" customHeight="1" x14ac:dyDescent="0.25">
      <c r="A260" s="97" t="s">
        <v>1099</v>
      </c>
      <c r="B260" s="249">
        <v>46266</v>
      </c>
      <c r="C260" s="246">
        <v>0.70833333333333337</v>
      </c>
      <c r="D260" s="246">
        <v>0.75</v>
      </c>
      <c r="E260" s="250">
        <v>0</v>
      </c>
      <c r="F260" s="250">
        <v>0</v>
      </c>
      <c r="G260" s="250">
        <v>0</v>
      </c>
      <c r="H260" s="250">
        <v>0</v>
      </c>
      <c r="I260" s="250">
        <v>0</v>
      </c>
      <c r="J260" s="250"/>
      <c r="K260" s="250"/>
      <c r="L260" s="250"/>
      <c r="M260" s="250"/>
      <c r="N260" s="250"/>
      <c r="O260" s="250"/>
      <c r="P260" s="250"/>
      <c r="Q260" s="250"/>
      <c r="R260" s="250"/>
      <c r="S260" s="250"/>
      <c r="T260" s="250"/>
      <c r="U260" s="250"/>
      <c r="V260" s="250"/>
      <c r="W260" s="250"/>
      <c r="X260" s="250"/>
      <c r="Y260" s="250"/>
      <c r="Z260" s="250"/>
      <c r="AA260" s="250"/>
      <c r="AB260" s="250"/>
      <c r="AC260" s="250"/>
    </row>
    <row r="261" spans="1:29" ht="15.75" customHeight="1" x14ac:dyDescent="0.2">
      <c r="E261" s="240"/>
      <c r="F261" s="240"/>
      <c r="G261" s="240"/>
      <c r="H261" s="240"/>
      <c r="I261" s="240"/>
      <c r="J261" s="240"/>
      <c r="K261" s="240"/>
      <c r="L261" s="240"/>
      <c r="M261" s="240"/>
      <c r="N261" s="240"/>
      <c r="O261" s="240"/>
      <c r="P261" s="240"/>
      <c r="Q261" s="240"/>
      <c r="R261" s="240"/>
      <c r="S261" s="240"/>
      <c r="T261" s="240"/>
      <c r="U261" s="240"/>
      <c r="V261" s="240"/>
      <c r="W261" s="240"/>
      <c r="X261" s="240"/>
      <c r="Y261" s="240"/>
      <c r="Z261" s="240"/>
      <c r="AA261" s="240"/>
      <c r="AB261" s="240"/>
      <c r="AC261" s="240"/>
    </row>
    <row r="262" spans="1:29" ht="15.75" customHeight="1" x14ac:dyDescent="0.2">
      <c r="E262" s="240"/>
      <c r="F262" s="240"/>
      <c r="G262" s="240"/>
      <c r="H262" s="240"/>
      <c r="I262" s="240"/>
      <c r="J262" s="240"/>
      <c r="K262" s="240"/>
      <c r="L262" s="240"/>
      <c r="M262" s="240"/>
      <c r="N262" s="240"/>
      <c r="O262" s="240"/>
      <c r="P262" s="240"/>
      <c r="Q262" s="240"/>
      <c r="R262" s="240"/>
      <c r="S262" s="240"/>
      <c r="T262" s="240"/>
      <c r="U262" s="240"/>
      <c r="V262" s="240"/>
      <c r="W262" s="240"/>
      <c r="X262" s="240"/>
      <c r="Y262" s="240"/>
      <c r="Z262" s="240"/>
      <c r="AA262" s="240"/>
      <c r="AB262" s="240"/>
      <c r="AC262" s="240"/>
    </row>
    <row r="263" spans="1:29" ht="15.75" customHeight="1" x14ac:dyDescent="0.2">
      <c r="E263" s="240"/>
      <c r="F263" s="240"/>
      <c r="G263" s="240"/>
      <c r="H263" s="240"/>
      <c r="I263" s="240"/>
      <c r="J263" s="240"/>
      <c r="K263" s="240"/>
      <c r="L263" s="240"/>
      <c r="M263" s="240"/>
      <c r="N263" s="240"/>
      <c r="O263" s="240"/>
      <c r="P263" s="240"/>
      <c r="Q263" s="240"/>
      <c r="R263" s="240"/>
      <c r="S263" s="240"/>
      <c r="T263" s="240"/>
      <c r="U263" s="240"/>
      <c r="V263" s="240"/>
      <c r="W263" s="240"/>
      <c r="X263" s="240"/>
      <c r="Y263" s="240"/>
      <c r="Z263" s="240"/>
      <c r="AA263" s="240"/>
      <c r="AB263" s="240"/>
      <c r="AC263" s="240"/>
    </row>
    <row r="264" spans="1:29" ht="15.75" customHeight="1" x14ac:dyDescent="0.2">
      <c r="E264" s="240"/>
      <c r="F264" s="240"/>
      <c r="G264" s="240"/>
      <c r="H264" s="240"/>
      <c r="I264" s="240"/>
      <c r="J264" s="240"/>
      <c r="K264" s="240"/>
      <c r="L264" s="240"/>
      <c r="M264" s="240"/>
      <c r="N264" s="240"/>
      <c r="O264" s="240"/>
      <c r="P264" s="240"/>
      <c r="Q264" s="240"/>
      <c r="R264" s="240"/>
      <c r="S264" s="240"/>
      <c r="T264" s="240"/>
      <c r="U264" s="240"/>
      <c r="V264" s="240"/>
      <c r="W264" s="240"/>
      <c r="X264" s="240"/>
      <c r="Y264" s="240"/>
      <c r="Z264" s="240"/>
      <c r="AA264" s="240"/>
      <c r="AB264" s="240"/>
      <c r="AC264" s="240"/>
    </row>
    <row r="265" spans="1:29" ht="15.75" customHeight="1" x14ac:dyDescent="0.2">
      <c r="E265" s="240"/>
      <c r="F265" s="240"/>
      <c r="G265" s="240"/>
      <c r="H265" s="240"/>
      <c r="I265" s="240"/>
      <c r="J265" s="240"/>
      <c r="K265" s="240"/>
      <c r="L265" s="240"/>
      <c r="M265" s="240"/>
      <c r="N265" s="240"/>
      <c r="O265" s="240"/>
      <c r="P265" s="240"/>
      <c r="Q265" s="240"/>
      <c r="R265" s="240"/>
      <c r="S265" s="240"/>
      <c r="T265" s="240"/>
      <c r="U265" s="240"/>
      <c r="V265" s="240"/>
      <c r="W265" s="240"/>
      <c r="X265" s="240"/>
      <c r="Y265" s="240"/>
      <c r="Z265" s="240"/>
      <c r="AA265" s="240"/>
      <c r="AB265" s="240"/>
      <c r="AC265" s="240"/>
    </row>
    <row r="266" spans="1:29" ht="15.75" customHeight="1" x14ac:dyDescent="0.2">
      <c r="E266" s="240"/>
      <c r="F266" s="240"/>
      <c r="G266" s="240"/>
      <c r="H266" s="240"/>
      <c r="I266" s="240"/>
      <c r="J266" s="240"/>
      <c r="K266" s="240"/>
      <c r="L266" s="240"/>
      <c r="M266" s="240"/>
      <c r="N266" s="240"/>
      <c r="O266" s="240"/>
      <c r="P266" s="240"/>
      <c r="Q266" s="240"/>
      <c r="R266" s="240"/>
      <c r="S266" s="240"/>
      <c r="T266" s="240"/>
      <c r="U266" s="240"/>
      <c r="V266" s="240"/>
      <c r="W266" s="240"/>
      <c r="X266" s="240"/>
      <c r="Y266" s="240"/>
      <c r="Z266" s="240"/>
      <c r="AA266" s="240"/>
      <c r="AB266" s="240"/>
      <c r="AC266" s="240"/>
    </row>
    <row r="267" spans="1:29" ht="15.75" customHeight="1" x14ac:dyDescent="0.2">
      <c r="E267" s="240"/>
      <c r="F267" s="240"/>
      <c r="G267" s="240"/>
      <c r="H267" s="240"/>
      <c r="I267" s="240"/>
      <c r="J267" s="240"/>
      <c r="K267" s="240"/>
      <c r="L267" s="240"/>
      <c r="M267" s="240"/>
      <c r="N267" s="240"/>
      <c r="O267" s="240"/>
      <c r="P267" s="240"/>
      <c r="Q267" s="240"/>
      <c r="R267" s="240"/>
      <c r="S267" s="240"/>
      <c r="T267" s="240"/>
      <c r="U267" s="240"/>
      <c r="V267" s="240"/>
      <c r="W267" s="240"/>
      <c r="X267" s="240"/>
      <c r="Y267" s="240"/>
      <c r="Z267" s="240"/>
      <c r="AA267" s="240"/>
      <c r="AB267" s="240"/>
      <c r="AC267" s="240"/>
    </row>
    <row r="268" spans="1:29" ht="15.75" customHeight="1" x14ac:dyDescent="0.2">
      <c r="E268" s="240"/>
      <c r="F268" s="240"/>
      <c r="G268" s="240"/>
      <c r="H268" s="240"/>
      <c r="I268" s="240"/>
      <c r="J268" s="240"/>
      <c r="K268" s="240"/>
      <c r="L268" s="240"/>
      <c r="M268" s="240"/>
      <c r="N268" s="240"/>
      <c r="O268" s="240"/>
      <c r="P268" s="240"/>
      <c r="Q268" s="240"/>
      <c r="R268" s="240"/>
      <c r="S268" s="240"/>
      <c r="T268" s="240"/>
      <c r="U268" s="240"/>
      <c r="V268" s="240"/>
      <c r="W268" s="240"/>
      <c r="X268" s="240"/>
      <c r="Y268" s="240"/>
      <c r="Z268" s="240"/>
      <c r="AA268" s="240"/>
      <c r="AB268" s="240"/>
      <c r="AC268" s="240"/>
    </row>
    <row r="269" spans="1:29" ht="15.75" customHeight="1" x14ac:dyDescent="0.2">
      <c r="E269" s="240"/>
      <c r="F269" s="240"/>
      <c r="G269" s="240"/>
      <c r="H269" s="240"/>
      <c r="I269" s="240"/>
      <c r="J269" s="240"/>
      <c r="K269" s="240"/>
      <c r="L269" s="240"/>
      <c r="M269" s="240"/>
      <c r="N269" s="240"/>
      <c r="O269" s="240"/>
      <c r="P269" s="240"/>
      <c r="Q269" s="240"/>
      <c r="R269" s="240"/>
      <c r="S269" s="240"/>
      <c r="T269" s="240"/>
      <c r="U269" s="240"/>
      <c r="V269" s="240"/>
      <c r="W269" s="240"/>
      <c r="X269" s="240"/>
      <c r="Y269" s="240"/>
      <c r="Z269" s="240"/>
      <c r="AA269" s="240"/>
      <c r="AB269" s="240"/>
      <c r="AC269" s="240"/>
    </row>
    <row r="270" spans="1:29" ht="15.75" customHeight="1" x14ac:dyDescent="0.2">
      <c r="E270" s="240"/>
      <c r="F270" s="240"/>
      <c r="G270" s="240"/>
      <c r="H270" s="240"/>
      <c r="I270" s="240"/>
      <c r="J270" s="240"/>
      <c r="K270" s="240"/>
      <c r="L270" s="240"/>
      <c r="M270" s="240"/>
      <c r="N270" s="240"/>
      <c r="O270" s="240"/>
      <c r="P270" s="240"/>
      <c r="Q270" s="240"/>
      <c r="R270" s="240"/>
      <c r="S270" s="240"/>
      <c r="T270" s="240"/>
      <c r="U270" s="240"/>
      <c r="V270" s="240"/>
      <c r="W270" s="240"/>
      <c r="X270" s="240"/>
      <c r="Y270" s="240"/>
      <c r="Z270" s="240"/>
      <c r="AA270" s="240"/>
      <c r="AB270" s="240"/>
      <c r="AC270" s="240"/>
    </row>
    <row r="271" spans="1:29" ht="15.75" customHeight="1" x14ac:dyDescent="0.2">
      <c r="E271" s="240"/>
      <c r="F271" s="240"/>
      <c r="G271" s="240"/>
      <c r="H271" s="240"/>
      <c r="I271" s="240"/>
      <c r="J271" s="240"/>
      <c r="K271" s="240"/>
      <c r="L271" s="240"/>
      <c r="M271" s="240"/>
      <c r="N271" s="240"/>
      <c r="O271" s="240"/>
      <c r="P271" s="240"/>
      <c r="Q271" s="240"/>
      <c r="R271" s="240"/>
      <c r="S271" s="240"/>
      <c r="T271" s="240"/>
      <c r="U271" s="240"/>
      <c r="V271" s="240"/>
      <c r="W271" s="240"/>
      <c r="X271" s="240"/>
      <c r="Y271" s="240"/>
      <c r="Z271" s="240"/>
      <c r="AA271" s="240"/>
      <c r="AB271" s="240"/>
      <c r="AC271" s="240"/>
    </row>
    <row r="272" spans="1:29" ht="15.75" customHeight="1" x14ac:dyDescent="0.2">
      <c r="E272" s="240"/>
      <c r="F272" s="240"/>
      <c r="G272" s="240"/>
      <c r="H272" s="240"/>
      <c r="I272" s="240"/>
      <c r="J272" s="240"/>
      <c r="K272" s="240"/>
      <c r="L272" s="240"/>
      <c r="M272" s="240"/>
      <c r="N272" s="240"/>
      <c r="O272" s="240"/>
      <c r="P272" s="240"/>
      <c r="Q272" s="240"/>
      <c r="R272" s="240"/>
      <c r="S272" s="240"/>
      <c r="T272" s="240"/>
      <c r="U272" s="240"/>
      <c r="V272" s="240"/>
      <c r="W272" s="240"/>
      <c r="X272" s="240"/>
      <c r="Y272" s="240"/>
      <c r="Z272" s="240"/>
      <c r="AA272" s="240"/>
      <c r="AB272" s="240"/>
      <c r="AC272" s="240"/>
    </row>
    <row r="273" spans="5:29" ht="15.75" customHeight="1" x14ac:dyDescent="0.2">
      <c r="E273" s="240"/>
      <c r="F273" s="240"/>
      <c r="G273" s="240"/>
      <c r="H273" s="240"/>
      <c r="I273" s="240"/>
      <c r="J273" s="240"/>
      <c r="K273" s="240"/>
      <c r="L273" s="240"/>
      <c r="M273" s="240"/>
      <c r="N273" s="240"/>
      <c r="O273" s="240"/>
      <c r="P273" s="240"/>
      <c r="Q273" s="240"/>
      <c r="R273" s="240"/>
      <c r="S273" s="240"/>
      <c r="T273" s="240"/>
      <c r="U273" s="240"/>
      <c r="V273" s="240"/>
      <c r="W273" s="240"/>
      <c r="X273" s="240"/>
      <c r="Y273" s="240"/>
      <c r="Z273" s="240"/>
      <c r="AA273" s="240"/>
      <c r="AB273" s="240"/>
      <c r="AC273" s="240"/>
    </row>
    <row r="274" spans="5:29" ht="15.75" customHeight="1" x14ac:dyDescent="0.2">
      <c r="E274" s="240"/>
      <c r="F274" s="240"/>
      <c r="G274" s="240"/>
      <c r="H274" s="240"/>
      <c r="I274" s="240"/>
      <c r="J274" s="240"/>
      <c r="K274" s="240"/>
      <c r="L274" s="240"/>
      <c r="M274" s="240"/>
      <c r="N274" s="240"/>
      <c r="O274" s="240"/>
      <c r="P274" s="240"/>
      <c r="Q274" s="240"/>
      <c r="R274" s="240"/>
      <c r="S274" s="240"/>
      <c r="T274" s="240"/>
      <c r="U274" s="240"/>
      <c r="V274" s="240"/>
      <c r="W274" s="240"/>
      <c r="X274" s="240"/>
      <c r="Y274" s="240"/>
      <c r="Z274" s="240"/>
      <c r="AA274" s="240"/>
      <c r="AB274" s="240"/>
      <c r="AC274" s="240"/>
    </row>
    <row r="275" spans="5:29" ht="15.75" customHeight="1" x14ac:dyDescent="0.2">
      <c r="E275" s="240"/>
      <c r="F275" s="240"/>
      <c r="G275" s="240"/>
      <c r="H275" s="240"/>
      <c r="I275" s="240"/>
      <c r="J275" s="240"/>
      <c r="K275" s="240"/>
      <c r="L275" s="240"/>
      <c r="M275" s="240"/>
      <c r="N275" s="240"/>
      <c r="O275" s="240"/>
      <c r="P275" s="240"/>
      <c r="Q275" s="240"/>
      <c r="R275" s="240"/>
      <c r="S275" s="240"/>
      <c r="T275" s="240"/>
      <c r="U275" s="240"/>
      <c r="V275" s="240"/>
      <c r="W275" s="240"/>
      <c r="X275" s="240"/>
      <c r="Y275" s="240"/>
      <c r="Z275" s="240"/>
      <c r="AA275" s="240"/>
      <c r="AB275" s="240"/>
      <c r="AC275" s="240"/>
    </row>
    <row r="276" spans="5:29" ht="15.75" customHeight="1" x14ac:dyDescent="0.2">
      <c r="E276" s="240"/>
      <c r="F276" s="240"/>
      <c r="G276" s="240"/>
      <c r="H276" s="240"/>
      <c r="I276" s="240"/>
      <c r="J276" s="240"/>
      <c r="K276" s="240"/>
      <c r="L276" s="240"/>
      <c r="M276" s="240"/>
      <c r="N276" s="240"/>
      <c r="O276" s="240"/>
      <c r="P276" s="240"/>
      <c r="Q276" s="240"/>
      <c r="R276" s="240"/>
      <c r="S276" s="240"/>
      <c r="T276" s="240"/>
      <c r="U276" s="240"/>
      <c r="V276" s="240"/>
      <c r="W276" s="240"/>
      <c r="X276" s="240"/>
      <c r="Y276" s="240"/>
      <c r="Z276" s="240"/>
      <c r="AA276" s="240"/>
      <c r="AB276" s="240"/>
      <c r="AC276" s="240"/>
    </row>
    <row r="277" spans="5:29" ht="15.75" customHeight="1" x14ac:dyDescent="0.2">
      <c r="E277" s="240"/>
      <c r="F277" s="240"/>
      <c r="G277" s="240"/>
      <c r="H277" s="240"/>
      <c r="I277" s="240"/>
      <c r="J277" s="240"/>
      <c r="K277" s="240"/>
      <c r="L277" s="240"/>
      <c r="M277" s="240"/>
      <c r="N277" s="240"/>
      <c r="O277" s="240"/>
      <c r="P277" s="240"/>
      <c r="Q277" s="240"/>
      <c r="R277" s="240"/>
      <c r="S277" s="240"/>
      <c r="T277" s="240"/>
      <c r="U277" s="240"/>
      <c r="V277" s="240"/>
      <c r="W277" s="240"/>
      <c r="X277" s="240"/>
      <c r="Y277" s="240"/>
      <c r="Z277" s="240"/>
      <c r="AA277" s="240"/>
      <c r="AB277" s="240"/>
      <c r="AC277" s="240"/>
    </row>
    <row r="278" spans="5:29" ht="15.75" customHeight="1" x14ac:dyDescent="0.2">
      <c r="E278" s="240"/>
      <c r="F278" s="240"/>
      <c r="G278" s="240"/>
      <c r="H278" s="240"/>
      <c r="I278" s="240"/>
      <c r="J278" s="240"/>
      <c r="K278" s="240"/>
      <c r="L278" s="240"/>
      <c r="M278" s="240"/>
      <c r="N278" s="240"/>
      <c r="O278" s="240"/>
      <c r="P278" s="240"/>
      <c r="Q278" s="240"/>
      <c r="R278" s="240"/>
      <c r="S278" s="240"/>
      <c r="T278" s="240"/>
      <c r="U278" s="240"/>
      <c r="V278" s="240"/>
      <c r="W278" s="240"/>
      <c r="X278" s="240"/>
      <c r="Y278" s="240"/>
      <c r="Z278" s="240"/>
      <c r="AA278" s="240"/>
      <c r="AB278" s="240"/>
      <c r="AC278" s="240"/>
    </row>
    <row r="279" spans="5:29" ht="15.75" customHeight="1" x14ac:dyDescent="0.2">
      <c r="E279" s="240"/>
      <c r="F279" s="240"/>
      <c r="G279" s="240"/>
      <c r="H279" s="240"/>
      <c r="I279" s="240"/>
      <c r="J279" s="240"/>
      <c r="K279" s="240"/>
      <c r="L279" s="240"/>
      <c r="M279" s="240"/>
      <c r="N279" s="240"/>
      <c r="O279" s="240"/>
      <c r="P279" s="240"/>
      <c r="Q279" s="240"/>
      <c r="R279" s="240"/>
      <c r="S279" s="240"/>
      <c r="T279" s="240"/>
      <c r="U279" s="240"/>
      <c r="V279" s="240"/>
      <c r="W279" s="240"/>
      <c r="X279" s="240"/>
      <c r="Y279" s="240"/>
      <c r="Z279" s="240"/>
      <c r="AA279" s="240"/>
      <c r="AB279" s="240"/>
      <c r="AC279" s="240"/>
    </row>
    <row r="280" spans="5:29" ht="15.75" customHeight="1" x14ac:dyDescent="0.2">
      <c r="E280" s="240"/>
      <c r="F280" s="240"/>
      <c r="G280" s="240"/>
      <c r="H280" s="240"/>
      <c r="I280" s="240"/>
      <c r="J280" s="240"/>
      <c r="K280" s="240"/>
      <c r="L280" s="240"/>
      <c r="M280" s="240"/>
      <c r="N280" s="240"/>
      <c r="O280" s="240"/>
      <c r="P280" s="240"/>
      <c r="Q280" s="240"/>
      <c r="R280" s="240"/>
      <c r="S280" s="240"/>
      <c r="T280" s="240"/>
      <c r="U280" s="240"/>
      <c r="V280" s="240"/>
      <c r="W280" s="240"/>
      <c r="X280" s="240"/>
      <c r="Y280" s="240"/>
      <c r="Z280" s="240"/>
      <c r="AA280" s="240"/>
      <c r="AB280" s="240"/>
      <c r="AC280" s="240"/>
    </row>
    <row r="281" spans="5:29" ht="15.75" customHeight="1" x14ac:dyDescent="0.2">
      <c r="E281" s="240"/>
      <c r="F281" s="240"/>
      <c r="G281" s="240"/>
      <c r="H281" s="240"/>
      <c r="I281" s="240"/>
      <c r="J281" s="240"/>
      <c r="K281" s="240"/>
      <c r="L281" s="240"/>
      <c r="M281" s="240"/>
      <c r="N281" s="240"/>
      <c r="O281" s="240"/>
      <c r="P281" s="240"/>
      <c r="Q281" s="240"/>
      <c r="R281" s="240"/>
      <c r="S281" s="240"/>
      <c r="T281" s="240"/>
      <c r="U281" s="240"/>
      <c r="V281" s="240"/>
      <c r="W281" s="240"/>
      <c r="X281" s="240"/>
      <c r="Y281" s="240"/>
      <c r="Z281" s="240"/>
      <c r="AA281" s="240"/>
      <c r="AB281" s="240"/>
      <c r="AC281" s="240"/>
    </row>
    <row r="282" spans="5:29" ht="15.75" customHeight="1" x14ac:dyDescent="0.2">
      <c r="E282" s="240"/>
      <c r="F282" s="240"/>
      <c r="G282" s="240"/>
      <c r="H282" s="240"/>
      <c r="I282" s="240"/>
      <c r="J282" s="240"/>
      <c r="K282" s="240"/>
      <c r="L282" s="240"/>
      <c r="M282" s="240"/>
      <c r="N282" s="240"/>
      <c r="O282" s="240"/>
      <c r="P282" s="240"/>
      <c r="Q282" s="240"/>
      <c r="R282" s="240"/>
      <c r="S282" s="240"/>
      <c r="T282" s="240"/>
      <c r="U282" s="240"/>
      <c r="V282" s="240"/>
      <c r="W282" s="240"/>
      <c r="X282" s="240"/>
      <c r="Y282" s="240"/>
      <c r="Z282" s="240"/>
      <c r="AA282" s="240"/>
      <c r="AB282" s="240"/>
      <c r="AC282" s="240"/>
    </row>
    <row r="283" spans="5:29" ht="15.75" customHeight="1" x14ac:dyDescent="0.2">
      <c r="E283" s="240"/>
      <c r="F283" s="240"/>
      <c r="G283" s="240"/>
      <c r="H283" s="240"/>
      <c r="I283" s="240"/>
      <c r="J283" s="240"/>
      <c r="K283" s="240"/>
      <c r="L283" s="240"/>
      <c r="M283" s="240"/>
      <c r="N283" s="240"/>
      <c r="O283" s="240"/>
      <c r="P283" s="240"/>
      <c r="Q283" s="240"/>
      <c r="R283" s="240"/>
      <c r="S283" s="240"/>
      <c r="T283" s="240"/>
      <c r="U283" s="240"/>
      <c r="V283" s="240"/>
      <c r="W283" s="240"/>
      <c r="X283" s="240"/>
      <c r="Y283" s="240"/>
      <c r="Z283" s="240"/>
      <c r="AA283" s="240"/>
      <c r="AB283" s="240"/>
      <c r="AC283" s="240"/>
    </row>
    <row r="284" spans="5:29" ht="15.75" customHeight="1" x14ac:dyDescent="0.2">
      <c r="E284" s="240"/>
      <c r="F284" s="240"/>
      <c r="G284" s="240"/>
      <c r="H284" s="240"/>
      <c r="I284" s="240"/>
      <c r="J284" s="240"/>
      <c r="K284" s="240"/>
      <c r="L284" s="240"/>
      <c r="M284" s="240"/>
      <c r="N284" s="240"/>
      <c r="O284" s="240"/>
      <c r="P284" s="240"/>
      <c r="Q284" s="240"/>
      <c r="R284" s="240"/>
      <c r="S284" s="240"/>
      <c r="T284" s="240"/>
      <c r="U284" s="240"/>
      <c r="V284" s="240"/>
      <c r="W284" s="240"/>
      <c r="X284" s="240"/>
      <c r="Y284" s="240"/>
      <c r="Z284" s="240"/>
      <c r="AA284" s="240"/>
      <c r="AB284" s="240"/>
      <c r="AC284" s="240"/>
    </row>
    <row r="285" spans="5:29" ht="15.75" customHeight="1" x14ac:dyDescent="0.2">
      <c r="E285" s="240"/>
      <c r="F285" s="240"/>
      <c r="G285" s="240"/>
      <c r="H285" s="240"/>
      <c r="I285" s="240"/>
      <c r="J285" s="240"/>
      <c r="K285" s="240"/>
      <c r="L285" s="240"/>
      <c r="M285" s="240"/>
      <c r="N285" s="240"/>
      <c r="O285" s="240"/>
      <c r="P285" s="240"/>
      <c r="Q285" s="240"/>
      <c r="R285" s="240"/>
      <c r="S285" s="240"/>
      <c r="T285" s="240"/>
      <c r="U285" s="240"/>
      <c r="V285" s="240"/>
      <c r="W285" s="240"/>
      <c r="X285" s="240"/>
      <c r="Y285" s="240"/>
      <c r="Z285" s="240"/>
      <c r="AA285" s="240"/>
      <c r="AB285" s="240"/>
      <c r="AC285" s="240"/>
    </row>
    <row r="286" spans="5:29" ht="15.75" customHeight="1" x14ac:dyDescent="0.2">
      <c r="E286" s="240"/>
      <c r="F286" s="240"/>
      <c r="G286" s="240"/>
      <c r="H286" s="240"/>
      <c r="I286" s="240"/>
      <c r="J286" s="240"/>
      <c r="K286" s="240"/>
      <c r="L286" s="240"/>
      <c r="M286" s="240"/>
      <c r="N286" s="240"/>
      <c r="O286" s="240"/>
      <c r="P286" s="240"/>
      <c r="Q286" s="240"/>
      <c r="R286" s="240"/>
      <c r="S286" s="240"/>
      <c r="T286" s="240"/>
      <c r="U286" s="240"/>
      <c r="V286" s="240"/>
      <c r="W286" s="240"/>
      <c r="X286" s="240"/>
      <c r="Y286" s="240"/>
      <c r="Z286" s="240"/>
      <c r="AA286" s="240"/>
      <c r="AB286" s="240"/>
      <c r="AC286" s="240"/>
    </row>
    <row r="287" spans="5:29" ht="15.75" customHeight="1" x14ac:dyDescent="0.2">
      <c r="E287" s="240"/>
      <c r="F287" s="240"/>
      <c r="G287" s="240"/>
      <c r="H287" s="240"/>
      <c r="I287" s="240"/>
      <c r="J287" s="240"/>
      <c r="K287" s="240"/>
      <c r="L287" s="240"/>
      <c r="M287" s="240"/>
      <c r="N287" s="240"/>
      <c r="O287" s="240"/>
      <c r="P287" s="240"/>
      <c r="Q287" s="240"/>
      <c r="R287" s="240"/>
      <c r="S287" s="240"/>
      <c r="T287" s="240"/>
      <c r="U287" s="240"/>
      <c r="V287" s="240"/>
      <c r="W287" s="240"/>
      <c r="X287" s="240"/>
      <c r="Y287" s="240"/>
      <c r="Z287" s="240"/>
      <c r="AA287" s="240"/>
      <c r="AB287" s="240"/>
      <c r="AC287" s="240"/>
    </row>
    <row r="288" spans="5:29" ht="15.75" customHeight="1" x14ac:dyDescent="0.2">
      <c r="E288" s="240"/>
      <c r="F288" s="240"/>
      <c r="G288" s="240"/>
      <c r="H288" s="240"/>
      <c r="I288" s="240"/>
      <c r="J288" s="240"/>
      <c r="K288" s="240"/>
      <c r="L288" s="240"/>
      <c r="M288" s="240"/>
      <c r="N288" s="240"/>
      <c r="O288" s="240"/>
      <c r="P288" s="240"/>
      <c r="Q288" s="240"/>
      <c r="R288" s="240"/>
      <c r="S288" s="240"/>
      <c r="T288" s="240"/>
      <c r="U288" s="240"/>
      <c r="V288" s="240"/>
      <c r="W288" s="240"/>
      <c r="X288" s="240"/>
      <c r="Y288" s="240"/>
      <c r="Z288" s="240"/>
      <c r="AA288" s="240"/>
      <c r="AB288" s="240"/>
      <c r="AC288" s="240"/>
    </row>
    <row r="289" spans="5:29" ht="15.75" customHeight="1" x14ac:dyDescent="0.2">
      <c r="E289" s="240"/>
      <c r="F289" s="240"/>
      <c r="G289" s="240"/>
      <c r="H289" s="240"/>
      <c r="I289" s="240"/>
      <c r="J289" s="240"/>
      <c r="K289" s="240"/>
      <c r="L289" s="240"/>
      <c r="M289" s="240"/>
      <c r="N289" s="240"/>
      <c r="O289" s="240"/>
      <c r="P289" s="240"/>
      <c r="Q289" s="240"/>
      <c r="R289" s="240"/>
      <c r="S289" s="240"/>
      <c r="T289" s="240"/>
      <c r="U289" s="240"/>
      <c r="V289" s="240"/>
      <c r="W289" s="240"/>
      <c r="X289" s="240"/>
      <c r="Y289" s="240"/>
      <c r="Z289" s="240"/>
      <c r="AA289" s="240"/>
      <c r="AB289" s="240"/>
      <c r="AC289" s="240"/>
    </row>
    <row r="290" spans="5:29" ht="15.75" customHeight="1" x14ac:dyDescent="0.2">
      <c r="E290" s="240"/>
      <c r="F290" s="240"/>
      <c r="G290" s="240"/>
      <c r="H290" s="240"/>
      <c r="I290" s="240"/>
      <c r="J290" s="240"/>
      <c r="K290" s="240"/>
      <c r="L290" s="240"/>
      <c r="M290" s="240"/>
      <c r="N290" s="240"/>
      <c r="O290" s="240"/>
      <c r="P290" s="240"/>
      <c r="Q290" s="240"/>
      <c r="R290" s="240"/>
      <c r="S290" s="240"/>
      <c r="T290" s="240"/>
      <c r="U290" s="240"/>
      <c r="V290" s="240"/>
      <c r="W290" s="240"/>
      <c r="X290" s="240"/>
      <c r="Y290" s="240"/>
      <c r="Z290" s="240"/>
      <c r="AA290" s="240"/>
      <c r="AB290" s="240"/>
      <c r="AC290" s="240"/>
    </row>
    <row r="291" spans="5:29" ht="15.75" customHeight="1" x14ac:dyDescent="0.2">
      <c r="E291" s="240"/>
      <c r="F291" s="240"/>
      <c r="G291" s="240"/>
      <c r="H291" s="240"/>
      <c r="I291" s="240"/>
      <c r="J291" s="240"/>
      <c r="K291" s="240"/>
      <c r="L291" s="240"/>
      <c r="M291" s="240"/>
      <c r="N291" s="240"/>
      <c r="O291" s="240"/>
      <c r="P291" s="240"/>
      <c r="Q291" s="240"/>
      <c r="R291" s="240"/>
      <c r="S291" s="240"/>
      <c r="T291" s="240"/>
      <c r="U291" s="240"/>
      <c r="V291" s="240"/>
      <c r="W291" s="240"/>
      <c r="X291" s="240"/>
      <c r="Y291" s="240"/>
      <c r="Z291" s="240"/>
      <c r="AA291" s="240"/>
      <c r="AB291" s="240"/>
      <c r="AC291" s="240"/>
    </row>
    <row r="292" spans="5:29" ht="15.75" customHeight="1" x14ac:dyDescent="0.2">
      <c r="E292" s="240"/>
      <c r="F292" s="240"/>
      <c r="G292" s="240"/>
      <c r="H292" s="240"/>
      <c r="I292" s="240"/>
      <c r="J292" s="240"/>
      <c r="K292" s="240"/>
      <c r="L292" s="240"/>
      <c r="M292" s="240"/>
      <c r="N292" s="240"/>
      <c r="O292" s="240"/>
      <c r="P292" s="240"/>
      <c r="Q292" s="240"/>
      <c r="R292" s="240"/>
      <c r="S292" s="240"/>
      <c r="T292" s="240"/>
      <c r="U292" s="240"/>
      <c r="V292" s="240"/>
      <c r="W292" s="240"/>
      <c r="X292" s="240"/>
      <c r="Y292" s="240"/>
      <c r="Z292" s="240"/>
      <c r="AA292" s="240"/>
      <c r="AB292" s="240"/>
      <c r="AC292" s="240"/>
    </row>
    <row r="293" spans="5:29" ht="15.75" customHeight="1" x14ac:dyDescent="0.2">
      <c r="E293" s="240"/>
      <c r="F293" s="240"/>
      <c r="G293" s="240"/>
      <c r="H293" s="240"/>
      <c r="I293" s="240"/>
      <c r="J293" s="240"/>
      <c r="K293" s="240"/>
      <c r="L293" s="240"/>
      <c r="M293" s="240"/>
      <c r="N293" s="240"/>
      <c r="O293" s="240"/>
      <c r="P293" s="240"/>
      <c r="Q293" s="240"/>
      <c r="R293" s="240"/>
      <c r="S293" s="240"/>
      <c r="T293" s="240"/>
      <c r="U293" s="240"/>
      <c r="V293" s="240"/>
      <c r="W293" s="240"/>
      <c r="X293" s="240"/>
      <c r="Y293" s="240"/>
      <c r="Z293" s="240"/>
      <c r="AA293" s="240"/>
      <c r="AB293" s="240"/>
      <c r="AC293" s="240"/>
    </row>
    <row r="294" spans="5:29" ht="15.75" customHeight="1" x14ac:dyDescent="0.2">
      <c r="E294" s="240"/>
      <c r="F294" s="240"/>
      <c r="G294" s="240"/>
      <c r="H294" s="240"/>
      <c r="I294" s="240"/>
      <c r="J294" s="240"/>
      <c r="K294" s="240"/>
      <c r="L294" s="240"/>
      <c r="M294" s="240"/>
      <c r="N294" s="240"/>
      <c r="O294" s="240"/>
      <c r="P294" s="240"/>
      <c r="Q294" s="240"/>
      <c r="R294" s="240"/>
      <c r="S294" s="240"/>
      <c r="T294" s="240"/>
      <c r="U294" s="240"/>
      <c r="V294" s="240"/>
      <c r="W294" s="240"/>
      <c r="X294" s="240"/>
      <c r="Y294" s="240"/>
      <c r="Z294" s="240"/>
      <c r="AA294" s="240"/>
      <c r="AB294" s="240"/>
      <c r="AC294" s="240"/>
    </row>
    <row r="295" spans="5:29" ht="15.75" customHeight="1" x14ac:dyDescent="0.2">
      <c r="E295" s="240"/>
      <c r="F295" s="240"/>
      <c r="G295" s="240"/>
      <c r="H295" s="240"/>
      <c r="I295" s="240"/>
      <c r="J295" s="240"/>
      <c r="K295" s="240"/>
      <c r="L295" s="240"/>
      <c r="M295" s="240"/>
      <c r="N295" s="240"/>
      <c r="O295" s="240"/>
      <c r="P295" s="240"/>
      <c r="Q295" s="240"/>
      <c r="R295" s="240"/>
      <c r="S295" s="240"/>
      <c r="T295" s="240"/>
      <c r="U295" s="240"/>
      <c r="V295" s="240"/>
      <c r="W295" s="240"/>
      <c r="X295" s="240"/>
      <c r="Y295" s="240"/>
      <c r="Z295" s="240"/>
      <c r="AA295" s="240"/>
      <c r="AB295" s="240"/>
      <c r="AC295" s="240"/>
    </row>
    <row r="296" spans="5:29" ht="15.75" customHeight="1" x14ac:dyDescent="0.2">
      <c r="E296" s="240"/>
      <c r="F296" s="240"/>
      <c r="G296" s="240"/>
      <c r="H296" s="240"/>
      <c r="I296" s="240"/>
      <c r="J296" s="240"/>
      <c r="K296" s="240"/>
      <c r="L296" s="240"/>
      <c r="M296" s="240"/>
      <c r="N296" s="240"/>
      <c r="O296" s="240"/>
      <c r="P296" s="240"/>
      <c r="Q296" s="240"/>
      <c r="R296" s="240"/>
      <c r="S296" s="240"/>
      <c r="T296" s="240"/>
      <c r="U296" s="240"/>
      <c r="V296" s="240"/>
      <c r="W296" s="240"/>
      <c r="X296" s="240"/>
      <c r="Y296" s="240"/>
      <c r="Z296" s="240"/>
      <c r="AA296" s="240"/>
      <c r="AB296" s="240"/>
      <c r="AC296" s="240"/>
    </row>
    <row r="297" spans="5:29" ht="15.75" customHeight="1" x14ac:dyDescent="0.2">
      <c r="E297" s="240"/>
      <c r="F297" s="240"/>
      <c r="G297" s="240"/>
      <c r="H297" s="240"/>
      <c r="I297" s="240"/>
      <c r="J297" s="240"/>
      <c r="K297" s="240"/>
      <c r="L297" s="240"/>
      <c r="M297" s="240"/>
      <c r="N297" s="240"/>
      <c r="O297" s="240"/>
      <c r="P297" s="240"/>
      <c r="Q297" s="240"/>
      <c r="R297" s="240"/>
      <c r="S297" s="240"/>
      <c r="T297" s="240"/>
      <c r="U297" s="240"/>
      <c r="V297" s="240"/>
      <c r="W297" s="240"/>
      <c r="X297" s="240"/>
      <c r="Y297" s="240"/>
      <c r="Z297" s="240"/>
      <c r="AA297" s="240"/>
      <c r="AB297" s="240"/>
      <c r="AC297" s="240"/>
    </row>
    <row r="298" spans="5:29" ht="15.75" customHeight="1" x14ac:dyDescent="0.2">
      <c r="E298" s="240"/>
      <c r="F298" s="240"/>
      <c r="G298" s="240"/>
      <c r="H298" s="240"/>
      <c r="I298" s="240"/>
      <c r="J298" s="240"/>
      <c r="K298" s="240"/>
      <c r="L298" s="240"/>
      <c r="M298" s="240"/>
      <c r="N298" s="240"/>
      <c r="O298" s="240"/>
      <c r="P298" s="240"/>
      <c r="Q298" s="240"/>
      <c r="R298" s="240"/>
      <c r="S298" s="240"/>
      <c r="T298" s="240"/>
      <c r="U298" s="240"/>
      <c r="V298" s="240"/>
      <c r="W298" s="240"/>
      <c r="X298" s="240"/>
      <c r="Y298" s="240"/>
      <c r="Z298" s="240"/>
      <c r="AA298" s="240"/>
      <c r="AB298" s="240"/>
      <c r="AC298" s="240"/>
    </row>
    <row r="299" spans="5:29" ht="15.75" customHeight="1" x14ac:dyDescent="0.2">
      <c r="E299" s="240"/>
      <c r="F299" s="240"/>
      <c r="G299" s="240"/>
      <c r="H299" s="240"/>
      <c r="I299" s="240"/>
      <c r="J299" s="240"/>
      <c r="K299" s="240"/>
      <c r="L299" s="240"/>
      <c r="M299" s="240"/>
      <c r="N299" s="240"/>
      <c r="O299" s="240"/>
      <c r="P299" s="240"/>
      <c r="Q299" s="240"/>
      <c r="R299" s="240"/>
      <c r="S299" s="240"/>
      <c r="T299" s="240"/>
      <c r="U299" s="240"/>
      <c r="V299" s="240"/>
      <c r="W299" s="240"/>
      <c r="X299" s="240"/>
      <c r="Y299" s="240"/>
      <c r="Z299" s="240"/>
      <c r="AA299" s="240"/>
      <c r="AB299" s="240"/>
      <c r="AC299" s="240"/>
    </row>
    <row r="300" spans="5:29" ht="15.75" customHeight="1" x14ac:dyDescent="0.2">
      <c r="E300" s="240"/>
      <c r="F300" s="240"/>
      <c r="G300" s="240"/>
      <c r="H300" s="240"/>
      <c r="I300" s="240"/>
      <c r="J300" s="240"/>
      <c r="K300" s="240"/>
      <c r="L300" s="240"/>
      <c r="M300" s="240"/>
      <c r="N300" s="240"/>
      <c r="O300" s="240"/>
      <c r="P300" s="240"/>
      <c r="Q300" s="240"/>
      <c r="R300" s="240"/>
      <c r="S300" s="240"/>
      <c r="T300" s="240"/>
      <c r="U300" s="240"/>
      <c r="V300" s="240"/>
      <c r="W300" s="240"/>
      <c r="X300" s="240"/>
      <c r="Y300" s="240"/>
      <c r="Z300" s="240"/>
      <c r="AA300" s="240"/>
      <c r="AB300" s="240"/>
      <c r="AC300" s="240"/>
    </row>
    <row r="301" spans="5:29" ht="15.75" customHeight="1" x14ac:dyDescent="0.2">
      <c r="E301" s="240"/>
      <c r="F301" s="240"/>
      <c r="G301" s="240"/>
      <c r="H301" s="240"/>
      <c r="I301" s="240"/>
      <c r="J301" s="240"/>
      <c r="K301" s="240"/>
      <c r="L301" s="240"/>
      <c r="M301" s="240"/>
      <c r="N301" s="240"/>
      <c r="O301" s="240"/>
      <c r="P301" s="240"/>
      <c r="Q301" s="240"/>
      <c r="R301" s="240"/>
      <c r="S301" s="240"/>
      <c r="T301" s="240"/>
      <c r="U301" s="240"/>
      <c r="V301" s="240"/>
      <c r="W301" s="240"/>
      <c r="X301" s="240"/>
      <c r="Y301" s="240"/>
      <c r="Z301" s="240"/>
      <c r="AA301" s="240"/>
      <c r="AB301" s="240"/>
      <c r="AC301" s="240"/>
    </row>
    <row r="302" spans="5:29" ht="15.75" customHeight="1" x14ac:dyDescent="0.2">
      <c r="E302" s="240"/>
      <c r="F302" s="240"/>
      <c r="G302" s="240"/>
      <c r="H302" s="240"/>
      <c r="I302" s="240"/>
      <c r="J302" s="240"/>
      <c r="K302" s="240"/>
      <c r="L302" s="240"/>
      <c r="M302" s="240"/>
      <c r="N302" s="240"/>
      <c r="O302" s="240"/>
      <c r="P302" s="240"/>
      <c r="Q302" s="240"/>
      <c r="R302" s="240"/>
      <c r="S302" s="240"/>
      <c r="T302" s="240"/>
      <c r="U302" s="240"/>
      <c r="V302" s="240"/>
      <c r="W302" s="240"/>
      <c r="X302" s="240"/>
      <c r="Y302" s="240"/>
      <c r="Z302" s="240"/>
      <c r="AA302" s="240"/>
      <c r="AB302" s="240"/>
      <c r="AC302" s="240"/>
    </row>
    <row r="303" spans="5:29" ht="15.75" customHeight="1" x14ac:dyDescent="0.2">
      <c r="E303" s="240"/>
      <c r="F303" s="240"/>
      <c r="G303" s="240"/>
      <c r="H303" s="240"/>
      <c r="I303" s="240"/>
      <c r="J303" s="240"/>
      <c r="K303" s="240"/>
      <c r="L303" s="240"/>
      <c r="M303" s="240"/>
      <c r="N303" s="240"/>
      <c r="O303" s="240"/>
      <c r="P303" s="240"/>
      <c r="Q303" s="240"/>
      <c r="R303" s="240"/>
      <c r="S303" s="240"/>
      <c r="T303" s="240"/>
      <c r="U303" s="240"/>
      <c r="V303" s="240"/>
      <c r="W303" s="240"/>
      <c r="X303" s="240"/>
      <c r="Y303" s="240"/>
      <c r="Z303" s="240"/>
      <c r="AA303" s="240"/>
      <c r="AB303" s="240"/>
      <c r="AC303" s="240"/>
    </row>
    <row r="304" spans="5:29" ht="15.75" customHeight="1" x14ac:dyDescent="0.2">
      <c r="E304" s="240"/>
      <c r="F304" s="240"/>
      <c r="G304" s="240"/>
      <c r="H304" s="240"/>
      <c r="I304" s="240"/>
      <c r="J304" s="240"/>
      <c r="K304" s="240"/>
      <c r="L304" s="240"/>
      <c r="M304" s="240"/>
      <c r="N304" s="240"/>
      <c r="O304" s="240"/>
      <c r="P304" s="240"/>
      <c r="Q304" s="240"/>
      <c r="R304" s="240"/>
      <c r="S304" s="240"/>
      <c r="T304" s="240"/>
      <c r="U304" s="240"/>
      <c r="V304" s="240"/>
      <c r="W304" s="240"/>
      <c r="X304" s="240"/>
      <c r="Y304" s="240"/>
      <c r="Z304" s="240"/>
      <c r="AA304" s="240"/>
      <c r="AB304" s="240"/>
      <c r="AC304" s="240"/>
    </row>
    <row r="305" spans="5:29" ht="15.75" customHeight="1" x14ac:dyDescent="0.2">
      <c r="E305" s="240"/>
      <c r="F305" s="240"/>
      <c r="G305" s="240"/>
      <c r="H305" s="240"/>
      <c r="I305" s="240"/>
      <c r="J305" s="240"/>
      <c r="K305" s="240"/>
      <c r="L305" s="240"/>
      <c r="M305" s="240"/>
      <c r="N305" s="240"/>
      <c r="O305" s="240"/>
      <c r="P305" s="240"/>
      <c r="Q305" s="240"/>
      <c r="R305" s="240"/>
      <c r="S305" s="240"/>
      <c r="T305" s="240"/>
      <c r="U305" s="240"/>
      <c r="V305" s="240"/>
      <c r="W305" s="240"/>
      <c r="X305" s="240"/>
      <c r="Y305" s="240"/>
      <c r="Z305" s="240"/>
      <c r="AA305" s="240"/>
      <c r="AB305" s="240"/>
      <c r="AC305" s="240"/>
    </row>
    <row r="306" spans="5:29" ht="15.75" customHeight="1" x14ac:dyDescent="0.2">
      <c r="E306" s="240"/>
      <c r="F306" s="240"/>
      <c r="G306" s="240"/>
      <c r="H306" s="240"/>
      <c r="I306" s="240"/>
      <c r="J306" s="240"/>
      <c r="K306" s="240"/>
      <c r="L306" s="240"/>
      <c r="M306" s="240"/>
      <c r="N306" s="240"/>
      <c r="O306" s="240"/>
      <c r="P306" s="240"/>
      <c r="Q306" s="240"/>
      <c r="R306" s="240"/>
      <c r="S306" s="240"/>
      <c r="T306" s="240"/>
      <c r="U306" s="240"/>
      <c r="V306" s="240"/>
      <c r="W306" s="240"/>
      <c r="X306" s="240"/>
      <c r="Y306" s="240"/>
      <c r="Z306" s="240"/>
      <c r="AA306" s="240"/>
      <c r="AB306" s="240"/>
      <c r="AC306" s="240"/>
    </row>
    <row r="307" spans="5:29" ht="15.75" customHeight="1" x14ac:dyDescent="0.2">
      <c r="E307" s="240"/>
      <c r="F307" s="240"/>
      <c r="G307" s="240"/>
      <c r="H307" s="240"/>
      <c r="I307" s="240"/>
      <c r="J307" s="240"/>
      <c r="K307" s="240"/>
      <c r="L307" s="240"/>
      <c r="M307" s="240"/>
      <c r="N307" s="240"/>
      <c r="O307" s="240"/>
      <c r="P307" s="240"/>
      <c r="Q307" s="240"/>
      <c r="R307" s="240"/>
      <c r="S307" s="240"/>
      <c r="T307" s="240"/>
      <c r="U307" s="240"/>
      <c r="V307" s="240"/>
      <c r="W307" s="240"/>
      <c r="X307" s="240"/>
      <c r="Y307" s="240"/>
      <c r="Z307" s="240"/>
      <c r="AA307" s="240"/>
      <c r="AB307" s="240"/>
      <c r="AC307" s="240"/>
    </row>
    <row r="308" spans="5:29" ht="15.75" customHeight="1" x14ac:dyDescent="0.2">
      <c r="E308" s="240"/>
      <c r="F308" s="240"/>
      <c r="G308" s="240"/>
      <c r="H308" s="240"/>
      <c r="I308" s="240"/>
      <c r="J308" s="240"/>
      <c r="K308" s="240"/>
      <c r="L308" s="240"/>
      <c r="M308" s="240"/>
      <c r="N308" s="240"/>
      <c r="O308" s="240"/>
      <c r="P308" s="240"/>
      <c r="Q308" s="240"/>
      <c r="R308" s="240"/>
      <c r="S308" s="240"/>
      <c r="T308" s="240"/>
      <c r="U308" s="240"/>
      <c r="V308" s="240"/>
      <c r="W308" s="240"/>
      <c r="X308" s="240"/>
      <c r="Y308" s="240"/>
      <c r="Z308" s="240"/>
      <c r="AA308" s="240"/>
      <c r="AB308" s="240"/>
      <c r="AC308" s="240"/>
    </row>
    <row r="309" spans="5:29" ht="15.75" customHeight="1" x14ac:dyDescent="0.2">
      <c r="E309" s="240"/>
      <c r="F309" s="240"/>
      <c r="G309" s="240"/>
      <c r="H309" s="240"/>
      <c r="I309" s="240"/>
      <c r="J309" s="240"/>
      <c r="K309" s="240"/>
      <c r="L309" s="240"/>
      <c r="M309" s="240"/>
      <c r="N309" s="240"/>
      <c r="O309" s="240"/>
      <c r="P309" s="240"/>
      <c r="Q309" s="240"/>
      <c r="R309" s="240"/>
      <c r="S309" s="240"/>
      <c r="T309" s="240"/>
      <c r="U309" s="240"/>
      <c r="V309" s="240"/>
      <c r="W309" s="240"/>
      <c r="X309" s="240"/>
      <c r="Y309" s="240"/>
      <c r="Z309" s="240"/>
      <c r="AA309" s="240"/>
      <c r="AB309" s="240"/>
      <c r="AC309" s="240"/>
    </row>
    <row r="310" spans="5:29" ht="15.75" customHeight="1" x14ac:dyDescent="0.2">
      <c r="E310" s="240"/>
      <c r="F310" s="240"/>
      <c r="G310" s="240"/>
      <c r="H310" s="240"/>
      <c r="I310" s="240"/>
      <c r="J310" s="240"/>
      <c r="K310" s="240"/>
      <c r="L310" s="240"/>
      <c r="M310" s="240"/>
      <c r="N310" s="240"/>
      <c r="O310" s="240"/>
      <c r="P310" s="240"/>
      <c r="Q310" s="240"/>
      <c r="R310" s="240"/>
      <c r="S310" s="240"/>
      <c r="T310" s="240"/>
      <c r="U310" s="240"/>
      <c r="V310" s="240"/>
      <c r="W310" s="240"/>
      <c r="X310" s="240"/>
      <c r="Y310" s="240"/>
      <c r="Z310" s="240"/>
      <c r="AA310" s="240"/>
      <c r="AB310" s="240"/>
      <c r="AC310" s="240"/>
    </row>
    <row r="311" spans="5:29" ht="15.75" customHeight="1" x14ac:dyDescent="0.2">
      <c r="E311" s="240"/>
      <c r="F311" s="240"/>
      <c r="G311" s="240"/>
      <c r="H311" s="240"/>
      <c r="I311" s="240"/>
      <c r="J311" s="240"/>
      <c r="K311" s="240"/>
      <c r="L311" s="240"/>
      <c r="M311" s="240"/>
      <c r="N311" s="240"/>
      <c r="O311" s="240"/>
      <c r="P311" s="240"/>
      <c r="Q311" s="240"/>
      <c r="R311" s="240"/>
      <c r="S311" s="240"/>
      <c r="T311" s="240"/>
      <c r="U311" s="240"/>
      <c r="V311" s="240"/>
      <c r="W311" s="240"/>
      <c r="X311" s="240"/>
      <c r="Y311" s="240"/>
      <c r="Z311" s="240"/>
      <c r="AA311" s="240"/>
      <c r="AB311" s="240"/>
      <c r="AC311" s="240"/>
    </row>
    <row r="312" spans="5:29" ht="15.75" customHeight="1" x14ac:dyDescent="0.2">
      <c r="E312" s="240"/>
      <c r="F312" s="240"/>
      <c r="G312" s="240"/>
      <c r="H312" s="240"/>
      <c r="I312" s="240"/>
      <c r="J312" s="240"/>
      <c r="K312" s="240"/>
      <c r="L312" s="240"/>
      <c r="M312" s="240"/>
      <c r="N312" s="240"/>
      <c r="O312" s="240"/>
      <c r="P312" s="240"/>
      <c r="Q312" s="240"/>
      <c r="R312" s="240"/>
      <c r="S312" s="240"/>
      <c r="T312" s="240"/>
      <c r="U312" s="240"/>
      <c r="V312" s="240"/>
      <c r="W312" s="240"/>
      <c r="X312" s="240"/>
      <c r="Y312" s="240"/>
      <c r="Z312" s="240"/>
      <c r="AA312" s="240"/>
      <c r="AB312" s="240"/>
      <c r="AC312" s="240"/>
    </row>
    <row r="313" spans="5:29" ht="15.75" customHeight="1" x14ac:dyDescent="0.2">
      <c r="E313" s="240"/>
      <c r="F313" s="240"/>
      <c r="G313" s="240"/>
      <c r="H313" s="240"/>
      <c r="I313" s="240"/>
      <c r="J313" s="240"/>
      <c r="K313" s="240"/>
      <c r="L313" s="240"/>
      <c r="M313" s="240"/>
      <c r="N313" s="240"/>
      <c r="O313" s="240"/>
      <c r="P313" s="240"/>
      <c r="Q313" s="240"/>
      <c r="R313" s="240"/>
      <c r="S313" s="240"/>
      <c r="T313" s="240"/>
      <c r="U313" s="240"/>
      <c r="V313" s="240"/>
      <c r="W313" s="240"/>
      <c r="X313" s="240"/>
      <c r="Y313" s="240"/>
      <c r="Z313" s="240"/>
      <c r="AA313" s="240"/>
      <c r="AB313" s="240"/>
      <c r="AC313" s="240"/>
    </row>
    <row r="314" spans="5:29" ht="15.75" customHeight="1" x14ac:dyDescent="0.2">
      <c r="E314" s="240"/>
      <c r="F314" s="240"/>
      <c r="G314" s="240"/>
      <c r="H314" s="240"/>
      <c r="I314" s="240"/>
      <c r="J314" s="240"/>
      <c r="K314" s="240"/>
      <c r="L314" s="240"/>
      <c r="M314" s="240"/>
      <c r="N314" s="240"/>
      <c r="O314" s="240"/>
      <c r="P314" s="240"/>
      <c r="Q314" s="240"/>
      <c r="R314" s="240"/>
      <c r="S314" s="240"/>
      <c r="T314" s="240"/>
      <c r="U314" s="240"/>
      <c r="V314" s="240"/>
      <c r="W314" s="240"/>
      <c r="X314" s="240"/>
      <c r="Y314" s="240"/>
      <c r="Z314" s="240"/>
      <c r="AA314" s="240"/>
      <c r="AB314" s="240"/>
      <c r="AC314" s="240"/>
    </row>
    <row r="315" spans="5:29" ht="15.75" customHeight="1" x14ac:dyDescent="0.2">
      <c r="E315" s="240"/>
      <c r="F315" s="240"/>
      <c r="G315" s="240"/>
      <c r="H315" s="240"/>
      <c r="I315" s="240"/>
      <c r="J315" s="240"/>
      <c r="K315" s="240"/>
      <c r="L315" s="240"/>
      <c r="M315" s="240"/>
      <c r="N315" s="240"/>
      <c r="O315" s="240"/>
      <c r="P315" s="240"/>
      <c r="Q315" s="240"/>
      <c r="R315" s="240"/>
      <c r="S315" s="240"/>
      <c r="T315" s="240"/>
      <c r="U315" s="240"/>
      <c r="V315" s="240"/>
      <c r="W315" s="240"/>
      <c r="X315" s="240"/>
      <c r="Y315" s="240"/>
      <c r="Z315" s="240"/>
      <c r="AA315" s="240"/>
      <c r="AB315" s="240"/>
      <c r="AC315" s="240"/>
    </row>
    <row r="316" spans="5:29" ht="15.75" customHeight="1" x14ac:dyDescent="0.2">
      <c r="E316" s="240"/>
      <c r="F316" s="240"/>
      <c r="G316" s="240"/>
      <c r="H316" s="240"/>
      <c r="I316" s="240"/>
      <c r="J316" s="240"/>
      <c r="K316" s="240"/>
      <c r="L316" s="240"/>
      <c r="M316" s="240"/>
      <c r="N316" s="240"/>
      <c r="O316" s="240"/>
      <c r="P316" s="240"/>
      <c r="Q316" s="240"/>
      <c r="R316" s="240"/>
      <c r="S316" s="240"/>
      <c r="T316" s="240"/>
      <c r="U316" s="240"/>
      <c r="V316" s="240"/>
      <c r="W316" s="240"/>
      <c r="X316" s="240"/>
      <c r="Y316" s="240"/>
      <c r="Z316" s="240"/>
      <c r="AA316" s="240"/>
      <c r="AB316" s="240"/>
      <c r="AC316" s="240"/>
    </row>
    <row r="317" spans="5:29" ht="15.75" customHeight="1" x14ac:dyDescent="0.2">
      <c r="E317" s="240"/>
      <c r="F317" s="240"/>
      <c r="G317" s="240"/>
      <c r="H317" s="240"/>
      <c r="I317" s="240"/>
      <c r="J317" s="240"/>
      <c r="K317" s="240"/>
      <c r="L317" s="240"/>
      <c r="M317" s="240"/>
      <c r="N317" s="240"/>
      <c r="O317" s="240"/>
      <c r="P317" s="240"/>
      <c r="Q317" s="240"/>
      <c r="R317" s="240"/>
      <c r="S317" s="240"/>
      <c r="T317" s="240"/>
      <c r="U317" s="240"/>
      <c r="V317" s="240"/>
      <c r="W317" s="240"/>
      <c r="X317" s="240"/>
      <c r="Y317" s="240"/>
      <c r="Z317" s="240"/>
      <c r="AA317" s="240"/>
      <c r="AB317" s="240"/>
      <c r="AC317" s="240"/>
    </row>
    <row r="318" spans="5:29" ht="15.75" customHeight="1" x14ac:dyDescent="0.2">
      <c r="E318" s="240"/>
      <c r="F318" s="240"/>
      <c r="G318" s="240"/>
      <c r="H318" s="240"/>
      <c r="I318" s="240"/>
      <c r="J318" s="240"/>
      <c r="K318" s="240"/>
      <c r="L318" s="240"/>
      <c r="M318" s="240"/>
      <c r="N318" s="240"/>
      <c r="O318" s="240"/>
      <c r="P318" s="240"/>
      <c r="Q318" s="240"/>
      <c r="R318" s="240"/>
      <c r="S318" s="240"/>
      <c r="T318" s="240"/>
      <c r="U318" s="240"/>
      <c r="V318" s="240"/>
      <c r="W318" s="240"/>
      <c r="X318" s="240"/>
      <c r="Y318" s="240"/>
      <c r="Z318" s="240"/>
      <c r="AA318" s="240"/>
      <c r="AB318" s="240"/>
      <c r="AC318" s="240"/>
    </row>
    <row r="319" spans="5:29" ht="15.75" customHeight="1" x14ac:dyDescent="0.2">
      <c r="E319" s="240"/>
      <c r="F319" s="240"/>
      <c r="G319" s="240"/>
      <c r="H319" s="240"/>
      <c r="I319" s="240"/>
      <c r="J319" s="240"/>
      <c r="K319" s="240"/>
      <c r="L319" s="240"/>
      <c r="M319" s="240"/>
      <c r="N319" s="240"/>
      <c r="O319" s="240"/>
      <c r="P319" s="240"/>
      <c r="Q319" s="240"/>
      <c r="R319" s="240"/>
      <c r="S319" s="240"/>
      <c r="T319" s="240"/>
      <c r="U319" s="240"/>
      <c r="V319" s="240"/>
      <c r="W319" s="240"/>
      <c r="X319" s="240"/>
      <c r="Y319" s="240"/>
      <c r="Z319" s="240"/>
      <c r="AA319" s="240"/>
      <c r="AB319" s="240"/>
      <c r="AC319" s="240"/>
    </row>
    <row r="320" spans="5:29" ht="15.75" customHeight="1" x14ac:dyDescent="0.2">
      <c r="E320" s="240"/>
      <c r="F320" s="240"/>
      <c r="G320" s="240"/>
      <c r="H320" s="240"/>
      <c r="I320" s="240"/>
      <c r="J320" s="240"/>
      <c r="K320" s="240"/>
      <c r="L320" s="240"/>
      <c r="M320" s="240"/>
      <c r="N320" s="240"/>
      <c r="O320" s="240"/>
      <c r="P320" s="240"/>
      <c r="Q320" s="240"/>
      <c r="R320" s="240"/>
      <c r="S320" s="240"/>
      <c r="T320" s="240"/>
      <c r="U320" s="240"/>
      <c r="V320" s="240"/>
      <c r="W320" s="240"/>
      <c r="X320" s="240"/>
      <c r="Y320" s="240"/>
      <c r="Z320" s="240"/>
      <c r="AA320" s="240"/>
      <c r="AB320" s="240"/>
      <c r="AC320" s="240"/>
    </row>
    <row r="321" spans="5:29" ht="15.75" customHeight="1" x14ac:dyDescent="0.2">
      <c r="E321" s="240"/>
      <c r="F321" s="240"/>
      <c r="G321" s="240"/>
      <c r="H321" s="240"/>
      <c r="I321" s="240"/>
      <c r="J321" s="240"/>
      <c r="K321" s="240"/>
      <c r="L321" s="240"/>
      <c r="M321" s="240"/>
      <c r="N321" s="240"/>
      <c r="O321" s="240"/>
      <c r="P321" s="240"/>
      <c r="Q321" s="240"/>
      <c r="R321" s="240"/>
      <c r="S321" s="240"/>
      <c r="T321" s="240"/>
      <c r="U321" s="240"/>
      <c r="V321" s="240"/>
      <c r="W321" s="240"/>
      <c r="X321" s="240"/>
      <c r="Y321" s="240"/>
      <c r="Z321" s="240"/>
      <c r="AA321" s="240"/>
      <c r="AB321" s="240"/>
      <c r="AC321" s="240"/>
    </row>
    <row r="322" spans="5:29" ht="15.75" customHeight="1" x14ac:dyDescent="0.2">
      <c r="E322" s="240"/>
      <c r="F322" s="240"/>
      <c r="G322" s="240"/>
      <c r="H322" s="240"/>
      <c r="I322" s="240"/>
      <c r="J322" s="240"/>
      <c r="K322" s="240"/>
      <c r="L322" s="240"/>
      <c r="M322" s="240"/>
      <c r="N322" s="240"/>
      <c r="O322" s="240"/>
      <c r="P322" s="240"/>
      <c r="Q322" s="240"/>
      <c r="R322" s="240"/>
      <c r="S322" s="240"/>
      <c r="T322" s="240"/>
      <c r="U322" s="240"/>
      <c r="V322" s="240"/>
      <c r="W322" s="240"/>
      <c r="X322" s="240"/>
      <c r="Y322" s="240"/>
      <c r="Z322" s="240"/>
      <c r="AA322" s="240"/>
      <c r="AB322" s="240"/>
      <c r="AC322" s="240"/>
    </row>
    <row r="323" spans="5:29" ht="15.75" customHeight="1" x14ac:dyDescent="0.2">
      <c r="E323" s="240"/>
      <c r="F323" s="240"/>
      <c r="G323" s="240"/>
      <c r="H323" s="240"/>
      <c r="I323" s="240"/>
      <c r="J323" s="240"/>
      <c r="K323" s="240"/>
      <c r="L323" s="240"/>
      <c r="M323" s="240"/>
      <c r="N323" s="240"/>
      <c r="O323" s="240"/>
      <c r="P323" s="240"/>
      <c r="Q323" s="240"/>
      <c r="R323" s="240"/>
      <c r="S323" s="240"/>
      <c r="T323" s="240"/>
      <c r="U323" s="240"/>
      <c r="V323" s="240"/>
      <c r="W323" s="240"/>
      <c r="X323" s="240"/>
      <c r="Y323" s="240"/>
      <c r="Z323" s="240"/>
      <c r="AA323" s="240"/>
      <c r="AB323" s="240"/>
      <c r="AC323" s="240"/>
    </row>
    <row r="324" spans="5:29" ht="15.75" customHeight="1" x14ac:dyDescent="0.2">
      <c r="E324" s="240"/>
      <c r="F324" s="240"/>
      <c r="G324" s="240"/>
      <c r="H324" s="240"/>
      <c r="I324" s="240"/>
      <c r="J324" s="240"/>
      <c r="K324" s="240"/>
      <c r="L324" s="240"/>
      <c r="M324" s="240"/>
      <c r="N324" s="240"/>
      <c r="O324" s="240"/>
      <c r="P324" s="240"/>
      <c r="Q324" s="240"/>
      <c r="R324" s="240"/>
      <c r="S324" s="240"/>
      <c r="T324" s="240"/>
      <c r="U324" s="240"/>
      <c r="V324" s="240"/>
      <c r="W324" s="240"/>
      <c r="X324" s="240"/>
      <c r="Y324" s="240"/>
      <c r="Z324" s="240"/>
      <c r="AA324" s="240"/>
      <c r="AB324" s="240"/>
      <c r="AC324" s="240"/>
    </row>
    <row r="325" spans="5:29" ht="15.75" customHeight="1" x14ac:dyDescent="0.2">
      <c r="E325" s="240"/>
      <c r="F325" s="240"/>
      <c r="G325" s="240"/>
      <c r="H325" s="240"/>
      <c r="I325" s="240"/>
      <c r="J325" s="240"/>
      <c r="K325" s="240"/>
      <c r="L325" s="240"/>
      <c r="M325" s="240"/>
      <c r="N325" s="240"/>
      <c r="O325" s="240"/>
      <c r="P325" s="240"/>
      <c r="Q325" s="240"/>
      <c r="R325" s="240"/>
      <c r="S325" s="240"/>
      <c r="T325" s="240"/>
      <c r="U325" s="240"/>
      <c r="V325" s="240"/>
      <c r="W325" s="240"/>
      <c r="X325" s="240"/>
      <c r="Y325" s="240"/>
      <c r="Z325" s="240"/>
      <c r="AA325" s="240"/>
      <c r="AB325" s="240"/>
      <c r="AC325" s="240"/>
    </row>
    <row r="326" spans="5:29" ht="15.75" customHeight="1" x14ac:dyDescent="0.2">
      <c r="E326" s="240"/>
      <c r="F326" s="240"/>
      <c r="G326" s="240"/>
      <c r="H326" s="240"/>
      <c r="I326" s="240"/>
      <c r="J326" s="240"/>
      <c r="K326" s="240"/>
      <c r="L326" s="240"/>
      <c r="M326" s="240"/>
      <c r="N326" s="240"/>
      <c r="O326" s="240"/>
      <c r="P326" s="240"/>
      <c r="Q326" s="240"/>
      <c r="R326" s="240"/>
      <c r="S326" s="240"/>
      <c r="T326" s="240"/>
      <c r="U326" s="240"/>
      <c r="V326" s="240"/>
      <c r="W326" s="240"/>
      <c r="X326" s="240"/>
      <c r="Y326" s="240"/>
      <c r="Z326" s="240"/>
      <c r="AA326" s="240"/>
      <c r="AB326" s="240"/>
      <c r="AC326" s="240"/>
    </row>
    <row r="327" spans="5:29" ht="15.75" customHeight="1" x14ac:dyDescent="0.2">
      <c r="E327" s="240"/>
      <c r="F327" s="240"/>
      <c r="G327" s="240"/>
      <c r="H327" s="240"/>
      <c r="I327" s="240"/>
      <c r="J327" s="240"/>
      <c r="K327" s="240"/>
      <c r="L327" s="240"/>
      <c r="M327" s="240"/>
      <c r="N327" s="240"/>
      <c r="O327" s="240"/>
      <c r="P327" s="240"/>
      <c r="Q327" s="240"/>
      <c r="R327" s="240"/>
      <c r="S327" s="240"/>
      <c r="T327" s="240"/>
      <c r="U327" s="240"/>
      <c r="V327" s="240"/>
      <c r="W327" s="240"/>
      <c r="X327" s="240"/>
      <c r="Y327" s="240"/>
      <c r="Z327" s="240"/>
      <c r="AA327" s="240"/>
      <c r="AB327" s="240"/>
      <c r="AC327" s="240"/>
    </row>
    <row r="328" spans="5:29" ht="15.75" customHeight="1" x14ac:dyDescent="0.2">
      <c r="E328" s="240"/>
      <c r="F328" s="240"/>
      <c r="G328" s="240"/>
      <c r="H328" s="240"/>
      <c r="I328" s="240"/>
      <c r="J328" s="240"/>
      <c r="K328" s="240"/>
      <c r="L328" s="240"/>
      <c r="M328" s="240"/>
      <c r="N328" s="240"/>
      <c r="O328" s="240"/>
      <c r="P328" s="240"/>
      <c r="Q328" s="240"/>
      <c r="R328" s="240"/>
      <c r="S328" s="240"/>
      <c r="T328" s="240"/>
      <c r="U328" s="240"/>
      <c r="V328" s="240"/>
      <c r="W328" s="240"/>
      <c r="X328" s="240"/>
      <c r="Y328" s="240"/>
      <c r="Z328" s="240"/>
      <c r="AA328" s="240"/>
      <c r="AB328" s="240"/>
      <c r="AC328" s="240"/>
    </row>
    <row r="329" spans="5:29" ht="15.75" customHeight="1" x14ac:dyDescent="0.2">
      <c r="E329" s="240"/>
      <c r="F329" s="240"/>
      <c r="G329" s="240"/>
      <c r="H329" s="240"/>
      <c r="I329" s="240"/>
      <c r="J329" s="240"/>
      <c r="K329" s="240"/>
      <c r="L329" s="240"/>
      <c r="M329" s="240"/>
      <c r="N329" s="240"/>
      <c r="O329" s="240"/>
      <c r="P329" s="240"/>
      <c r="Q329" s="240"/>
      <c r="R329" s="240"/>
      <c r="S329" s="240"/>
      <c r="T329" s="240"/>
      <c r="U329" s="240"/>
      <c r="V329" s="240"/>
      <c r="W329" s="240"/>
      <c r="X329" s="240"/>
      <c r="Y329" s="240"/>
      <c r="Z329" s="240"/>
      <c r="AA329" s="240"/>
      <c r="AB329" s="240"/>
      <c r="AC329" s="240"/>
    </row>
    <row r="330" spans="5:29" ht="15.75" customHeight="1" x14ac:dyDescent="0.2">
      <c r="E330" s="240"/>
      <c r="F330" s="240"/>
      <c r="G330" s="240"/>
      <c r="H330" s="240"/>
      <c r="I330" s="240"/>
      <c r="J330" s="240"/>
      <c r="K330" s="240"/>
      <c r="L330" s="240"/>
      <c r="M330" s="240"/>
      <c r="N330" s="240"/>
      <c r="O330" s="240"/>
      <c r="P330" s="240"/>
      <c r="Q330" s="240"/>
      <c r="R330" s="240"/>
      <c r="S330" s="240"/>
      <c r="T330" s="240"/>
      <c r="U330" s="240"/>
      <c r="V330" s="240"/>
      <c r="W330" s="240"/>
      <c r="X330" s="240"/>
      <c r="Y330" s="240"/>
      <c r="Z330" s="240"/>
      <c r="AA330" s="240"/>
      <c r="AB330" s="240"/>
      <c r="AC330" s="240"/>
    </row>
    <row r="331" spans="5:29" ht="15.75" customHeight="1" x14ac:dyDescent="0.2">
      <c r="E331" s="240"/>
      <c r="F331" s="240"/>
      <c r="G331" s="240"/>
      <c r="H331" s="240"/>
      <c r="I331" s="240"/>
      <c r="J331" s="240"/>
      <c r="K331" s="240"/>
      <c r="L331" s="240"/>
      <c r="M331" s="240"/>
      <c r="N331" s="240"/>
      <c r="O331" s="240"/>
      <c r="P331" s="240"/>
      <c r="Q331" s="240"/>
      <c r="R331" s="240"/>
      <c r="S331" s="240"/>
      <c r="T331" s="240"/>
      <c r="U331" s="240"/>
      <c r="V331" s="240"/>
      <c r="W331" s="240"/>
      <c r="X331" s="240"/>
      <c r="Y331" s="240"/>
      <c r="Z331" s="240"/>
      <c r="AA331" s="240"/>
      <c r="AB331" s="240"/>
      <c r="AC331" s="240"/>
    </row>
    <row r="332" spans="5:29" ht="15.75" customHeight="1" x14ac:dyDescent="0.2">
      <c r="E332" s="240"/>
      <c r="F332" s="240"/>
      <c r="G332" s="240"/>
      <c r="H332" s="240"/>
      <c r="I332" s="240"/>
      <c r="J332" s="240"/>
      <c r="K332" s="240"/>
      <c r="L332" s="240"/>
      <c r="M332" s="240"/>
      <c r="N332" s="240"/>
      <c r="O332" s="240"/>
      <c r="P332" s="240"/>
      <c r="Q332" s="240"/>
      <c r="R332" s="240"/>
      <c r="S332" s="240"/>
      <c r="T332" s="240"/>
      <c r="U332" s="240"/>
      <c r="V332" s="240"/>
      <c r="W332" s="240"/>
      <c r="X332" s="240"/>
      <c r="Y332" s="240"/>
      <c r="Z332" s="240"/>
      <c r="AA332" s="240"/>
      <c r="AB332" s="240"/>
      <c r="AC332" s="240"/>
    </row>
    <row r="333" spans="5:29" ht="15.75" customHeight="1" x14ac:dyDescent="0.2">
      <c r="E333" s="240"/>
      <c r="F333" s="240"/>
      <c r="G333" s="240"/>
      <c r="H333" s="240"/>
      <c r="I333" s="240"/>
      <c r="J333" s="240"/>
      <c r="K333" s="240"/>
      <c r="L333" s="240"/>
      <c r="M333" s="240"/>
      <c r="N333" s="240"/>
      <c r="O333" s="240"/>
      <c r="P333" s="240"/>
      <c r="Q333" s="240"/>
      <c r="R333" s="240"/>
      <c r="S333" s="240"/>
      <c r="T333" s="240"/>
      <c r="U333" s="240"/>
      <c r="V333" s="240"/>
      <c r="W333" s="240"/>
      <c r="X333" s="240"/>
      <c r="Y333" s="240"/>
      <c r="Z333" s="240"/>
      <c r="AA333" s="240"/>
      <c r="AB333" s="240"/>
      <c r="AC333" s="240"/>
    </row>
    <row r="334" spans="5:29" ht="15.75" customHeight="1" x14ac:dyDescent="0.2">
      <c r="E334" s="240"/>
      <c r="F334" s="240"/>
      <c r="G334" s="240"/>
      <c r="H334" s="240"/>
      <c r="I334" s="240"/>
      <c r="J334" s="240"/>
      <c r="K334" s="240"/>
      <c r="L334" s="240"/>
      <c r="M334" s="240"/>
      <c r="N334" s="240"/>
      <c r="O334" s="240"/>
      <c r="P334" s="240"/>
      <c r="Q334" s="240"/>
      <c r="R334" s="240"/>
      <c r="S334" s="240"/>
      <c r="T334" s="240"/>
      <c r="U334" s="240"/>
      <c r="V334" s="240"/>
      <c r="W334" s="240"/>
      <c r="X334" s="240"/>
      <c r="Y334" s="240"/>
      <c r="Z334" s="240"/>
      <c r="AA334" s="240"/>
      <c r="AB334" s="240"/>
      <c r="AC334" s="240"/>
    </row>
    <row r="335" spans="5:29" ht="15.75" customHeight="1" x14ac:dyDescent="0.2">
      <c r="E335" s="240"/>
      <c r="F335" s="240"/>
      <c r="G335" s="240"/>
      <c r="H335" s="240"/>
      <c r="I335" s="240"/>
      <c r="J335" s="240"/>
      <c r="K335" s="240"/>
      <c r="L335" s="240"/>
      <c r="M335" s="240"/>
      <c r="N335" s="240"/>
      <c r="O335" s="240"/>
      <c r="P335" s="240"/>
      <c r="Q335" s="240"/>
      <c r="R335" s="240"/>
      <c r="S335" s="240"/>
      <c r="T335" s="240"/>
      <c r="U335" s="240"/>
      <c r="V335" s="240"/>
      <c r="W335" s="240"/>
      <c r="X335" s="240"/>
      <c r="Y335" s="240"/>
      <c r="Z335" s="240"/>
      <c r="AA335" s="240"/>
      <c r="AB335" s="240"/>
      <c r="AC335" s="240"/>
    </row>
    <row r="336" spans="5:29" ht="15.75" customHeight="1" x14ac:dyDescent="0.2">
      <c r="E336" s="240"/>
      <c r="F336" s="240"/>
      <c r="G336" s="240"/>
      <c r="H336" s="240"/>
      <c r="I336" s="240"/>
      <c r="J336" s="240"/>
      <c r="K336" s="240"/>
      <c r="L336" s="240"/>
      <c r="M336" s="240"/>
      <c r="N336" s="240"/>
      <c r="O336" s="240"/>
      <c r="P336" s="240"/>
      <c r="Q336" s="240"/>
      <c r="R336" s="240"/>
      <c r="S336" s="240"/>
      <c r="T336" s="240"/>
      <c r="U336" s="240"/>
      <c r="V336" s="240"/>
      <c r="W336" s="240"/>
      <c r="X336" s="240"/>
      <c r="Y336" s="240"/>
      <c r="Z336" s="240"/>
      <c r="AA336" s="240"/>
      <c r="AB336" s="240"/>
      <c r="AC336" s="240"/>
    </row>
    <row r="337" spans="5:29" ht="15.75" customHeight="1" x14ac:dyDescent="0.2">
      <c r="E337" s="240"/>
      <c r="F337" s="240"/>
      <c r="G337" s="240"/>
      <c r="H337" s="240"/>
      <c r="I337" s="240"/>
      <c r="J337" s="240"/>
      <c r="K337" s="240"/>
      <c r="L337" s="240"/>
      <c r="M337" s="240"/>
      <c r="N337" s="240"/>
      <c r="O337" s="240"/>
      <c r="P337" s="240"/>
      <c r="Q337" s="240"/>
      <c r="R337" s="240"/>
      <c r="S337" s="240"/>
      <c r="T337" s="240"/>
      <c r="U337" s="240"/>
      <c r="V337" s="240"/>
      <c r="W337" s="240"/>
      <c r="X337" s="240"/>
      <c r="Y337" s="240"/>
      <c r="Z337" s="240"/>
      <c r="AA337" s="240"/>
      <c r="AB337" s="240"/>
      <c r="AC337" s="240"/>
    </row>
    <row r="338" spans="5:29" ht="15.75" customHeight="1" x14ac:dyDescent="0.2">
      <c r="E338" s="240"/>
      <c r="F338" s="240"/>
      <c r="G338" s="240"/>
      <c r="H338" s="240"/>
      <c r="I338" s="240"/>
      <c r="J338" s="240"/>
      <c r="K338" s="240"/>
      <c r="L338" s="240"/>
      <c r="M338" s="240"/>
      <c r="N338" s="240"/>
      <c r="O338" s="240"/>
      <c r="P338" s="240"/>
      <c r="Q338" s="240"/>
      <c r="R338" s="240"/>
      <c r="S338" s="240"/>
      <c r="T338" s="240"/>
      <c r="U338" s="240"/>
      <c r="V338" s="240"/>
      <c r="W338" s="240"/>
      <c r="X338" s="240"/>
      <c r="Y338" s="240"/>
      <c r="Z338" s="240"/>
      <c r="AA338" s="240"/>
      <c r="AB338" s="240"/>
      <c r="AC338" s="240"/>
    </row>
    <row r="339" spans="5:29" ht="15.75" customHeight="1" x14ac:dyDescent="0.2">
      <c r="E339" s="240"/>
      <c r="F339" s="240"/>
      <c r="G339" s="240"/>
      <c r="H339" s="240"/>
      <c r="I339" s="240"/>
      <c r="J339" s="240"/>
      <c r="K339" s="240"/>
      <c r="L339" s="240"/>
      <c r="M339" s="240"/>
      <c r="N339" s="240"/>
      <c r="O339" s="240"/>
      <c r="P339" s="240"/>
      <c r="Q339" s="240"/>
      <c r="R339" s="240"/>
      <c r="S339" s="240"/>
      <c r="T339" s="240"/>
      <c r="U339" s="240"/>
      <c r="V339" s="240"/>
      <c r="W339" s="240"/>
      <c r="X339" s="240"/>
      <c r="Y339" s="240"/>
      <c r="Z339" s="240"/>
      <c r="AA339" s="240"/>
      <c r="AB339" s="240"/>
      <c r="AC339" s="240"/>
    </row>
    <row r="340" spans="5:29" ht="15.75" customHeight="1" x14ac:dyDescent="0.2">
      <c r="E340" s="240"/>
      <c r="F340" s="240"/>
      <c r="G340" s="240"/>
      <c r="H340" s="240"/>
      <c r="I340" s="240"/>
      <c r="J340" s="240"/>
      <c r="K340" s="240"/>
      <c r="L340" s="240"/>
      <c r="M340" s="240"/>
      <c r="N340" s="240"/>
      <c r="O340" s="240"/>
      <c r="P340" s="240"/>
      <c r="Q340" s="240"/>
      <c r="R340" s="240"/>
      <c r="S340" s="240"/>
      <c r="T340" s="240"/>
      <c r="U340" s="240"/>
      <c r="V340" s="240"/>
      <c r="W340" s="240"/>
      <c r="X340" s="240"/>
      <c r="Y340" s="240"/>
      <c r="Z340" s="240"/>
      <c r="AA340" s="240"/>
      <c r="AB340" s="240"/>
      <c r="AC340" s="240"/>
    </row>
    <row r="341" spans="5:29" ht="15.75" customHeight="1" x14ac:dyDescent="0.2">
      <c r="E341" s="240"/>
      <c r="F341" s="240"/>
      <c r="G341" s="240"/>
      <c r="H341" s="240"/>
      <c r="I341" s="240"/>
      <c r="J341" s="240"/>
      <c r="K341" s="240"/>
      <c r="L341" s="240"/>
      <c r="M341" s="240"/>
      <c r="N341" s="240"/>
      <c r="O341" s="240"/>
      <c r="P341" s="240"/>
      <c r="Q341" s="240"/>
      <c r="R341" s="240"/>
      <c r="S341" s="240"/>
      <c r="T341" s="240"/>
      <c r="U341" s="240"/>
      <c r="V341" s="240"/>
      <c r="W341" s="240"/>
      <c r="X341" s="240"/>
      <c r="Y341" s="240"/>
      <c r="Z341" s="240"/>
      <c r="AA341" s="240"/>
      <c r="AB341" s="240"/>
      <c r="AC341" s="240"/>
    </row>
    <row r="342" spans="5:29" ht="15.75" customHeight="1" x14ac:dyDescent="0.2">
      <c r="E342" s="240"/>
      <c r="F342" s="240"/>
      <c r="G342" s="240"/>
      <c r="H342" s="240"/>
      <c r="I342" s="240"/>
      <c r="J342" s="240"/>
      <c r="K342" s="240"/>
      <c r="L342" s="240"/>
      <c r="M342" s="240"/>
      <c r="N342" s="240"/>
      <c r="O342" s="240"/>
      <c r="P342" s="240"/>
      <c r="Q342" s="240"/>
      <c r="R342" s="240"/>
      <c r="S342" s="240"/>
      <c r="T342" s="240"/>
      <c r="U342" s="240"/>
      <c r="V342" s="240"/>
      <c r="W342" s="240"/>
      <c r="X342" s="240"/>
      <c r="Y342" s="240"/>
      <c r="Z342" s="240"/>
      <c r="AA342" s="240"/>
      <c r="AB342" s="240"/>
      <c r="AC342" s="240"/>
    </row>
    <row r="343" spans="5:29" ht="15.75" customHeight="1" x14ac:dyDescent="0.2">
      <c r="E343" s="240"/>
      <c r="F343" s="240"/>
      <c r="G343" s="240"/>
      <c r="H343" s="240"/>
      <c r="I343" s="240"/>
      <c r="J343" s="240"/>
      <c r="K343" s="240"/>
      <c r="L343" s="240"/>
      <c r="M343" s="240"/>
      <c r="N343" s="240"/>
      <c r="O343" s="240"/>
      <c r="P343" s="240"/>
      <c r="Q343" s="240"/>
      <c r="R343" s="240"/>
      <c r="S343" s="240"/>
      <c r="T343" s="240"/>
      <c r="U343" s="240"/>
      <c r="V343" s="240"/>
      <c r="W343" s="240"/>
      <c r="X343" s="240"/>
      <c r="Y343" s="240"/>
      <c r="Z343" s="240"/>
      <c r="AA343" s="240"/>
      <c r="AB343" s="240"/>
      <c r="AC343" s="240"/>
    </row>
    <row r="344" spans="5:29" ht="15.75" customHeight="1" x14ac:dyDescent="0.2">
      <c r="E344" s="240"/>
      <c r="F344" s="240"/>
      <c r="G344" s="240"/>
      <c r="H344" s="240"/>
      <c r="I344" s="240"/>
      <c r="J344" s="240"/>
      <c r="K344" s="240"/>
      <c r="L344" s="240"/>
      <c r="M344" s="240"/>
      <c r="N344" s="240"/>
      <c r="O344" s="240"/>
      <c r="P344" s="240"/>
      <c r="Q344" s="240"/>
      <c r="R344" s="240"/>
      <c r="S344" s="240"/>
      <c r="T344" s="240"/>
      <c r="U344" s="240"/>
      <c r="V344" s="240"/>
      <c r="W344" s="240"/>
      <c r="X344" s="240"/>
      <c r="Y344" s="240"/>
      <c r="Z344" s="240"/>
      <c r="AA344" s="240"/>
      <c r="AB344" s="240"/>
      <c r="AC344" s="240"/>
    </row>
    <row r="345" spans="5:29" ht="15.75" customHeight="1" x14ac:dyDescent="0.2">
      <c r="E345" s="240"/>
      <c r="F345" s="240"/>
      <c r="G345" s="240"/>
      <c r="H345" s="240"/>
      <c r="I345" s="240"/>
      <c r="J345" s="240"/>
      <c r="K345" s="240"/>
      <c r="L345" s="240"/>
      <c r="M345" s="240"/>
      <c r="N345" s="240"/>
      <c r="O345" s="240"/>
      <c r="P345" s="240"/>
      <c r="Q345" s="240"/>
      <c r="R345" s="240"/>
      <c r="S345" s="240"/>
      <c r="T345" s="240"/>
      <c r="U345" s="240"/>
      <c r="V345" s="240"/>
      <c r="W345" s="240"/>
      <c r="X345" s="240"/>
      <c r="Y345" s="240"/>
      <c r="Z345" s="240"/>
      <c r="AA345" s="240"/>
      <c r="AB345" s="240"/>
      <c r="AC345" s="240"/>
    </row>
    <row r="346" spans="5:29" ht="15.75" customHeight="1" x14ac:dyDescent="0.2">
      <c r="E346" s="240"/>
      <c r="F346" s="240"/>
      <c r="G346" s="240"/>
      <c r="H346" s="240"/>
      <c r="I346" s="240"/>
      <c r="J346" s="240"/>
      <c r="K346" s="240"/>
      <c r="L346" s="240"/>
      <c r="M346" s="240"/>
      <c r="N346" s="240"/>
      <c r="O346" s="240"/>
      <c r="P346" s="240"/>
      <c r="Q346" s="240"/>
      <c r="R346" s="240"/>
      <c r="S346" s="240"/>
      <c r="T346" s="240"/>
      <c r="U346" s="240"/>
      <c r="V346" s="240"/>
      <c r="W346" s="240"/>
      <c r="X346" s="240"/>
      <c r="Y346" s="240"/>
      <c r="Z346" s="240"/>
      <c r="AA346" s="240"/>
      <c r="AB346" s="240"/>
      <c r="AC346" s="240"/>
    </row>
    <row r="347" spans="5:29" ht="15.75" customHeight="1" x14ac:dyDescent="0.2">
      <c r="E347" s="240"/>
      <c r="F347" s="240"/>
      <c r="G347" s="240"/>
      <c r="H347" s="240"/>
      <c r="I347" s="240"/>
      <c r="J347" s="240"/>
      <c r="K347" s="240"/>
      <c r="L347" s="240"/>
      <c r="M347" s="240"/>
      <c r="N347" s="240"/>
      <c r="O347" s="240"/>
      <c r="P347" s="240"/>
      <c r="Q347" s="240"/>
      <c r="R347" s="240"/>
      <c r="S347" s="240"/>
      <c r="T347" s="240"/>
      <c r="U347" s="240"/>
      <c r="V347" s="240"/>
      <c r="W347" s="240"/>
      <c r="X347" s="240"/>
      <c r="Y347" s="240"/>
      <c r="Z347" s="240"/>
      <c r="AA347" s="240"/>
      <c r="AB347" s="240"/>
      <c r="AC347" s="240"/>
    </row>
    <row r="348" spans="5:29" ht="15.75" customHeight="1" x14ac:dyDescent="0.2">
      <c r="E348" s="240"/>
      <c r="F348" s="240"/>
      <c r="G348" s="240"/>
      <c r="H348" s="240"/>
      <c r="I348" s="240"/>
      <c r="J348" s="240"/>
      <c r="K348" s="240"/>
      <c r="L348" s="240"/>
      <c r="M348" s="240"/>
      <c r="N348" s="240"/>
      <c r="O348" s="240"/>
      <c r="P348" s="240"/>
      <c r="Q348" s="240"/>
      <c r="R348" s="240"/>
      <c r="S348" s="240"/>
      <c r="T348" s="240"/>
      <c r="U348" s="240"/>
      <c r="V348" s="240"/>
      <c r="W348" s="240"/>
      <c r="X348" s="240"/>
      <c r="Y348" s="240"/>
      <c r="Z348" s="240"/>
      <c r="AA348" s="240"/>
      <c r="AB348" s="240"/>
      <c r="AC348" s="240"/>
    </row>
    <row r="349" spans="5:29" ht="15.75" customHeight="1" x14ac:dyDescent="0.2">
      <c r="E349" s="240"/>
      <c r="F349" s="240"/>
      <c r="G349" s="240"/>
      <c r="H349" s="240"/>
      <c r="I349" s="240"/>
      <c r="J349" s="240"/>
      <c r="K349" s="240"/>
      <c r="L349" s="240"/>
      <c r="M349" s="240"/>
      <c r="N349" s="240"/>
      <c r="O349" s="240"/>
      <c r="P349" s="240"/>
      <c r="Q349" s="240"/>
      <c r="R349" s="240"/>
      <c r="S349" s="240"/>
      <c r="T349" s="240"/>
      <c r="U349" s="240"/>
      <c r="V349" s="240"/>
      <c r="W349" s="240"/>
      <c r="X349" s="240"/>
      <c r="Y349" s="240"/>
      <c r="Z349" s="240"/>
      <c r="AA349" s="240"/>
      <c r="AB349" s="240"/>
      <c r="AC349" s="240"/>
    </row>
    <row r="350" spans="5:29" ht="15.75" customHeight="1" x14ac:dyDescent="0.2">
      <c r="E350" s="240"/>
      <c r="F350" s="240"/>
      <c r="G350" s="240"/>
      <c r="H350" s="240"/>
      <c r="I350" s="240"/>
      <c r="J350" s="240"/>
      <c r="K350" s="240"/>
      <c r="L350" s="240"/>
      <c r="M350" s="240"/>
      <c r="N350" s="240"/>
      <c r="O350" s="240"/>
      <c r="P350" s="240"/>
      <c r="Q350" s="240"/>
      <c r="R350" s="240"/>
      <c r="S350" s="240"/>
      <c r="T350" s="240"/>
      <c r="U350" s="240"/>
      <c r="V350" s="240"/>
      <c r="W350" s="240"/>
      <c r="X350" s="240"/>
      <c r="Y350" s="240"/>
      <c r="Z350" s="240"/>
      <c r="AA350" s="240"/>
      <c r="AB350" s="240"/>
      <c r="AC350" s="240"/>
    </row>
    <row r="351" spans="5:29" ht="15.75" customHeight="1" x14ac:dyDescent="0.2">
      <c r="E351" s="240"/>
      <c r="F351" s="240"/>
      <c r="G351" s="240"/>
      <c r="H351" s="240"/>
      <c r="I351" s="240"/>
      <c r="J351" s="240"/>
      <c r="K351" s="240"/>
      <c r="L351" s="240"/>
      <c r="M351" s="240"/>
      <c r="N351" s="240"/>
      <c r="O351" s="240"/>
      <c r="P351" s="240"/>
      <c r="Q351" s="240"/>
      <c r="R351" s="240"/>
      <c r="S351" s="240"/>
      <c r="T351" s="240"/>
      <c r="U351" s="240"/>
      <c r="V351" s="240"/>
      <c r="W351" s="240"/>
      <c r="X351" s="240"/>
      <c r="Y351" s="240"/>
      <c r="Z351" s="240"/>
      <c r="AA351" s="240"/>
      <c r="AB351" s="240"/>
      <c r="AC351" s="240"/>
    </row>
    <row r="352" spans="5:29" ht="15.75" customHeight="1" x14ac:dyDescent="0.2">
      <c r="E352" s="240"/>
      <c r="F352" s="240"/>
      <c r="G352" s="240"/>
      <c r="H352" s="240"/>
      <c r="I352" s="240"/>
      <c r="J352" s="240"/>
      <c r="K352" s="240"/>
      <c r="L352" s="240"/>
      <c r="M352" s="240"/>
      <c r="N352" s="240"/>
      <c r="O352" s="240"/>
      <c r="P352" s="240"/>
      <c r="Q352" s="240"/>
      <c r="R352" s="240"/>
      <c r="S352" s="240"/>
      <c r="T352" s="240"/>
      <c r="U352" s="240"/>
      <c r="V352" s="240"/>
      <c r="W352" s="240"/>
      <c r="X352" s="240"/>
      <c r="Y352" s="240"/>
      <c r="Z352" s="240"/>
      <c r="AA352" s="240"/>
      <c r="AB352" s="240"/>
      <c r="AC352" s="240"/>
    </row>
    <row r="353" spans="5:29" ht="15.75" customHeight="1" x14ac:dyDescent="0.2">
      <c r="E353" s="240"/>
      <c r="F353" s="240"/>
      <c r="G353" s="240"/>
      <c r="H353" s="240"/>
      <c r="I353" s="240"/>
      <c r="J353" s="240"/>
      <c r="K353" s="240"/>
      <c r="L353" s="240"/>
      <c r="M353" s="240"/>
      <c r="N353" s="240"/>
      <c r="O353" s="240"/>
      <c r="P353" s="240"/>
      <c r="Q353" s="240"/>
      <c r="R353" s="240"/>
      <c r="S353" s="240"/>
      <c r="T353" s="240"/>
      <c r="U353" s="240"/>
      <c r="V353" s="240"/>
      <c r="W353" s="240"/>
      <c r="X353" s="240"/>
      <c r="Y353" s="240"/>
      <c r="Z353" s="240"/>
      <c r="AA353" s="240"/>
      <c r="AB353" s="240"/>
      <c r="AC353" s="240"/>
    </row>
    <row r="354" spans="5:29" ht="15.75" customHeight="1" x14ac:dyDescent="0.2">
      <c r="E354" s="240"/>
      <c r="F354" s="240"/>
      <c r="G354" s="240"/>
      <c r="H354" s="240"/>
      <c r="I354" s="240"/>
      <c r="J354" s="240"/>
      <c r="K354" s="240"/>
      <c r="L354" s="240"/>
      <c r="M354" s="240"/>
      <c r="N354" s="240"/>
      <c r="O354" s="240"/>
      <c r="P354" s="240"/>
      <c r="Q354" s="240"/>
      <c r="R354" s="240"/>
      <c r="S354" s="240"/>
      <c r="T354" s="240"/>
      <c r="U354" s="240"/>
      <c r="V354" s="240"/>
      <c r="W354" s="240"/>
      <c r="X354" s="240"/>
      <c r="Y354" s="240"/>
      <c r="Z354" s="240"/>
      <c r="AA354" s="240"/>
      <c r="AB354" s="240"/>
      <c r="AC354" s="240"/>
    </row>
    <row r="355" spans="5:29" ht="15.75" customHeight="1" x14ac:dyDescent="0.2">
      <c r="E355" s="240"/>
      <c r="F355" s="240"/>
      <c r="G355" s="240"/>
      <c r="H355" s="240"/>
      <c r="I355" s="240"/>
      <c r="J355" s="240"/>
      <c r="K355" s="240"/>
      <c r="L355" s="240"/>
      <c r="M355" s="240"/>
      <c r="N355" s="240"/>
      <c r="O355" s="240"/>
      <c r="P355" s="240"/>
      <c r="Q355" s="240"/>
      <c r="R355" s="240"/>
      <c r="S355" s="240"/>
      <c r="T355" s="240"/>
      <c r="U355" s="240"/>
      <c r="V355" s="240"/>
      <c r="W355" s="240"/>
      <c r="X355" s="240"/>
      <c r="Y355" s="240"/>
      <c r="Z355" s="240"/>
      <c r="AA355" s="240"/>
      <c r="AB355" s="240"/>
      <c r="AC355" s="240"/>
    </row>
    <row r="356" spans="5:29" ht="15.75" customHeight="1" x14ac:dyDescent="0.2">
      <c r="E356" s="240"/>
      <c r="F356" s="240"/>
      <c r="G356" s="240"/>
      <c r="H356" s="240"/>
      <c r="I356" s="240"/>
      <c r="J356" s="240"/>
      <c r="K356" s="240"/>
      <c r="L356" s="240"/>
      <c r="M356" s="240"/>
      <c r="N356" s="240"/>
      <c r="O356" s="240"/>
      <c r="P356" s="240"/>
      <c r="Q356" s="240"/>
      <c r="R356" s="240"/>
      <c r="S356" s="240"/>
      <c r="T356" s="240"/>
      <c r="U356" s="240"/>
      <c r="V356" s="240"/>
      <c r="W356" s="240"/>
      <c r="X356" s="240"/>
      <c r="Y356" s="240"/>
      <c r="Z356" s="240"/>
      <c r="AA356" s="240"/>
      <c r="AB356" s="240"/>
      <c r="AC356" s="240"/>
    </row>
    <row r="357" spans="5:29" ht="15.75" customHeight="1" x14ac:dyDescent="0.2">
      <c r="E357" s="240"/>
      <c r="F357" s="240"/>
      <c r="G357" s="240"/>
      <c r="H357" s="240"/>
      <c r="I357" s="240"/>
      <c r="J357" s="240"/>
      <c r="K357" s="240"/>
      <c r="L357" s="240"/>
      <c r="M357" s="240"/>
      <c r="N357" s="240"/>
      <c r="O357" s="240"/>
      <c r="P357" s="240"/>
      <c r="Q357" s="240"/>
      <c r="R357" s="240"/>
      <c r="S357" s="240"/>
      <c r="T357" s="240"/>
      <c r="U357" s="240"/>
      <c r="V357" s="240"/>
      <c r="W357" s="240"/>
      <c r="X357" s="240"/>
      <c r="Y357" s="240"/>
      <c r="Z357" s="240"/>
      <c r="AA357" s="240"/>
      <c r="AB357" s="240"/>
      <c r="AC357" s="240"/>
    </row>
    <row r="358" spans="5:29" ht="15.75" customHeight="1" x14ac:dyDescent="0.2">
      <c r="E358" s="240"/>
      <c r="F358" s="240"/>
      <c r="G358" s="240"/>
      <c r="H358" s="240"/>
      <c r="I358" s="240"/>
      <c r="J358" s="240"/>
      <c r="K358" s="240"/>
      <c r="L358" s="240"/>
      <c r="M358" s="240"/>
      <c r="N358" s="240"/>
      <c r="O358" s="240"/>
      <c r="P358" s="240"/>
      <c r="Q358" s="240"/>
      <c r="R358" s="240"/>
      <c r="S358" s="240"/>
      <c r="T358" s="240"/>
      <c r="U358" s="240"/>
      <c r="V358" s="240"/>
      <c r="W358" s="240"/>
      <c r="X358" s="240"/>
      <c r="Y358" s="240"/>
      <c r="Z358" s="240"/>
      <c r="AA358" s="240"/>
      <c r="AB358" s="240"/>
      <c r="AC358" s="240"/>
    </row>
    <row r="359" spans="5:29" ht="15.75" customHeight="1" x14ac:dyDescent="0.2">
      <c r="E359" s="240"/>
      <c r="F359" s="240"/>
      <c r="G359" s="240"/>
      <c r="H359" s="240"/>
      <c r="I359" s="240"/>
      <c r="J359" s="240"/>
      <c r="K359" s="240"/>
      <c r="L359" s="240"/>
      <c r="M359" s="240"/>
      <c r="N359" s="240"/>
      <c r="O359" s="240"/>
      <c r="P359" s="240"/>
      <c r="Q359" s="240"/>
      <c r="R359" s="240"/>
      <c r="S359" s="240"/>
      <c r="T359" s="240"/>
      <c r="U359" s="240"/>
      <c r="V359" s="240"/>
      <c r="W359" s="240"/>
      <c r="X359" s="240"/>
      <c r="Y359" s="240"/>
      <c r="Z359" s="240"/>
      <c r="AA359" s="240"/>
      <c r="AB359" s="240"/>
      <c r="AC359" s="240"/>
    </row>
    <row r="360" spans="5:29" ht="15.75" customHeight="1" x14ac:dyDescent="0.2">
      <c r="E360" s="240"/>
      <c r="F360" s="240"/>
      <c r="G360" s="240"/>
      <c r="H360" s="240"/>
      <c r="I360" s="240"/>
      <c r="J360" s="240"/>
      <c r="K360" s="240"/>
      <c r="L360" s="240"/>
      <c r="M360" s="240"/>
      <c r="N360" s="240"/>
      <c r="O360" s="240"/>
      <c r="P360" s="240"/>
      <c r="Q360" s="240"/>
      <c r="R360" s="240"/>
      <c r="S360" s="240"/>
      <c r="T360" s="240"/>
      <c r="U360" s="240"/>
      <c r="V360" s="240"/>
      <c r="W360" s="240"/>
      <c r="X360" s="240"/>
      <c r="Y360" s="240"/>
      <c r="Z360" s="240"/>
      <c r="AA360" s="240"/>
      <c r="AB360" s="240"/>
      <c r="AC360" s="240"/>
    </row>
    <row r="361" spans="5:29" ht="15.75" customHeight="1" x14ac:dyDescent="0.2">
      <c r="E361" s="240"/>
      <c r="F361" s="240"/>
      <c r="G361" s="240"/>
      <c r="H361" s="240"/>
      <c r="I361" s="240"/>
      <c r="J361" s="240"/>
      <c r="K361" s="240"/>
      <c r="L361" s="240"/>
      <c r="M361" s="240"/>
      <c r="N361" s="240"/>
      <c r="O361" s="240"/>
      <c r="P361" s="240"/>
      <c r="Q361" s="240"/>
      <c r="R361" s="240"/>
      <c r="S361" s="240"/>
      <c r="T361" s="240"/>
      <c r="U361" s="240"/>
      <c r="V361" s="240"/>
      <c r="W361" s="240"/>
      <c r="X361" s="240"/>
      <c r="Y361" s="240"/>
      <c r="Z361" s="240"/>
      <c r="AA361" s="240"/>
      <c r="AB361" s="240"/>
      <c r="AC361" s="240"/>
    </row>
    <row r="362" spans="5:29" ht="15.75" customHeight="1" x14ac:dyDescent="0.2">
      <c r="E362" s="240"/>
      <c r="F362" s="240"/>
      <c r="G362" s="240"/>
      <c r="H362" s="240"/>
      <c r="I362" s="240"/>
      <c r="J362" s="240"/>
      <c r="K362" s="240"/>
      <c r="L362" s="240"/>
      <c r="M362" s="240"/>
      <c r="N362" s="240"/>
      <c r="O362" s="240"/>
      <c r="P362" s="240"/>
      <c r="Q362" s="240"/>
      <c r="R362" s="240"/>
      <c r="S362" s="240"/>
      <c r="T362" s="240"/>
      <c r="U362" s="240"/>
      <c r="V362" s="240"/>
      <c r="W362" s="240"/>
      <c r="X362" s="240"/>
      <c r="Y362" s="240"/>
      <c r="Z362" s="240"/>
      <c r="AA362" s="240"/>
      <c r="AB362" s="240"/>
      <c r="AC362" s="240"/>
    </row>
    <row r="363" spans="5:29" ht="15.75" customHeight="1" x14ac:dyDescent="0.2">
      <c r="E363" s="240"/>
      <c r="F363" s="240"/>
      <c r="G363" s="240"/>
      <c r="H363" s="240"/>
      <c r="I363" s="240"/>
      <c r="J363" s="240"/>
      <c r="K363" s="240"/>
      <c r="L363" s="240"/>
      <c r="M363" s="240"/>
      <c r="N363" s="240"/>
      <c r="O363" s="240"/>
      <c r="P363" s="240"/>
      <c r="Q363" s="240"/>
      <c r="R363" s="240"/>
      <c r="S363" s="240"/>
      <c r="T363" s="240"/>
      <c r="U363" s="240"/>
      <c r="V363" s="240"/>
      <c r="W363" s="240"/>
      <c r="X363" s="240"/>
      <c r="Y363" s="240"/>
      <c r="Z363" s="240"/>
      <c r="AA363" s="240"/>
      <c r="AB363" s="240"/>
      <c r="AC363" s="240"/>
    </row>
    <row r="364" spans="5:29" ht="15.75" customHeight="1" x14ac:dyDescent="0.2">
      <c r="E364" s="240"/>
      <c r="F364" s="240"/>
      <c r="G364" s="240"/>
      <c r="H364" s="240"/>
      <c r="I364" s="240"/>
      <c r="J364" s="240"/>
      <c r="K364" s="240"/>
      <c r="L364" s="240"/>
      <c r="M364" s="240"/>
      <c r="N364" s="240"/>
      <c r="O364" s="240"/>
      <c r="P364" s="240"/>
      <c r="Q364" s="240"/>
      <c r="R364" s="240"/>
      <c r="S364" s="240"/>
      <c r="T364" s="240"/>
      <c r="U364" s="240"/>
      <c r="V364" s="240"/>
      <c r="W364" s="240"/>
      <c r="X364" s="240"/>
      <c r="Y364" s="240"/>
      <c r="Z364" s="240"/>
      <c r="AA364" s="240"/>
      <c r="AB364" s="240"/>
      <c r="AC364" s="240"/>
    </row>
    <row r="365" spans="5:29" ht="15.75" customHeight="1" x14ac:dyDescent="0.2">
      <c r="E365" s="240"/>
      <c r="F365" s="240"/>
      <c r="G365" s="240"/>
      <c r="H365" s="240"/>
      <c r="I365" s="240"/>
      <c r="J365" s="240"/>
      <c r="K365" s="240"/>
      <c r="L365" s="240"/>
      <c r="M365" s="240"/>
      <c r="N365" s="240"/>
      <c r="O365" s="240"/>
      <c r="P365" s="240"/>
      <c r="Q365" s="240"/>
      <c r="R365" s="240"/>
      <c r="S365" s="240"/>
      <c r="T365" s="240"/>
      <c r="U365" s="240"/>
      <c r="V365" s="240"/>
      <c r="W365" s="240"/>
      <c r="X365" s="240"/>
      <c r="Y365" s="240"/>
      <c r="Z365" s="240"/>
      <c r="AA365" s="240"/>
      <c r="AB365" s="240"/>
      <c r="AC365" s="240"/>
    </row>
    <row r="366" spans="5:29" ht="15.75" customHeight="1" x14ac:dyDescent="0.2">
      <c r="E366" s="240"/>
      <c r="F366" s="240"/>
      <c r="G366" s="240"/>
      <c r="H366" s="240"/>
      <c r="I366" s="240"/>
      <c r="J366" s="240"/>
      <c r="K366" s="240"/>
      <c r="L366" s="240"/>
      <c r="M366" s="240"/>
      <c r="N366" s="240"/>
      <c r="O366" s="240"/>
      <c r="P366" s="240"/>
      <c r="Q366" s="240"/>
      <c r="R366" s="240"/>
      <c r="S366" s="240"/>
      <c r="T366" s="240"/>
      <c r="U366" s="240"/>
      <c r="V366" s="240"/>
      <c r="W366" s="240"/>
      <c r="X366" s="240"/>
      <c r="Y366" s="240"/>
      <c r="Z366" s="240"/>
      <c r="AA366" s="240"/>
      <c r="AB366" s="240"/>
      <c r="AC366" s="240"/>
    </row>
    <row r="367" spans="5:29" ht="15.75" customHeight="1" x14ac:dyDescent="0.2">
      <c r="E367" s="240"/>
      <c r="F367" s="240"/>
      <c r="G367" s="240"/>
      <c r="H367" s="240"/>
      <c r="I367" s="240"/>
      <c r="J367" s="240"/>
      <c r="K367" s="240"/>
      <c r="L367" s="240"/>
      <c r="M367" s="240"/>
      <c r="N367" s="240"/>
      <c r="O367" s="240"/>
      <c r="P367" s="240"/>
      <c r="Q367" s="240"/>
      <c r="R367" s="240"/>
      <c r="S367" s="240"/>
      <c r="T367" s="240"/>
      <c r="U367" s="240"/>
      <c r="V367" s="240"/>
      <c r="W367" s="240"/>
      <c r="X367" s="240"/>
      <c r="Y367" s="240"/>
      <c r="Z367" s="240"/>
      <c r="AA367" s="240"/>
      <c r="AB367" s="240"/>
      <c r="AC367" s="240"/>
    </row>
    <row r="368" spans="5:29" ht="15.75" customHeight="1" x14ac:dyDescent="0.2">
      <c r="E368" s="240"/>
      <c r="F368" s="240"/>
      <c r="G368" s="240"/>
      <c r="H368" s="240"/>
      <c r="I368" s="240"/>
      <c r="J368" s="240"/>
      <c r="K368" s="240"/>
      <c r="L368" s="240"/>
      <c r="M368" s="240"/>
      <c r="N368" s="240"/>
      <c r="O368" s="240"/>
      <c r="P368" s="240"/>
      <c r="Q368" s="240"/>
      <c r="R368" s="240"/>
      <c r="S368" s="240"/>
      <c r="T368" s="240"/>
      <c r="U368" s="240"/>
      <c r="V368" s="240"/>
      <c r="W368" s="240"/>
      <c r="X368" s="240"/>
      <c r="Y368" s="240"/>
      <c r="Z368" s="240"/>
      <c r="AA368" s="240"/>
      <c r="AB368" s="240"/>
      <c r="AC368" s="240"/>
    </row>
    <row r="369" spans="5:29" ht="15.75" customHeight="1" x14ac:dyDescent="0.2">
      <c r="E369" s="240"/>
      <c r="F369" s="240"/>
      <c r="G369" s="240"/>
      <c r="H369" s="240"/>
      <c r="I369" s="240"/>
      <c r="J369" s="240"/>
      <c r="K369" s="240"/>
      <c r="L369" s="240"/>
      <c r="M369" s="240"/>
      <c r="N369" s="240"/>
      <c r="O369" s="240"/>
      <c r="P369" s="240"/>
      <c r="Q369" s="240"/>
      <c r="R369" s="240"/>
      <c r="S369" s="240"/>
      <c r="T369" s="240"/>
      <c r="U369" s="240"/>
      <c r="V369" s="240"/>
      <c r="W369" s="240"/>
      <c r="X369" s="240"/>
      <c r="Y369" s="240"/>
      <c r="Z369" s="240"/>
      <c r="AA369" s="240"/>
      <c r="AB369" s="240"/>
      <c r="AC369" s="240"/>
    </row>
    <row r="370" spans="5:29" ht="15.75" customHeight="1" x14ac:dyDescent="0.2">
      <c r="E370" s="240"/>
      <c r="F370" s="240"/>
      <c r="G370" s="240"/>
      <c r="H370" s="240"/>
      <c r="I370" s="240"/>
      <c r="J370" s="240"/>
      <c r="K370" s="240"/>
      <c r="L370" s="240"/>
      <c r="M370" s="240"/>
      <c r="N370" s="240"/>
      <c r="O370" s="240"/>
      <c r="P370" s="240"/>
      <c r="Q370" s="240"/>
      <c r="R370" s="240"/>
      <c r="S370" s="240"/>
      <c r="T370" s="240"/>
      <c r="U370" s="240"/>
      <c r="V370" s="240"/>
      <c r="W370" s="240"/>
      <c r="X370" s="240"/>
      <c r="Y370" s="240"/>
      <c r="Z370" s="240"/>
      <c r="AA370" s="240"/>
      <c r="AB370" s="240"/>
      <c r="AC370" s="240"/>
    </row>
    <row r="371" spans="5:29" ht="15.75" customHeight="1" x14ac:dyDescent="0.2">
      <c r="E371" s="240"/>
      <c r="F371" s="240"/>
      <c r="G371" s="240"/>
      <c r="H371" s="240"/>
      <c r="I371" s="240"/>
      <c r="J371" s="240"/>
      <c r="K371" s="240"/>
      <c r="L371" s="240"/>
      <c r="M371" s="240"/>
      <c r="N371" s="240"/>
      <c r="O371" s="240"/>
      <c r="P371" s="240"/>
      <c r="Q371" s="240"/>
      <c r="R371" s="240"/>
      <c r="S371" s="240"/>
      <c r="T371" s="240"/>
      <c r="U371" s="240"/>
      <c r="V371" s="240"/>
      <c r="W371" s="240"/>
      <c r="X371" s="240"/>
      <c r="Y371" s="240"/>
      <c r="Z371" s="240"/>
      <c r="AA371" s="240"/>
      <c r="AB371" s="240"/>
      <c r="AC371" s="240"/>
    </row>
    <row r="372" spans="5:29" ht="15.75" customHeight="1" x14ac:dyDescent="0.2">
      <c r="E372" s="240"/>
      <c r="F372" s="240"/>
      <c r="G372" s="240"/>
      <c r="H372" s="240"/>
      <c r="I372" s="240"/>
      <c r="J372" s="240"/>
      <c r="K372" s="240"/>
      <c r="L372" s="240"/>
      <c r="M372" s="240"/>
      <c r="N372" s="240"/>
      <c r="O372" s="240"/>
      <c r="P372" s="240"/>
      <c r="Q372" s="240"/>
      <c r="R372" s="240"/>
      <c r="S372" s="240"/>
      <c r="T372" s="240"/>
      <c r="U372" s="240"/>
      <c r="V372" s="240"/>
      <c r="W372" s="240"/>
      <c r="X372" s="240"/>
      <c r="Y372" s="240"/>
      <c r="Z372" s="240"/>
      <c r="AA372" s="240"/>
      <c r="AB372" s="240"/>
      <c r="AC372" s="240"/>
    </row>
    <row r="373" spans="5:29" ht="15.75" customHeight="1" x14ac:dyDescent="0.2">
      <c r="E373" s="240"/>
      <c r="F373" s="240"/>
      <c r="G373" s="240"/>
      <c r="H373" s="240"/>
      <c r="I373" s="240"/>
      <c r="J373" s="240"/>
      <c r="K373" s="240"/>
      <c r="L373" s="240"/>
      <c r="M373" s="240"/>
      <c r="N373" s="240"/>
      <c r="O373" s="240"/>
      <c r="P373" s="240"/>
      <c r="Q373" s="240"/>
      <c r="R373" s="240"/>
      <c r="S373" s="240"/>
      <c r="T373" s="240"/>
      <c r="U373" s="240"/>
      <c r="V373" s="240"/>
      <c r="W373" s="240"/>
      <c r="X373" s="240"/>
      <c r="Y373" s="240"/>
      <c r="Z373" s="240"/>
      <c r="AA373" s="240"/>
      <c r="AB373" s="240"/>
      <c r="AC373" s="240"/>
    </row>
    <row r="374" spans="5:29" ht="15.75" customHeight="1" x14ac:dyDescent="0.2">
      <c r="E374" s="240"/>
      <c r="F374" s="240"/>
      <c r="G374" s="240"/>
      <c r="H374" s="240"/>
      <c r="I374" s="240"/>
      <c r="J374" s="240"/>
      <c r="K374" s="240"/>
      <c r="L374" s="240"/>
      <c r="M374" s="240"/>
      <c r="N374" s="240"/>
      <c r="O374" s="240"/>
      <c r="P374" s="240"/>
      <c r="Q374" s="240"/>
      <c r="R374" s="240"/>
      <c r="S374" s="240"/>
      <c r="T374" s="240"/>
      <c r="U374" s="240"/>
      <c r="V374" s="240"/>
      <c r="W374" s="240"/>
      <c r="X374" s="240"/>
      <c r="Y374" s="240"/>
      <c r="Z374" s="240"/>
      <c r="AA374" s="240"/>
      <c r="AB374" s="240"/>
      <c r="AC374" s="240"/>
    </row>
    <row r="375" spans="5:29" ht="15.75" customHeight="1" x14ac:dyDescent="0.2">
      <c r="E375" s="240"/>
      <c r="F375" s="240"/>
      <c r="G375" s="240"/>
      <c r="H375" s="240"/>
      <c r="I375" s="240"/>
      <c r="J375" s="240"/>
      <c r="K375" s="240"/>
      <c r="L375" s="240"/>
      <c r="M375" s="240"/>
      <c r="N375" s="240"/>
      <c r="O375" s="240"/>
      <c r="P375" s="240"/>
      <c r="Q375" s="240"/>
      <c r="R375" s="240"/>
      <c r="S375" s="240"/>
      <c r="T375" s="240"/>
      <c r="U375" s="240"/>
      <c r="V375" s="240"/>
      <c r="W375" s="240"/>
      <c r="X375" s="240"/>
      <c r="Y375" s="240"/>
      <c r="Z375" s="240"/>
      <c r="AA375" s="240"/>
      <c r="AB375" s="240"/>
      <c r="AC375" s="240"/>
    </row>
    <row r="376" spans="5:29" ht="15.75" customHeight="1" x14ac:dyDescent="0.2">
      <c r="E376" s="240"/>
      <c r="F376" s="240"/>
      <c r="G376" s="240"/>
      <c r="H376" s="240"/>
      <c r="I376" s="240"/>
      <c r="J376" s="240"/>
      <c r="K376" s="240"/>
      <c r="L376" s="240"/>
      <c r="M376" s="240"/>
      <c r="N376" s="240"/>
      <c r="O376" s="240"/>
      <c r="P376" s="240"/>
      <c r="Q376" s="240"/>
      <c r="R376" s="240"/>
      <c r="S376" s="240"/>
      <c r="T376" s="240"/>
      <c r="U376" s="240"/>
      <c r="V376" s="240"/>
      <c r="W376" s="240"/>
      <c r="X376" s="240"/>
      <c r="Y376" s="240"/>
      <c r="Z376" s="240"/>
      <c r="AA376" s="240"/>
      <c r="AB376" s="240"/>
      <c r="AC376" s="240"/>
    </row>
    <row r="377" spans="5:29" ht="15.75" customHeight="1" x14ac:dyDescent="0.2">
      <c r="E377" s="240"/>
      <c r="F377" s="240"/>
      <c r="G377" s="240"/>
      <c r="H377" s="240"/>
      <c r="I377" s="240"/>
      <c r="J377" s="240"/>
      <c r="K377" s="240"/>
      <c r="L377" s="240"/>
      <c r="M377" s="240"/>
      <c r="N377" s="240"/>
      <c r="O377" s="240"/>
      <c r="P377" s="240"/>
      <c r="Q377" s="240"/>
      <c r="R377" s="240"/>
      <c r="S377" s="240"/>
      <c r="T377" s="240"/>
      <c r="U377" s="240"/>
      <c r="V377" s="240"/>
      <c r="W377" s="240"/>
      <c r="X377" s="240"/>
      <c r="Y377" s="240"/>
      <c r="Z377" s="240"/>
      <c r="AA377" s="240"/>
      <c r="AB377" s="240"/>
      <c r="AC377" s="240"/>
    </row>
    <row r="378" spans="5:29" ht="15.75" customHeight="1" x14ac:dyDescent="0.2">
      <c r="E378" s="240"/>
      <c r="F378" s="240"/>
      <c r="G378" s="240"/>
      <c r="H378" s="240"/>
      <c r="I378" s="240"/>
      <c r="J378" s="240"/>
      <c r="K378" s="240"/>
      <c r="L378" s="240"/>
      <c r="M378" s="240"/>
      <c r="N378" s="240"/>
      <c r="O378" s="240"/>
      <c r="P378" s="240"/>
      <c r="Q378" s="240"/>
      <c r="R378" s="240"/>
      <c r="S378" s="240"/>
      <c r="T378" s="240"/>
      <c r="U378" s="240"/>
      <c r="V378" s="240"/>
      <c r="W378" s="240"/>
      <c r="X378" s="240"/>
      <c r="Y378" s="240"/>
      <c r="Z378" s="240"/>
      <c r="AA378" s="240"/>
      <c r="AB378" s="240"/>
      <c r="AC378" s="240"/>
    </row>
    <row r="379" spans="5:29" ht="15.75" customHeight="1" x14ac:dyDescent="0.2">
      <c r="E379" s="240"/>
      <c r="F379" s="240"/>
      <c r="G379" s="240"/>
      <c r="H379" s="240"/>
      <c r="I379" s="240"/>
      <c r="J379" s="240"/>
      <c r="K379" s="240"/>
      <c r="L379" s="240"/>
      <c r="M379" s="240"/>
      <c r="N379" s="240"/>
      <c r="O379" s="240"/>
      <c r="P379" s="240"/>
      <c r="Q379" s="240"/>
      <c r="R379" s="240"/>
      <c r="S379" s="240"/>
      <c r="T379" s="240"/>
      <c r="U379" s="240"/>
      <c r="V379" s="240"/>
      <c r="W379" s="240"/>
      <c r="X379" s="240"/>
      <c r="Y379" s="240"/>
      <c r="Z379" s="240"/>
      <c r="AA379" s="240"/>
      <c r="AB379" s="240"/>
      <c r="AC379" s="240"/>
    </row>
    <row r="380" spans="5:29" ht="15.75" customHeight="1" x14ac:dyDescent="0.2">
      <c r="E380" s="240"/>
      <c r="F380" s="240"/>
      <c r="G380" s="240"/>
      <c r="H380" s="240"/>
      <c r="I380" s="240"/>
      <c r="J380" s="240"/>
      <c r="K380" s="240"/>
      <c r="L380" s="240"/>
      <c r="M380" s="240"/>
      <c r="N380" s="240"/>
      <c r="O380" s="240"/>
      <c r="P380" s="240"/>
      <c r="Q380" s="240"/>
      <c r="R380" s="240"/>
      <c r="S380" s="240"/>
      <c r="T380" s="240"/>
      <c r="U380" s="240"/>
      <c r="V380" s="240"/>
      <c r="W380" s="240"/>
      <c r="X380" s="240"/>
      <c r="Y380" s="240"/>
      <c r="Z380" s="240"/>
      <c r="AA380" s="240"/>
      <c r="AB380" s="240"/>
      <c r="AC380" s="240"/>
    </row>
    <row r="381" spans="5:29" ht="15.75" customHeight="1" x14ac:dyDescent="0.2">
      <c r="E381" s="240"/>
      <c r="F381" s="240"/>
      <c r="G381" s="240"/>
      <c r="H381" s="240"/>
      <c r="I381" s="240"/>
      <c r="J381" s="240"/>
      <c r="K381" s="240"/>
      <c r="L381" s="240"/>
      <c r="M381" s="240"/>
      <c r="N381" s="240"/>
      <c r="O381" s="240"/>
      <c r="P381" s="240"/>
      <c r="Q381" s="240"/>
      <c r="R381" s="240"/>
      <c r="S381" s="240"/>
      <c r="T381" s="240"/>
      <c r="U381" s="240"/>
      <c r="V381" s="240"/>
      <c r="W381" s="240"/>
      <c r="X381" s="240"/>
      <c r="Y381" s="240"/>
      <c r="Z381" s="240"/>
      <c r="AA381" s="240"/>
      <c r="AB381" s="240"/>
      <c r="AC381" s="240"/>
    </row>
    <row r="382" spans="5:29" ht="15.75" customHeight="1" x14ac:dyDescent="0.2">
      <c r="E382" s="240"/>
      <c r="F382" s="240"/>
      <c r="G382" s="240"/>
      <c r="H382" s="240"/>
      <c r="I382" s="240"/>
      <c r="J382" s="240"/>
      <c r="K382" s="240"/>
      <c r="L382" s="240"/>
      <c r="M382" s="240"/>
      <c r="N382" s="240"/>
      <c r="O382" s="240"/>
      <c r="P382" s="240"/>
      <c r="Q382" s="240"/>
      <c r="R382" s="240"/>
      <c r="S382" s="240"/>
      <c r="T382" s="240"/>
      <c r="U382" s="240"/>
      <c r="V382" s="240"/>
      <c r="W382" s="240"/>
      <c r="X382" s="240"/>
      <c r="Y382" s="240"/>
      <c r="Z382" s="240"/>
      <c r="AA382" s="240"/>
      <c r="AB382" s="240"/>
      <c r="AC382" s="240"/>
    </row>
    <row r="383" spans="5:29" ht="15.75" customHeight="1" x14ac:dyDescent="0.2">
      <c r="E383" s="240"/>
      <c r="F383" s="240"/>
      <c r="G383" s="240"/>
      <c r="H383" s="240"/>
      <c r="I383" s="240"/>
      <c r="J383" s="240"/>
      <c r="K383" s="240"/>
      <c r="L383" s="240"/>
      <c r="M383" s="240"/>
      <c r="N383" s="240"/>
      <c r="O383" s="240"/>
      <c r="P383" s="240"/>
      <c r="Q383" s="240"/>
      <c r="R383" s="240"/>
      <c r="S383" s="240"/>
      <c r="T383" s="240"/>
      <c r="U383" s="240"/>
      <c r="V383" s="240"/>
      <c r="W383" s="240"/>
      <c r="X383" s="240"/>
      <c r="Y383" s="240"/>
      <c r="Z383" s="240"/>
      <c r="AA383" s="240"/>
      <c r="AB383" s="240"/>
      <c r="AC383" s="240"/>
    </row>
    <row r="384" spans="5:29" ht="15.75" customHeight="1" x14ac:dyDescent="0.2">
      <c r="E384" s="240"/>
      <c r="F384" s="240"/>
      <c r="G384" s="240"/>
      <c r="H384" s="240"/>
      <c r="I384" s="240"/>
      <c r="J384" s="240"/>
      <c r="K384" s="240"/>
      <c r="L384" s="240"/>
      <c r="M384" s="240"/>
      <c r="N384" s="240"/>
      <c r="O384" s="240"/>
      <c r="P384" s="240"/>
      <c r="Q384" s="240"/>
      <c r="R384" s="240"/>
      <c r="S384" s="240"/>
      <c r="T384" s="240"/>
      <c r="U384" s="240"/>
      <c r="V384" s="240"/>
      <c r="W384" s="240"/>
      <c r="X384" s="240"/>
      <c r="Y384" s="240"/>
      <c r="Z384" s="240"/>
      <c r="AA384" s="240"/>
      <c r="AB384" s="240"/>
      <c r="AC384" s="240"/>
    </row>
    <row r="385" spans="5:29" ht="15.75" customHeight="1" x14ac:dyDescent="0.2">
      <c r="E385" s="240"/>
      <c r="F385" s="240"/>
      <c r="G385" s="240"/>
      <c r="H385" s="240"/>
      <c r="I385" s="240"/>
      <c r="J385" s="240"/>
      <c r="K385" s="240"/>
      <c r="L385" s="240"/>
      <c r="M385" s="240"/>
      <c r="N385" s="240"/>
      <c r="O385" s="240"/>
      <c r="P385" s="240"/>
      <c r="Q385" s="240"/>
      <c r="R385" s="240"/>
      <c r="S385" s="240"/>
      <c r="T385" s="240"/>
      <c r="U385" s="240"/>
      <c r="V385" s="240"/>
      <c r="W385" s="240"/>
      <c r="X385" s="240"/>
      <c r="Y385" s="240"/>
      <c r="Z385" s="240"/>
      <c r="AA385" s="240"/>
      <c r="AB385" s="240"/>
      <c r="AC385" s="240"/>
    </row>
    <row r="386" spans="5:29" ht="15.75" customHeight="1" x14ac:dyDescent="0.2">
      <c r="E386" s="240"/>
      <c r="F386" s="240"/>
      <c r="G386" s="240"/>
      <c r="H386" s="240"/>
      <c r="I386" s="240"/>
      <c r="J386" s="240"/>
      <c r="K386" s="240"/>
      <c r="L386" s="240"/>
      <c r="M386" s="240"/>
      <c r="N386" s="240"/>
      <c r="O386" s="240"/>
      <c r="P386" s="240"/>
      <c r="Q386" s="240"/>
      <c r="R386" s="240"/>
      <c r="S386" s="240"/>
      <c r="T386" s="240"/>
      <c r="U386" s="240"/>
      <c r="V386" s="240"/>
      <c r="W386" s="240"/>
      <c r="X386" s="240"/>
      <c r="Y386" s="240"/>
      <c r="Z386" s="240"/>
      <c r="AA386" s="240"/>
      <c r="AB386" s="240"/>
      <c r="AC386" s="240"/>
    </row>
    <row r="387" spans="5:29" ht="15.75" customHeight="1" x14ac:dyDescent="0.2">
      <c r="E387" s="240"/>
      <c r="F387" s="240"/>
      <c r="G387" s="240"/>
      <c r="H387" s="240"/>
      <c r="I387" s="240"/>
      <c r="J387" s="240"/>
      <c r="K387" s="240"/>
      <c r="L387" s="240"/>
      <c r="M387" s="240"/>
      <c r="N387" s="240"/>
      <c r="O387" s="240"/>
      <c r="P387" s="240"/>
      <c r="Q387" s="240"/>
      <c r="R387" s="240"/>
      <c r="S387" s="240"/>
      <c r="T387" s="240"/>
      <c r="U387" s="240"/>
      <c r="V387" s="240"/>
      <c r="W387" s="240"/>
      <c r="X387" s="240"/>
      <c r="Y387" s="240"/>
      <c r="Z387" s="240"/>
      <c r="AA387" s="240"/>
      <c r="AB387" s="240"/>
      <c r="AC387" s="240"/>
    </row>
    <row r="388" spans="5:29" ht="15.75" customHeight="1" x14ac:dyDescent="0.2">
      <c r="E388" s="240"/>
      <c r="F388" s="240"/>
      <c r="G388" s="240"/>
      <c r="H388" s="240"/>
      <c r="I388" s="240"/>
      <c r="J388" s="240"/>
      <c r="K388" s="240"/>
      <c r="L388" s="240"/>
      <c r="M388" s="240"/>
      <c r="N388" s="240"/>
      <c r="O388" s="240"/>
      <c r="P388" s="240"/>
      <c r="Q388" s="240"/>
      <c r="R388" s="240"/>
      <c r="S388" s="240"/>
      <c r="T388" s="240"/>
      <c r="U388" s="240"/>
      <c r="V388" s="240"/>
      <c r="W388" s="240"/>
      <c r="X388" s="240"/>
      <c r="Y388" s="240"/>
      <c r="Z388" s="240"/>
      <c r="AA388" s="240"/>
      <c r="AB388" s="240"/>
      <c r="AC388" s="240"/>
    </row>
    <row r="389" spans="5:29" ht="15.75" customHeight="1" x14ac:dyDescent="0.2">
      <c r="E389" s="240"/>
      <c r="F389" s="240"/>
      <c r="G389" s="240"/>
      <c r="H389" s="240"/>
      <c r="I389" s="240"/>
      <c r="J389" s="240"/>
      <c r="K389" s="240"/>
      <c r="L389" s="240"/>
      <c r="M389" s="240"/>
      <c r="N389" s="240"/>
      <c r="O389" s="240"/>
      <c r="P389" s="240"/>
      <c r="Q389" s="240"/>
      <c r="R389" s="240"/>
      <c r="S389" s="240"/>
      <c r="T389" s="240"/>
      <c r="U389" s="240"/>
      <c r="V389" s="240"/>
      <c r="W389" s="240"/>
      <c r="X389" s="240"/>
      <c r="Y389" s="240"/>
      <c r="Z389" s="240"/>
      <c r="AA389" s="240"/>
      <c r="AB389" s="240"/>
      <c r="AC389" s="240"/>
    </row>
    <row r="390" spans="5:29" ht="15.75" customHeight="1" x14ac:dyDescent="0.2">
      <c r="E390" s="240"/>
      <c r="F390" s="240"/>
      <c r="G390" s="240"/>
      <c r="H390" s="240"/>
      <c r="I390" s="240"/>
      <c r="J390" s="240"/>
      <c r="K390" s="240"/>
      <c r="L390" s="240"/>
      <c r="M390" s="240"/>
      <c r="N390" s="240"/>
      <c r="O390" s="240"/>
      <c r="P390" s="240"/>
      <c r="Q390" s="240"/>
      <c r="R390" s="240"/>
      <c r="S390" s="240"/>
      <c r="T390" s="240"/>
      <c r="U390" s="240"/>
      <c r="V390" s="240"/>
      <c r="W390" s="240"/>
      <c r="X390" s="240"/>
      <c r="Y390" s="240"/>
      <c r="Z390" s="240"/>
      <c r="AA390" s="240"/>
      <c r="AB390" s="240"/>
      <c r="AC390" s="240"/>
    </row>
    <row r="391" spans="5:29" ht="15.75" customHeight="1" x14ac:dyDescent="0.2">
      <c r="E391" s="240"/>
      <c r="F391" s="240"/>
      <c r="G391" s="240"/>
      <c r="H391" s="240"/>
      <c r="I391" s="240"/>
      <c r="J391" s="240"/>
      <c r="K391" s="240"/>
      <c r="L391" s="240"/>
      <c r="M391" s="240"/>
      <c r="N391" s="240"/>
      <c r="O391" s="240"/>
      <c r="P391" s="240"/>
      <c r="Q391" s="240"/>
      <c r="R391" s="240"/>
      <c r="S391" s="240"/>
      <c r="T391" s="240"/>
      <c r="U391" s="240"/>
      <c r="V391" s="240"/>
      <c r="W391" s="240"/>
      <c r="X391" s="240"/>
      <c r="Y391" s="240"/>
      <c r="Z391" s="240"/>
      <c r="AA391" s="240"/>
      <c r="AB391" s="240"/>
      <c r="AC391" s="240"/>
    </row>
    <row r="392" spans="5:29" ht="15.75" customHeight="1" x14ac:dyDescent="0.2">
      <c r="E392" s="240"/>
      <c r="F392" s="240"/>
      <c r="G392" s="240"/>
      <c r="H392" s="240"/>
      <c r="I392" s="240"/>
      <c r="J392" s="240"/>
      <c r="K392" s="240"/>
      <c r="L392" s="240"/>
      <c r="M392" s="240"/>
      <c r="N392" s="240"/>
      <c r="O392" s="240"/>
      <c r="P392" s="240"/>
      <c r="Q392" s="240"/>
      <c r="R392" s="240"/>
      <c r="S392" s="240"/>
      <c r="T392" s="240"/>
      <c r="U392" s="240"/>
      <c r="V392" s="240"/>
      <c r="W392" s="240"/>
      <c r="X392" s="240"/>
      <c r="Y392" s="240"/>
      <c r="Z392" s="240"/>
      <c r="AA392" s="240"/>
      <c r="AB392" s="240"/>
      <c r="AC392" s="240"/>
    </row>
    <row r="393" spans="5:29" ht="15.75" customHeight="1" x14ac:dyDescent="0.2">
      <c r="E393" s="240"/>
      <c r="F393" s="240"/>
      <c r="G393" s="240"/>
      <c r="H393" s="240"/>
      <c r="I393" s="240"/>
      <c r="J393" s="240"/>
      <c r="K393" s="240"/>
      <c r="L393" s="240"/>
      <c r="M393" s="240"/>
      <c r="N393" s="240"/>
      <c r="O393" s="240"/>
      <c r="P393" s="240"/>
      <c r="Q393" s="240"/>
      <c r="R393" s="240"/>
      <c r="S393" s="240"/>
      <c r="T393" s="240"/>
      <c r="U393" s="240"/>
      <c r="V393" s="240"/>
      <c r="W393" s="240"/>
      <c r="X393" s="240"/>
      <c r="Y393" s="240"/>
      <c r="Z393" s="240"/>
      <c r="AA393" s="240"/>
      <c r="AB393" s="240"/>
      <c r="AC393" s="240"/>
    </row>
    <row r="394" spans="5:29" ht="15.75" customHeight="1" x14ac:dyDescent="0.2">
      <c r="E394" s="240"/>
      <c r="F394" s="240"/>
      <c r="G394" s="240"/>
      <c r="H394" s="240"/>
      <c r="I394" s="240"/>
      <c r="J394" s="240"/>
      <c r="K394" s="240"/>
      <c r="L394" s="240"/>
      <c r="M394" s="240"/>
      <c r="N394" s="240"/>
      <c r="O394" s="240"/>
      <c r="P394" s="240"/>
      <c r="Q394" s="240"/>
      <c r="R394" s="240"/>
      <c r="S394" s="240"/>
      <c r="T394" s="240"/>
      <c r="U394" s="240"/>
      <c r="V394" s="240"/>
      <c r="W394" s="240"/>
      <c r="X394" s="240"/>
      <c r="Y394" s="240"/>
      <c r="Z394" s="240"/>
      <c r="AA394" s="240"/>
      <c r="AB394" s="240"/>
      <c r="AC394" s="240"/>
    </row>
    <row r="395" spans="5:29" ht="15.75" customHeight="1" x14ac:dyDescent="0.2">
      <c r="E395" s="240"/>
      <c r="F395" s="240"/>
      <c r="G395" s="240"/>
      <c r="H395" s="240"/>
      <c r="I395" s="240"/>
      <c r="J395" s="240"/>
      <c r="K395" s="240"/>
      <c r="L395" s="240"/>
      <c r="M395" s="240"/>
      <c r="N395" s="240"/>
      <c r="O395" s="240"/>
      <c r="P395" s="240"/>
      <c r="Q395" s="240"/>
      <c r="R395" s="240"/>
      <c r="S395" s="240"/>
      <c r="T395" s="240"/>
      <c r="U395" s="240"/>
      <c r="V395" s="240"/>
      <c r="W395" s="240"/>
      <c r="X395" s="240"/>
      <c r="Y395" s="240"/>
      <c r="Z395" s="240"/>
      <c r="AA395" s="240"/>
      <c r="AB395" s="240"/>
      <c r="AC395" s="240"/>
    </row>
    <row r="396" spans="5:29" ht="15.75" customHeight="1" x14ac:dyDescent="0.2">
      <c r="E396" s="240"/>
      <c r="F396" s="240"/>
      <c r="G396" s="240"/>
      <c r="H396" s="240"/>
      <c r="I396" s="240"/>
      <c r="J396" s="240"/>
      <c r="K396" s="240"/>
      <c r="L396" s="240"/>
      <c r="M396" s="240"/>
      <c r="N396" s="240"/>
      <c r="O396" s="240"/>
      <c r="P396" s="240"/>
      <c r="Q396" s="240"/>
      <c r="R396" s="240"/>
      <c r="S396" s="240"/>
      <c r="T396" s="240"/>
      <c r="U396" s="240"/>
      <c r="V396" s="240"/>
      <c r="W396" s="240"/>
      <c r="X396" s="240"/>
      <c r="Y396" s="240"/>
      <c r="Z396" s="240"/>
      <c r="AA396" s="240"/>
      <c r="AB396" s="240"/>
      <c r="AC396" s="240"/>
    </row>
    <row r="397" spans="5:29" ht="15.75" customHeight="1" x14ac:dyDescent="0.2">
      <c r="E397" s="240"/>
      <c r="F397" s="240"/>
      <c r="G397" s="240"/>
      <c r="H397" s="240"/>
      <c r="I397" s="240"/>
      <c r="J397" s="240"/>
      <c r="K397" s="240"/>
      <c r="L397" s="240"/>
      <c r="M397" s="240"/>
      <c r="N397" s="240"/>
      <c r="O397" s="240"/>
      <c r="P397" s="240"/>
      <c r="Q397" s="240"/>
      <c r="R397" s="240"/>
      <c r="S397" s="240"/>
      <c r="T397" s="240"/>
      <c r="U397" s="240"/>
      <c r="V397" s="240"/>
      <c r="W397" s="240"/>
      <c r="X397" s="240"/>
      <c r="Y397" s="240"/>
      <c r="Z397" s="240"/>
      <c r="AA397" s="240"/>
      <c r="AB397" s="240"/>
      <c r="AC397" s="240"/>
    </row>
    <row r="398" spans="5:29" ht="15.75" customHeight="1" x14ac:dyDescent="0.2">
      <c r="E398" s="240"/>
      <c r="F398" s="240"/>
      <c r="G398" s="240"/>
      <c r="H398" s="240"/>
      <c r="I398" s="240"/>
      <c r="J398" s="240"/>
      <c r="K398" s="240"/>
      <c r="L398" s="240"/>
      <c r="M398" s="240"/>
      <c r="N398" s="240"/>
      <c r="O398" s="240"/>
      <c r="P398" s="240"/>
      <c r="Q398" s="240"/>
      <c r="R398" s="240"/>
      <c r="S398" s="240"/>
      <c r="T398" s="240"/>
      <c r="U398" s="240"/>
      <c r="V398" s="240"/>
      <c r="W398" s="240"/>
      <c r="X398" s="240"/>
      <c r="Y398" s="240"/>
      <c r="Z398" s="240"/>
      <c r="AA398" s="240"/>
      <c r="AB398" s="240"/>
      <c r="AC398" s="240"/>
    </row>
    <row r="399" spans="5:29" ht="15.75" customHeight="1" x14ac:dyDescent="0.2">
      <c r="E399" s="240"/>
      <c r="F399" s="240"/>
      <c r="G399" s="240"/>
      <c r="H399" s="240"/>
      <c r="I399" s="240"/>
      <c r="J399" s="240"/>
      <c r="K399" s="240"/>
      <c r="L399" s="240"/>
      <c r="M399" s="240"/>
      <c r="N399" s="240"/>
      <c r="O399" s="240"/>
      <c r="P399" s="240"/>
      <c r="Q399" s="240"/>
      <c r="R399" s="240"/>
      <c r="S399" s="240"/>
      <c r="T399" s="240"/>
      <c r="U399" s="240"/>
      <c r="V399" s="240"/>
      <c r="W399" s="240"/>
      <c r="X399" s="240"/>
      <c r="Y399" s="240"/>
      <c r="Z399" s="240"/>
      <c r="AA399" s="240"/>
      <c r="AB399" s="240"/>
      <c r="AC399" s="240"/>
    </row>
    <row r="400" spans="5:29" ht="15.75" customHeight="1" x14ac:dyDescent="0.2">
      <c r="E400" s="240"/>
      <c r="F400" s="240"/>
      <c r="G400" s="240"/>
      <c r="H400" s="240"/>
      <c r="I400" s="240"/>
      <c r="J400" s="240"/>
      <c r="K400" s="240"/>
      <c r="L400" s="240"/>
      <c r="M400" s="240"/>
      <c r="N400" s="240"/>
      <c r="O400" s="240"/>
      <c r="P400" s="240"/>
      <c r="Q400" s="240"/>
      <c r="R400" s="240"/>
      <c r="S400" s="240"/>
      <c r="T400" s="240"/>
      <c r="U400" s="240"/>
      <c r="V400" s="240"/>
      <c r="W400" s="240"/>
      <c r="X400" s="240"/>
      <c r="Y400" s="240"/>
      <c r="Z400" s="240"/>
      <c r="AA400" s="240"/>
      <c r="AB400" s="240"/>
      <c r="AC400" s="240"/>
    </row>
    <row r="401" spans="5:29" ht="15.75" customHeight="1" x14ac:dyDescent="0.2">
      <c r="E401" s="240"/>
      <c r="F401" s="240"/>
      <c r="G401" s="240"/>
      <c r="H401" s="240"/>
      <c r="I401" s="240"/>
      <c r="J401" s="240"/>
      <c r="K401" s="240"/>
      <c r="L401" s="240"/>
      <c r="M401" s="240"/>
      <c r="N401" s="240"/>
      <c r="O401" s="240"/>
      <c r="P401" s="240"/>
      <c r="Q401" s="240"/>
      <c r="R401" s="240"/>
      <c r="S401" s="240"/>
      <c r="T401" s="240"/>
      <c r="U401" s="240"/>
      <c r="V401" s="240"/>
      <c r="W401" s="240"/>
      <c r="X401" s="240"/>
      <c r="Y401" s="240"/>
      <c r="Z401" s="240"/>
      <c r="AA401" s="240"/>
      <c r="AB401" s="240"/>
      <c r="AC401" s="240"/>
    </row>
    <row r="402" spans="5:29" ht="15.75" customHeight="1" x14ac:dyDescent="0.2">
      <c r="E402" s="240"/>
      <c r="F402" s="240"/>
      <c r="G402" s="240"/>
      <c r="H402" s="240"/>
      <c r="I402" s="240"/>
      <c r="J402" s="240"/>
      <c r="K402" s="240"/>
      <c r="L402" s="240"/>
      <c r="M402" s="240"/>
      <c r="N402" s="240"/>
      <c r="O402" s="240"/>
      <c r="P402" s="240"/>
      <c r="Q402" s="240"/>
      <c r="R402" s="240"/>
      <c r="S402" s="240"/>
      <c r="T402" s="240"/>
      <c r="U402" s="240"/>
      <c r="V402" s="240"/>
      <c r="W402" s="240"/>
      <c r="X402" s="240"/>
      <c r="Y402" s="240"/>
      <c r="Z402" s="240"/>
      <c r="AA402" s="240"/>
      <c r="AB402" s="240"/>
      <c r="AC402" s="240"/>
    </row>
    <row r="403" spans="5:29" ht="15.75" customHeight="1" x14ac:dyDescent="0.2">
      <c r="E403" s="240"/>
      <c r="F403" s="240"/>
      <c r="G403" s="240"/>
      <c r="H403" s="240"/>
      <c r="I403" s="240"/>
      <c r="J403" s="240"/>
      <c r="K403" s="240"/>
      <c r="L403" s="240"/>
      <c r="M403" s="240"/>
      <c r="N403" s="240"/>
      <c r="O403" s="240"/>
      <c r="P403" s="240"/>
      <c r="Q403" s="240"/>
      <c r="R403" s="240"/>
      <c r="S403" s="240"/>
      <c r="T403" s="240"/>
      <c r="U403" s="240"/>
      <c r="V403" s="240"/>
      <c r="W403" s="240"/>
      <c r="X403" s="240"/>
      <c r="Y403" s="240"/>
      <c r="Z403" s="240"/>
      <c r="AA403" s="240"/>
      <c r="AB403" s="240"/>
      <c r="AC403" s="240"/>
    </row>
    <row r="404" spans="5:29" ht="15.75" customHeight="1" x14ac:dyDescent="0.2">
      <c r="E404" s="240"/>
      <c r="F404" s="240"/>
      <c r="G404" s="240"/>
      <c r="H404" s="240"/>
      <c r="I404" s="240"/>
      <c r="J404" s="240"/>
      <c r="K404" s="240"/>
      <c r="L404" s="240"/>
      <c r="M404" s="240"/>
      <c r="N404" s="240"/>
      <c r="O404" s="240"/>
      <c r="P404" s="240"/>
      <c r="Q404" s="240"/>
      <c r="R404" s="240"/>
      <c r="S404" s="240"/>
      <c r="T404" s="240"/>
      <c r="U404" s="240"/>
      <c r="V404" s="240"/>
      <c r="W404" s="240"/>
      <c r="X404" s="240"/>
      <c r="Y404" s="240"/>
      <c r="Z404" s="240"/>
      <c r="AA404" s="240"/>
      <c r="AB404" s="240"/>
      <c r="AC404" s="240"/>
    </row>
    <row r="405" spans="5:29" ht="15.75" customHeight="1" x14ac:dyDescent="0.2">
      <c r="E405" s="240"/>
      <c r="F405" s="240"/>
      <c r="G405" s="240"/>
      <c r="H405" s="240"/>
      <c r="I405" s="240"/>
      <c r="J405" s="240"/>
      <c r="K405" s="240"/>
      <c r="L405" s="240"/>
      <c r="M405" s="240"/>
      <c r="N405" s="240"/>
      <c r="O405" s="240"/>
      <c r="P405" s="240"/>
      <c r="Q405" s="240"/>
      <c r="R405" s="240"/>
      <c r="S405" s="240"/>
      <c r="T405" s="240"/>
      <c r="U405" s="240"/>
      <c r="V405" s="240"/>
      <c r="W405" s="240"/>
      <c r="X405" s="240"/>
      <c r="Y405" s="240"/>
      <c r="Z405" s="240"/>
      <c r="AA405" s="240"/>
      <c r="AB405" s="240"/>
      <c r="AC405" s="240"/>
    </row>
    <row r="406" spans="5:29" ht="15.75" customHeight="1" x14ac:dyDescent="0.2">
      <c r="E406" s="240"/>
      <c r="F406" s="240"/>
      <c r="G406" s="240"/>
      <c r="H406" s="240"/>
      <c r="I406" s="240"/>
      <c r="J406" s="240"/>
      <c r="K406" s="240"/>
      <c r="L406" s="240"/>
      <c r="M406" s="240"/>
      <c r="N406" s="240"/>
      <c r="O406" s="240"/>
      <c r="P406" s="240"/>
      <c r="Q406" s="240"/>
      <c r="R406" s="240"/>
      <c r="S406" s="240"/>
      <c r="T406" s="240"/>
      <c r="U406" s="240"/>
      <c r="V406" s="240"/>
      <c r="W406" s="240"/>
      <c r="X406" s="240"/>
      <c r="Y406" s="240"/>
      <c r="Z406" s="240"/>
      <c r="AA406" s="240"/>
      <c r="AB406" s="240"/>
      <c r="AC406" s="240"/>
    </row>
    <row r="407" spans="5:29" ht="15.75" customHeight="1" x14ac:dyDescent="0.2">
      <c r="E407" s="240"/>
      <c r="F407" s="240"/>
      <c r="G407" s="240"/>
      <c r="H407" s="240"/>
      <c r="I407" s="240"/>
      <c r="J407" s="240"/>
      <c r="K407" s="240"/>
      <c r="L407" s="240"/>
      <c r="M407" s="240"/>
      <c r="N407" s="240"/>
      <c r="O407" s="240"/>
      <c r="P407" s="240"/>
      <c r="Q407" s="240"/>
      <c r="R407" s="240"/>
      <c r="S407" s="240"/>
      <c r="T407" s="240"/>
      <c r="U407" s="240"/>
      <c r="V407" s="240"/>
      <c r="W407" s="240"/>
      <c r="X407" s="240"/>
      <c r="Y407" s="240"/>
      <c r="Z407" s="240"/>
      <c r="AA407" s="240"/>
      <c r="AB407" s="240"/>
      <c r="AC407" s="240"/>
    </row>
    <row r="408" spans="5:29" ht="15.75" customHeight="1" x14ac:dyDescent="0.2">
      <c r="E408" s="240"/>
      <c r="F408" s="240"/>
      <c r="G408" s="240"/>
      <c r="H408" s="240"/>
      <c r="I408" s="240"/>
      <c r="J408" s="240"/>
      <c r="K408" s="240"/>
      <c r="L408" s="240"/>
      <c r="M408" s="240"/>
      <c r="N408" s="240"/>
      <c r="O408" s="240"/>
      <c r="P408" s="240"/>
      <c r="Q408" s="240"/>
      <c r="R408" s="240"/>
      <c r="S408" s="240"/>
      <c r="T408" s="240"/>
      <c r="U408" s="240"/>
      <c r="V408" s="240"/>
      <c r="W408" s="240"/>
      <c r="X408" s="240"/>
      <c r="Y408" s="240"/>
      <c r="Z408" s="240"/>
      <c r="AA408" s="240"/>
      <c r="AB408" s="240"/>
      <c r="AC408" s="240"/>
    </row>
    <row r="409" spans="5:29" ht="15.75" customHeight="1" x14ac:dyDescent="0.2">
      <c r="E409" s="240"/>
      <c r="F409" s="240"/>
      <c r="G409" s="240"/>
      <c r="H409" s="240"/>
      <c r="I409" s="240"/>
      <c r="J409" s="240"/>
      <c r="K409" s="240"/>
      <c r="L409" s="240"/>
      <c r="M409" s="240"/>
      <c r="N409" s="240"/>
      <c r="O409" s="240"/>
      <c r="P409" s="240"/>
      <c r="Q409" s="240"/>
      <c r="R409" s="240"/>
      <c r="S409" s="240"/>
      <c r="T409" s="240"/>
      <c r="U409" s="240"/>
      <c r="V409" s="240"/>
      <c r="W409" s="240"/>
      <c r="X409" s="240"/>
      <c r="Y409" s="240"/>
      <c r="Z409" s="240"/>
      <c r="AA409" s="240"/>
      <c r="AB409" s="240"/>
      <c r="AC409" s="240"/>
    </row>
    <row r="410" spans="5:29" ht="15.75" customHeight="1" x14ac:dyDescent="0.2">
      <c r="E410" s="240"/>
      <c r="F410" s="240"/>
      <c r="G410" s="240"/>
      <c r="H410" s="240"/>
      <c r="I410" s="240"/>
      <c r="J410" s="240"/>
      <c r="K410" s="240"/>
      <c r="L410" s="240"/>
      <c r="M410" s="240"/>
      <c r="N410" s="240"/>
      <c r="O410" s="240"/>
      <c r="P410" s="240"/>
      <c r="Q410" s="240"/>
      <c r="R410" s="240"/>
      <c r="S410" s="240"/>
      <c r="T410" s="240"/>
      <c r="U410" s="240"/>
      <c r="V410" s="240"/>
      <c r="W410" s="240"/>
      <c r="X410" s="240"/>
      <c r="Y410" s="240"/>
      <c r="Z410" s="240"/>
      <c r="AA410" s="240"/>
      <c r="AB410" s="240"/>
      <c r="AC410" s="240"/>
    </row>
    <row r="411" spans="5:29" ht="15.75" customHeight="1" x14ac:dyDescent="0.2">
      <c r="E411" s="240"/>
      <c r="F411" s="240"/>
      <c r="G411" s="240"/>
      <c r="H411" s="240"/>
      <c r="I411" s="240"/>
      <c r="J411" s="240"/>
      <c r="K411" s="240"/>
      <c r="L411" s="240"/>
      <c r="M411" s="240"/>
      <c r="N411" s="240"/>
      <c r="O411" s="240"/>
      <c r="P411" s="240"/>
      <c r="Q411" s="240"/>
      <c r="R411" s="240"/>
      <c r="S411" s="240"/>
      <c r="T411" s="240"/>
      <c r="U411" s="240"/>
      <c r="V411" s="240"/>
      <c r="W411" s="240"/>
      <c r="X411" s="240"/>
      <c r="Y411" s="240"/>
      <c r="Z411" s="240"/>
      <c r="AA411" s="240"/>
      <c r="AB411" s="240"/>
      <c r="AC411" s="240"/>
    </row>
    <row r="412" spans="5:29" ht="15.75" customHeight="1" x14ac:dyDescent="0.2">
      <c r="E412" s="240"/>
      <c r="F412" s="240"/>
      <c r="G412" s="240"/>
      <c r="H412" s="240"/>
      <c r="I412" s="240"/>
      <c r="J412" s="240"/>
      <c r="K412" s="240"/>
      <c r="L412" s="240"/>
      <c r="M412" s="240"/>
      <c r="N412" s="240"/>
      <c r="O412" s="240"/>
      <c r="P412" s="240"/>
      <c r="Q412" s="240"/>
      <c r="R412" s="240"/>
      <c r="S412" s="240"/>
      <c r="T412" s="240"/>
      <c r="U412" s="240"/>
      <c r="V412" s="240"/>
      <c r="W412" s="240"/>
      <c r="X412" s="240"/>
      <c r="Y412" s="240"/>
      <c r="Z412" s="240"/>
      <c r="AA412" s="240"/>
      <c r="AB412" s="240"/>
      <c r="AC412" s="240"/>
    </row>
    <row r="413" spans="5:29" ht="15.75" customHeight="1" x14ac:dyDescent="0.2">
      <c r="E413" s="240"/>
      <c r="F413" s="240"/>
      <c r="G413" s="240"/>
      <c r="H413" s="240"/>
      <c r="I413" s="240"/>
      <c r="J413" s="240"/>
      <c r="K413" s="240"/>
      <c r="L413" s="240"/>
      <c r="M413" s="240"/>
      <c r="N413" s="240"/>
      <c r="O413" s="240"/>
      <c r="P413" s="240"/>
      <c r="Q413" s="240"/>
      <c r="R413" s="240"/>
      <c r="S413" s="240"/>
      <c r="T413" s="240"/>
      <c r="U413" s="240"/>
      <c r="V413" s="240"/>
      <c r="W413" s="240"/>
      <c r="X413" s="240"/>
      <c r="Y413" s="240"/>
      <c r="Z413" s="240"/>
      <c r="AA413" s="240"/>
      <c r="AB413" s="240"/>
      <c r="AC413" s="240"/>
    </row>
    <row r="414" spans="5:29" ht="15.75" customHeight="1" x14ac:dyDescent="0.2">
      <c r="E414" s="240"/>
      <c r="F414" s="240"/>
      <c r="G414" s="240"/>
      <c r="H414" s="240"/>
      <c r="I414" s="240"/>
      <c r="J414" s="240"/>
      <c r="K414" s="240"/>
      <c r="L414" s="240"/>
      <c r="M414" s="240"/>
      <c r="N414" s="240"/>
      <c r="O414" s="240"/>
      <c r="P414" s="240"/>
      <c r="Q414" s="240"/>
      <c r="R414" s="240"/>
      <c r="S414" s="240"/>
      <c r="T414" s="240"/>
      <c r="U414" s="240"/>
      <c r="V414" s="240"/>
      <c r="W414" s="240"/>
      <c r="X414" s="240"/>
      <c r="Y414" s="240"/>
      <c r="Z414" s="240"/>
      <c r="AA414" s="240"/>
      <c r="AB414" s="240"/>
      <c r="AC414" s="240"/>
    </row>
    <row r="415" spans="5:29" ht="15.75" customHeight="1" x14ac:dyDescent="0.2">
      <c r="E415" s="240"/>
      <c r="F415" s="240"/>
      <c r="G415" s="240"/>
      <c r="H415" s="240"/>
      <c r="I415" s="240"/>
      <c r="J415" s="240"/>
      <c r="K415" s="240"/>
      <c r="L415" s="240"/>
      <c r="M415" s="240"/>
      <c r="N415" s="240"/>
      <c r="O415" s="240"/>
      <c r="P415" s="240"/>
      <c r="Q415" s="240"/>
      <c r="R415" s="240"/>
      <c r="S415" s="240"/>
      <c r="T415" s="240"/>
      <c r="U415" s="240"/>
      <c r="V415" s="240"/>
      <c r="W415" s="240"/>
      <c r="X415" s="240"/>
      <c r="Y415" s="240"/>
      <c r="Z415" s="240"/>
      <c r="AA415" s="240"/>
      <c r="AB415" s="240"/>
      <c r="AC415" s="240"/>
    </row>
    <row r="416" spans="5:29" ht="15.75" customHeight="1" x14ac:dyDescent="0.2">
      <c r="E416" s="240"/>
      <c r="F416" s="240"/>
      <c r="G416" s="240"/>
      <c r="H416" s="240"/>
      <c r="I416" s="240"/>
      <c r="J416" s="240"/>
      <c r="K416" s="240"/>
      <c r="L416" s="240"/>
      <c r="M416" s="240"/>
      <c r="N416" s="240"/>
      <c r="O416" s="240"/>
      <c r="P416" s="240"/>
      <c r="Q416" s="240"/>
      <c r="R416" s="240"/>
      <c r="S416" s="240"/>
      <c r="T416" s="240"/>
      <c r="U416" s="240"/>
      <c r="V416" s="240"/>
      <c r="W416" s="240"/>
      <c r="X416" s="240"/>
      <c r="Y416" s="240"/>
      <c r="Z416" s="240"/>
      <c r="AA416" s="240"/>
      <c r="AB416" s="240"/>
      <c r="AC416" s="240"/>
    </row>
    <row r="417" spans="5:29" ht="15.75" customHeight="1" x14ac:dyDescent="0.2">
      <c r="E417" s="240"/>
      <c r="F417" s="240"/>
      <c r="G417" s="240"/>
      <c r="H417" s="240"/>
      <c r="I417" s="240"/>
      <c r="J417" s="240"/>
      <c r="K417" s="240"/>
      <c r="L417" s="240"/>
      <c r="M417" s="240"/>
      <c r="N417" s="240"/>
      <c r="O417" s="240"/>
      <c r="P417" s="240"/>
      <c r="Q417" s="240"/>
      <c r="R417" s="240"/>
      <c r="S417" s="240"/>
      <c r="T417" s="240"/>
      <c r="U417" s="240"/>
      <c r="V417" s="240"/>
      <c r="W417" s="240"/>
      <c r="X417" s="240"/>
      <c r="Y417" s="240"/>
      <c r="Z417" s="240"/>
      <c r="AA417" s="240"/>
      <c r="AB417" s="240"/>
      <c r="AC417" s="240"/>
    </row>
    <row r="418" spans="5:29" ht="15.75" customHeight="1" x14ac:dyDescent="0.2">
      <c r="E418" s="240"/>
      <c r="F418" s="240"/>
      <c r="G418" s="240"/>
      <c r="H418" s="240"/>
      <c r="I418" s="240"/>
      <c r="J418" s="240"/>
      <c r="K418" s="240"/>
      <c r="L418" s="240"/>
      <c r="M418" s="240"/>
      <c r="N418" s="240"/>
      <c r="O418" s="240"/>
      <c r="P418" s="240"/>
      <c r="Q418" s="240"/>
      <c r="R418" s="240"/>
      <c r="S418" s="240"/>
      <c r="T418" s="240"/>
      <c r="U418" s="240"/>
      <c r="V418" s="240"/>
      <c r="W418" s="240"/>
      <c r="X418" s="240"/>
      <c r="Y418" s="240"/>
      <c r="Z418" s="240"/>
      <c r="AA418" s="240"/>
      <c r="AB418" s="240"/>
      <c r="AC418" s="240"/>
    </row>
    <row r="419" spans="5:29" ht="15.75" customHeight="1" x14ac:dyDescent="0.2">
      <c r="E419" s="240"/>
      <c r="F419" s="240"/>
      <c r="G419" s="240"/>
      <c r="H419" s="240"/>
      <c r="I419" s="240"/>
      <c r="J419" s="240"/>
      <c r="K419" s="240"/>
      <c r="L419" s="240"/>
      <c r="M419" s="240"/>
      <c r="N419" s="240"/>
      <c r="O419" s="240"/>
      <c r="P419" s="240"/>
      <c r="Q419" s="240"/>
      <c r="R419" s="240"/>
      <c r="S419" s="240"/>
      <c r="T419" s="240"/>
      <c r="U419" s="240"/>
      <c r="V419" s="240"/>
      <c r="W419" s="240"/>
      <c r="X419" s="240"/>
      <c r="Y419" s="240"/>
      <c r="Z419" s="240"/>
      <c r="AA419" s="240"/>
      <c r="AB419" s="240"/>
      <c r="AC419" s="240"/>
    </row>
    <row r="420" spans="5:29" ht="15.75" customHeight="1" x14ac:dyDescent="0.2">
      <c r="E420" s="240"/>
      <c r="F420" s="240"/>
      <c r="G420" s="240"/>
      <c r="H420" s="240"/>
      <c r="I420" s="240"/>
      <c r="J420" s="240"/>
      <c r="K420" s="240"/>
      <c r="L420" s="240"/>
      <c r="M420" s="240"/>
      <c r="N420" s="240"/>
      <c r="O420" s="240"/>
      <c r="P420" s="240"/>
      <c r="Q420" s="240"/>
      <c r="R420" s="240"/>
      <c r="S420" s="240"/>
      <c r="T420" s="240"/>
      <c r="U420" s="240"/>
      <c r="V420" s="240"/>
      <c r="W420" s="240"/>
      <c r="X420" s="240"/>
      <c r="Y420" s="240"/>
      <c r="Z420" s="240"/>
      <c r="AA420" s="240"/>
      <c r="AB420" s="240"/>
      <c r="AC420" s="240"/>
    </row>
    <row r="421" spans="5:29" ht="15.75" customHeight="1" x14ac:dyDescent="0.2">
      <c r="E421" s="240"/>
      <c r="F421" s="240"/>
      <c r="G421" s="240"/>
      <c r="H421" s="240"/>
      <c r="I421" s="240"/>
      <c r="J421" s="240"/>
      <c r="K421" s="240"/>
      <c r="L421" s="240"/>
      <c r="M421" s="240"/>
      <c r="N421" s="240"/>
      <c r="O421" s="240"/>
      <c r="P421" s="240"/>
      <c r="Q421" s="240"/>
      <c r="R421" s="240"/>
      <c r="S421" s="240"/>
      <c r="T421" s="240"/>
      <c r="U421" s="240"/>
      <c r="V421" s="240"/>
      <c r="W421" s="240"/>
      <c r="X421" s="240"/>
      <c r="Y421" s="240"/>
      <c r="Z421" s="240"/>
      <c r="AA421" s="240"/>
      <c r="AB421" s="240"/>
      <c r="AC421" s="240"/>
    </row>
    <row r="422" spans="5:29" ht="15.75" customHeight="1" x14ac:dyDescent="0.2">
      <c r="E422" s="240"/>
      <c r="F422" s="240"/>
      <c r="G422" s="240"/>
      <c r="H422" s="240"/>
      <c r="I422" s="240"/>
      <c r="J422" s="240"/>
      <c r="K422" s="240"/>
      <c r="L422" s="240"/>
      <c r="M422" s="240"/>
      <c r="N422" s="240"/>
      <c r="O422" s="240"/>
      <c r="P422" s="240"/>
      <c r="Q422" s="240"/>
      <c r="R422" s="240"/>
      <c r="S422" s="240"/>
      <c r="T422" s="240"/>
      <c r="U422" s="240"/>
      <c r="V422" s="240"/>
      <c r="W422" s="240"/>
      <c r="X422" s="240"/>
      <c r="Y422" s="240"/>
      <c r="Z422" s="240"/>
      <c r="AA422" s="240"/>
      <c r="AB422" s="240"/>
      <c r="AC422" s="240"/>
    </row>
    <row r="423" spans="5:29" ht="15.75" customHeight="1" x14ac:dyDescent="0.2">
      <c r="E423" s="240"/>
      <c r="F423" s="240"/>
      <c r="G423" s="240"/>
      <c r="H423" s="240"/>
      <c r="I423" s="240"/>
      <c r="J423" s="240"/>
      <c r="K423" s="240"/>
      <c r="L423" s="240"/>
      <c r="M423" s="240"/>
      <c r="N423" s="240"/>
      <c r="O423" s="240"/>
      <c r="P423" s="240"/>
      <c r="Q423" s="240"/>
      <c r="R423" s="240"/>
      <c r="S423" s="240"/>
      <c r="T423" s="240"/>
      <c r="U423" s="240"/>
      <c r="V423" s="240"/>
      <c r="W423" s="240"/>
      <c r="X423" s="240"/>
      <c r="Y423" s="240"/>
      <c r="Z423" s="240"/>
      <c r="AA423" s="240"/>
      <c r="AB423" s="240"/>
      <c r="AC423" s="240"/>
    </row>
    <row r="424" spans="5:29" ht="15.75" customHeight="1" x14ac:dyDescent="0.2">
      <c r="E424" s="240"/>
      <c r="F424" s="240"/>
      <c r="G424" s="240"/>
      <c r="H424" s="240"/>
      <c r="I424" s="240"/>
      <c r="J424" s="240"/>
      <c r="K424" s="240"/>
      <c r="L424" s="240"/>
      <c r="M424" s="240"/>
      <c r="N424" s="240"/>
      <c r="O424" s="240"/>
      <c r="P424" s="240"/>
      <c r="Q424" s="240"/>
      <c r="R424" s="240"/>
      <c r="S424" s="240"/>
      <c r="T424" s="240"/>
      <c r="U424" s="240"/>
      <c r="V424" s="240"/>
      <c r="W424" s="240"/>
      <c r="X424" s="240"/>
      <c r="Y424" s="240"/>
      <c r="Z424" s="240"/>
      <c r="AA424" s="240"/>
      <c r="AB424" s="240"/>
      <c r="AC424" s="240"/>
    </row>
    <row r="425" spans="5:29" ht="15.75" customHeight="1" x14ac:dyDescent="0.2">
      <c r="E425" s="240"/>
      <c r="F425" s="240"/>
      <c r="G425" s="240"/>
      <c r="H425" s="240"/>
      <c r="I425" s="240"/>
      <c r="J425" s="240"/>
      <c r="K425" s="240"/>
      <c r="L425" s="240"/>
      <c r="M425" s="240"/>
      <c r="N425" s="240"/>
      <c r="O425" s="240"/>
      <c r="P425" s="240"/>
      <c r="Q425" s="240"/>
      <c r="R425" s="240"/>
      <c r="S425" s="240"/>
      <c r="T425" s="240"/>
      <c r="U425" s="240"/>
      <c r="V425" s="240"/>
      <c r="W425" s="240"/>
      <c r="X425" s="240"/>
      <c r="Y425" s="240"/>
      <c r="Z425" s="240"/>
      <c r="AA425" s="240"/>
      <c r="AB425" s="240"/>
      <c r="AC425" s="240"/>
    </row>
    <row r="426" spans="5:29" ht="15.75" customHeight="1" x14ac:dyDescent="0.2">
      <c r="E426" s="240"/>
      <c r="F426" s="240"/>
      <c r="G426" s="240"/>
      <c r="H426" s="240"/>
      <c r="I426" s="240"/>
      <c r="J426" s="240"/>
      <c r="K426" s="240"/>
      <c r="L426" s="240"/>
      <c r="M426" s="240"/>
      <c r="N426" s="240"/>
      <c r="O426" s="240"/>
      <c r="P426" s="240"/>
      <c r="Q426" s="240"/>
      <c r="R426" s="240"/>
      <c r="S426" s="240"/>
      <c r="T426" s="240"/>
      <c r="U426" s="240"/>
      <c r="V426" s="240"/>
      <c r="W426" s="240"/>
      <c r="X426" s="240"/>
      <c r="Y426" s="240"/>
      <c r="Z426" s="240"/>
      <c r="AA426" s="240"/>
      <c r="AB426" s="240"/>
      <c r="AC426" s="240"/>
    </row>
    <row r="427" spans="5:29" ht="15.75" customHeight="1" x14ac:dyDescent="0.2">
      <c r="E427" s="240"/>
      <c r="F427" s="240"/>
      <c r="G427" s="240"/>
      <c r="H427" s="240"/>
      <c r="I427" s="240"/>
      <c r="J427" s="240"/>
      <c r="K427" s="240"/>
      <c r="L427" s="240"/>
      <c r="M427" s="240"/>
      <c r="N427" s="240"/>
      <c r="O427" s="240"/>
      <c r="P427" s="240"/>
      <c r="Q427" s="240"/>
      <c r="R427" s="240"/>
      <c r="S427" s="240"/>
      <c r="T427" s="240"/>
      <c r="U427" s="240"/>
      <c r="V427" s="240"/>
      <c r="W427" s="240"/>
      <c r="X427" s="240"/>
      <c r="Y427" s="240"/>
      <c r="Z427" s="240"/>
      <c r="AA427" s="240"/>
      <c r="AB427" s="240"/>
      <c r="AC427" s="240"/>
    </row>
    <row r="428" spans="5:29" ht="15.75" customHeight="1" x14ac:dyDescent="0.2">
      <c r="E428" s="240"/>
      <c r="F428" s="240"/>
      <c r="G428" s="240"/>
      <c r="H428" s="240"/>
      <c r="I428" s="240"/>
      <c r="J428" s="240"/>
      <c r="K428" s="240"/>
      <c r="L428" s="240"/>
      <c r="M428" s="240"/>
      <c r="N428" s="240"/>
      <c r="O428" s="240"/>
      <c r="P428" s="240"/>
      <c r="Q428" s="240"/>
      <c r="R428" s="240"/>
      <c r="S428" s="240"/>
      <c r="T428" s="240"/>
      <c r="U428" s="240"/>
      <c r="V428" s="240"/>
      <c r="W428" s="240"/>
      <c r="X428" s="240"/>
      <c r="Y428" s="240"/>
      <c r="Z428" s="240"/>
      <c r="AA428" s="240"/>
      <c r="AB428" s="240"/>
      <c r="AC428" s="240"/>
    </row>
    <row r="429" spans="5:29" ht="15.75" customHeight="1" x14ac:dyDescent="0.2">
      <c r="E429" s="240"/>
      <c r="F429" s="240"/>
      <c r="G429" s="240"/>
      <c r="H429" s="240"/>
      <c r="I429" s="240"/>
      <c r="J429" s="240"/>
      <c r="K429" s="240"/>
      <c r="L429" s="240"/>
      <c r="M429" s="240"/>
      <c r="N429" s="240"/>
      <c r="O429" s="240"/>
      <c r="P429" s="240"/>
      <c r="Q429" s="240"/>
      <c r="R429" s="240"/>
      <c r="S429" s="240"/>
      <c r="T429" s="240"/>
      <c r="U429" s="240"/>
      <c r="V429" s="240"/>
      <c r="W429" s="240"/>
      <c r="X429" s="240"/>
      <c r="Y429" s="240"/>
      <c r="Z429" s="240"/>
      <c r="AA429" s="240"/>
      <c r="AB429" s="240"/>
      <c r="AC429" s="240"/>
    </row>
    <row r="430" spans="5:29" ht="15.75" customHeight="1" x14ac:dyDescent="0.2">
      <c r="E430" s="240"/>
      <c r="F430" s="240"/>
      <c r="G430" s="240"/>
      <c r="H430" s="240"/>
      <c r="I430" s="240"/>
      <c r="J430" s="240"/>
      <c r="K430" s="240"/>
      <c r="L430" s="240"/>
      <c r="M430" s="240"/>
      <c r="N430" s="240"/>
      <c r="O430" s="240"/>
      <c r="P430" s="240"/>
      <c r="Q430" s="240"/>
      <c r="R430" s="240"/>
      <c r="S430" s="240"/>
      <c r="T430" s="240"/>
      <c r="U430" s="240"/>
      <c r="V430" s="240"/>
      <c r="W430" s="240"/>
      <c r="X430" s="240"/>
      <c r="Y430" s="240"/>
      <c r="Z430" s="240"/>
      <c r="AA430" s="240"/>
      <c r="AB430" s="240"/>
      <c r="AC430" s="240"/>
    </row>
    <row r="431" spans="5:29" ht="15.75" customHeight="1" x14ac:dyDescent="0.2">
      <c r="E431" s="240"/>
      <c r="F431" s="240"/>
      <c r="G431" s="240"/>
      <c r="H431" s="240"/>
      <c r="I431" s="240"/>
      <c r="J431" s="240"/>
      <c r="K431" s="240"/>
      <c r="L431" s="240"/>
      <c r="M431" s="240"/>
      <c r="N431" s="240"/>
      <c r="O431" s="240"/>
      <c r="P431" s="240"/>
      <c r="Q431" s="240"/>
      <c r="R431" s="240"/>
      <c r="S431" s="240"/>
      <c r="T431" s="240"/>
      <c r="U431" s="240"/>
      <c r="V431" s="240"/>
      <c r="W431" s="240"/>
      <c r="X431" s="240"/>
      <c r="Y431" s="240"/>
      <c r="Z431" s="240"/>
      <c r="AA431" s="240"/>
      <c r="AB431" s="240"/>
      <c r="AC431" s="240"/>
    </row>
    <row r="432" spans="5:29" ht="15.75" customHeight="1" x14ac:dyDescent="0.2">
      <c r="E432" s="240"/>
      <c r="F432" s="240"/>
      <c r="G432" s="240"/>
      <c r="H432" s="240"/>
      <c r="I432" s="240"/>
      <c r="J432" s="240"/>
      <c r="K432" s="240"/>
      <c r="L432" s="240"/>
      <c r="M432" s="240"/>
      <c r="N432" s="240"/>
      <c r="O432" s="240"/>
      <c r="P432" s="240"/>
      <c r="Q432" s="240"/>
      <c r="R432" s="240"/>
      <c r="S432" s="240"/>
      <c r="T432" s="240"/>
      <c r="U432" s="240"/>
      <c r="V432" s="240"/>
      <c r="W432" s="240"/>
      <c r="X432" s="240"/>
      <c r="Y432" s="240"/>
      <c r="Z432" s="240"/>
      <c r="AA432" s="240"/>
      <c r="AB432" s="240"/>
      <c r="AC432" s="240"/>
    </row>
    <row r="433" spans="5:29" ht="15.75" customHeight="1" x14ac:dyDescent="0.2">
      <c r="E433" s="240"/>
      <c r="F433" s="240"/>
      <c r="G433" s="240"/>
      <c r="H433" s="240"/>
      <c r="I433" s="240"/>
      <c r="J433" s="240"/>
      <c r="K433" s="240"/>
      <c r="L433" s="240"/>
      <c r="M433" s="240"/>
      <c r="N433" s="240"/>
      <c r="O433" s="240"/>
      <c r="P433" s="240"/>
      <c r="Q433" s="240"/>
      <c r="R433" s="240"/>
      <c r="S433" s="240"/>
      <c r="T433" s="240"/>
      <c r="U433" s="240"/>
      <c r="V433" s="240"/>
      <c r="W433" s="240"/>
      <c r="X433" s="240"/>
      <c r="Y433" s="240"/>
      <c r="Z433" s="240"/>
      <c r="AA433" s="240"/>
      <c r="AB433" s="240"/>
      <c r="AC433" s="240"/>
    </row>
    <row r="434" spans="5:29" ht="15.75" customHeight="1" x14ac:dyDescent="0.2">
      <c r="E434" s="240"/>
      <c r="F434" s="240"/>
      <c r="G434" s="240"/>
      <c r="H434" s="240"/>
      <c r="I434" s="240"/>
      <c r="J434" s="240"/>
      <c r="K434" s="240"/>
      <c r="L434" s="240"/>
      <c r="M434" s="240"/>
      <c r="N434" s="240"/>
      <c r="O434" s="240"/>
      <c r="P434" s="240"/>
      <c r="Q434" s="240"/>
      <c r="R434" s="240"/>
      <c r="S434" s="240"/>
      <c r="T434" s="240"/>
      <c r="U434" s="240"/>
      <c r="V434" s="240"/>
      <c r="W434" s="240"/>
      <c r="X434" s="240"/>
      <c r="Y434" s="240"/>
      <c r="Z434" s="240"/>
      <c r="AA434" s="240"/>
      <c r="AB434" s="240"/>
      <c r="AC434" s="240"/>
    </row>
    <row r="435" spans="5:29" ht="15.75" customHeight="1" x14ac:dyDescent="0.2">
      <c r="E435" s="240"/>
      <c r="F435" s="240"/>
      <c r="G435" s="240"/>
      <c r="H435" s="240"/>
      <c r="I435" s="240"/>
      <c r="J435" s="240"/>
      <c r="K435" s="240"/>
      <c r="L435" s="240"/>
      <c r="M435" s="240"/>
      <c r="N435" s="240"/>
      <c r="O435" s="240"/>
      <c r="P435" s="240"/>
      <c r="Q435" s="240"/>
      <c r="R435" s="240"/>
      <c r="S435" s="240"/>
      <c r="T435" s="240"/>
      <c r="U435" s="240"/>
      <c r="V435" s="240"/>
      <c r="W435" s="240"/>
      <c r="X435" s="240"/>
      <c r="Y435" s="240"/>
      <c r="Z435" s="240"/>
      <c r="AA435" s="240"/>
      <c r="AB435" s="240"/>
      <c r="AC435" s="240"/>
    </row>
    <row r="436" spans="5:29" ht="15.75" customHeight="1" x14ac:dyDescent="0.2">
      <c r="E436" s="240"/>
      <c r="F436" s="240"/>
      <c r="G436" s="240"/>
      <c r="H436" s="240"/>
      <c r="I436" s="240"/>
      <c r="J436" s="240"/>
      <c r="K436" s="240"/>
      <c r="L436" s="240"/>
      <c r="M436" s="240"/>
      <c r="N436" s="240"/>
      <c r="O436" s="240"/>
      <c r="P436" s="240"/>
      <c r="Q436" s="240"/>
      <c r="R436" s="240"/>
      <c r="S436" s="240"/>
      <c r="T436" s="240"/>
      <c r="U436" s="240"/>
      <c r="V436" s="240"/>
      <c r="W436" s="240"/>
      <c r="X436" s="240"/>
      <c r="Y436" s="240"/>
      <c r="Z436" s="240"/>
      <c r="AA436" s="240"/>
      <c r="AB436" s="240"/>
      <c r="AC436" s="240"/>
    </row>
    <row r="437" spans="5:29" ht="15.75" customHeight="1" x14ac:dyDescent="0.2">
      <c r="E437" s="240"/>
      <c r="F437" s="240"/>
      <c r="G437" s="240"/>
      <c r="H437" s="240"/>
      <c r="I437" s="240"/>
      <c r="J437" s="240"/>
      <c r="K437" s="240"/>
      <c r="L437" s="240"/>
      <c r="M437" s="240"/>
      <c r="N437" s="240"/>
      <c r="O437" s="240"/>
      <c r="P437" s="240"/>
      <c r="Q437" s="240"/>
      <c r="R437" s="240"/>
      <c r="S437" s="240"/>
      <c r="T437" s="240"/>
      <c r="U437" s="240"/>
      <c r="V437" s="240"/>
      <c r="W437" s="240"/>
      <c r="X437" s="240"/>
      <c r="Y437" s="240"/>
      <c r="Z437" s="240"/>
      <c r="AA437" s="240"/>
      <c r="AB437" s="240"/>
      <c r="AC437" s="240"/>
    </row>
    <row r="438" spans="5:29" ht="15.75" customHeight="1" x14ac:dyDescent="0.2">
      <c r="E438" s="240"/>
      <c r="F438" s="240"/>
      <c r="G438" s="240"/>
      <c r="H438" s="240"/>
      <c r="I438" s="240"/>
      <c r="J438" s="240"/>
      <c r="K438" s="240"/>
      <c r="L438" s="240"/>
      <c r="M438" s="240"/>
      <c r="N438" s="240"/>
      <c r="O438" s="240"/>
      <c r="P438" s="240"/>
      <c r="Q438" s="240"/>
      <c r="R438" s="240"/>
      <c r="S438" s="240"/>
      <c r="T438" s="240"/>
      <c r="U438" s="240"/>
      <c r="V438" s="240"/>
      <c r="W438" s="240"/>
      <c r="X438" s="240"/>
      <c r="Y438" s="240"/>
      <c r="Z438" s="240"/>
      <c r="AA438" s="240"/>
      <c r="AB438" s="240"/>
      <c r="AC438" s="240"/>
    </row>
    <row r="439" spans="5:29" ht="15.75" customHeight="1" x14ac:dyDescent="0.2">
      <c r="E439" s="240"/>
      <c r="F439" s="240"/>
      <c r="G439" s="240"/>
      <c r="H439" s="240"/>
      <c r="I439" s="240"/>
      <c r="J439" s="240"/>
      <c r="K439" s="240"/>
      <c r="L439" s="240"/>
      <c r="M439" s="240"/>
      <c r="N439" s="240"/>
      <c r="O439" s="240"/>
      <c r="P439" s="240"/>
      <c r="Q439" s="240"/>
      <c r="R439" s="240"/>
      <c r="S439" s="240"/>
      <c r="T439" s="240"/>
      <c r="U439" s="240"/>
      <c r="V439" s="240"/>
      <c r="W439" s="240"/>
      <c r="X439" s="240"/>
      <c r="Y439" s="240"/>
      <c r="Z439" s="240"/>
      <c r="AA439" s="240"/>
      <c r="AB439" s="240"/>
      <c r="AC439" s="240"/>
    </row>
    <row r="440" spans="5:29" ht="15.75" customHeight="1" x14ac:dyDescent="0.2">
      <c r="E440" s="240"/>
      <c r="F440" s="240"/>
      <c r="G440" s="240"/>
      <c r="H440" s="240"/>
      <c r="I440" s="240"/>
      <c r="J440" s="240"/>
      <c r="K440" s="240"/>
      <c r="L440" s="240"/>
      <c r="M440" s="240"/>
      <c r="N440" s="240"/>
      <c r="O440" s="240"/>
      <c r="P440" s="240"/>
      <c r="Q440" s="240"/>
      <c r="R440" s="240"/>
      <c r="S440" s="240"/>
      <c r="T440" s="240"/>
      <c r="U440" s="240"/>
      <c r="V440" s="240"/>
      <c r="W440" s="240"/>
      <c r="X440" s="240"/>
      <c r="Y440" s="240"/>
      <c r="Z440" s="240"/>
      <c r="AA440" s="240"/>
      <c r="AB440" s="240"/>
      <c r="AC440" s="240"/>
    </row>
    <row r="441" spans="5:29" ht="15.75" customHeight="1" x14ac:dyDescent="0.2">
      <c r="E441" s="240"/>
      <c r="F441" s="240"/>
      <c r="G441" s="240"/>
      <c r="H441" s="240"/>
      <c r="I441" s="240"/>
      <c r="J441" s="240"/>
      <c r="K441" s="240"/>
      <c r="L441" s="240"/>
      <c r="M441" s="240"/>
      <c r="N441" s="240"/>
      <c r="O441" s="240"/>
      <c r="P441" s="240"/>
      <c r="Q441" s="240"/>
      <c r="R441" s="240"/>
      <c r="S441" s="240"/>
      <c r="T441" s="240"/>
      <c r="U441" s="240"/>
      <c r="V441" s="240"/>
      <c r="W441" s="240"/>
      <c r="X441" s="240"/>
      <c r="Y441" s="240"/>
      <c r="Z441" s="240"/>
      <c r="AA441" s="240"/>
      <c r="AB441" s="240"/>
      <c r="AC441" s="240"/>
    </row>
    <row r="442" spans="5:29" ht="15.75" customHeight="1" x14ac:dyDescent="0.2">
      <c r="E442" s="240"/>
      <c r="F442" s="240"/>
      <c r="G442" s="240"/>
      <c r="H442" s="240"/>
      <c r="I442" s="240"/>
      <c r="J442" s="240"/>
      <c r="K442" s="240"/>
      <c r="L442" s="240"/>
      <c r="M442" s="240"/>
      <c r="N442" s="240"/>
      <c r="O442" s="240"/>
      <c r="P442" s="240"/>
      <c r="Q442" s="240"/>
      <c r="R442" s="240"/>
      <c r="S442" s="240"/>
      <c r="T442" s="240"/>
      <c r="U442" s="240"/>
      <c r="V442" s="240"/>
      <c r="W442" s="240"/>
      <c r="X442" s="240"/>
      <c r="Y442" s="240"/>
      <c r="Z442" s="240"/>
      <c r="AA442" s="240"/>
      <c r="AB442" s="240"/>
      <c r="AC442" s="240"/>
    </row>
    <row r="443" spans="5:29" ht="15.75" customHeight="1" x14ac:dyDescent="0.2">
      <c r="E443" s="240"/>
      <c r="F443" s="240"/>
      <c r="G443" s="240"/>
      <c r="H443" s="240"/>
      <c r="I443" s="240"/>
      <c r="J443" s="240"/>
      <c r="K443" s="240"/>
      <c r="L443" s="240"/>
      <c r="M443" s="240"/>
      <c r="N443" s="240"/>
      <c r="O443" s="240"/>
      <c r="P443" s="240"/>
      <c r="Q443" s="240"/>
      <c r="R443" s="240"/>
      <c r="S443" s="240"/>
      <c r="T443" s="240"/>
      <c r="U443" s="240"/>
      <c r="V443" s="240"/>
      <c r="W443" s="240"/>
      <c r="X443" s="240"/>
      <c r="Y443" s="240"/>
      <c r="Z443" s="240"/>
      <c r="AA443" s="240"/>
      <c r="AB443" s="240"/>
      <c r="AC443" s="240"/>
    </row>
    <row r="444" spans="5:29" ht="15.75" customHeight="1" x14ac:dyDescent="0.2">
      <c r="E444" s="240"/>
      <c r="F444" s="240"/>
      <c r="G444" s="240"/>
      <c r="H444" s="240"/>
      <c r="I444" s="240"/>
      <c r="J444" s="240"/>
      <c r="K444" s="240"/>
      <c r="L444" s="240"/>
      <c r="M444" s="240"/>
      <c r="N444" s="240"/>
      <c r="O444" s="240"/>
      <c r="P444" s="240"/>
      <c r="Q444" s="240"/>
      <c r="R444" s="240"/>
      <c r="S444" s="240"/>
      <c r="T444" s="240"/>
      <c r="U444" s="240"/>
      <c r="V444" s="240"/>
      <c r="W444" s="240"/>
      <c r="X444" s="240"/>
      <c r="Y444" s="240"/>
      <c r="Z444" s="240"/>
      <c r="AA444" s="240"/>
      <c r="AB444" s="240"/>
      <c r="AC444" s="240"/>
    </row>
    <row r="445" spans="5:29" ht="15.75" customHeight="1" x14ac:dyDescent="0.2">
      <c r="E445" s="240"/>
      <c r="F445" s="240"/>
      <c r="G445" s="240"/>
      <c r="H445" s="240"/>
      <c r="I445" s="240"/>
      <c r="J445" s="240"/>
      <c r="K445" s="240"/>
      <c r="L445" s="240"/>
      <c r="M445" s="240"/>
      <c r="N445" s="240"/>
      <c r="O445" s="240"/>
      <c r="P445" s="240"/>
      <c r="Q445" s="240"/>
      <c r="R445" s="240"/>
      <c r="S445" s="240"/>
      <c r="T445" s="240"/>
      <c r="U445" s="240"/>
      <c r="V445" s="240"/>
      <c r="W445" s="240"/>
      <c r="X445" s="240"/>
      <c r="Y445" s="240"/>
      <c r="Z445" s="240"/>
      <c r="AA445" s="240"/>
      <c r="AB445" s="240"/>
      <c r="AC445" s="240"/>
    </row>
    <row r="446" spans="5:29" ht="15.75" customHeight="1" x14ac:dyDescent="0.2">
      <c r="E446" s="240"/>
      <c r="F446" s="240"/>
      <c r="G446" s="240"/>
      <c r="H446" s="240"/>
      <c r="I446" s="240"/>
      <c r="J446" s="240"/>
      <c r="K446" s="240"/>
      <c r="L446" s="240"/>
      <c r="M446" s="240"/>
      <c r="N446" s="240"/>
      <c r="O446" s="240"/>
      <c r="P446" s="240"/>
      <c r="Q446" s="240"/>
      <c r="R446" s="240"/>
      <c r="S446" s="240"/>
      <c r="T446" s="240"/>
      <c r="U446" s="240"/>
      <c r="V446" s="240"/>
      <c r="W446" s="240"/>
      <c r="X446" s="240"/>
      <c r="Y446" s="240"/>
      <c r="Z446" s="240"/>
      <c r="AA446" s="240"/>
      <c r="AB446" s="240"/>
      <c r="AC446" s="240"/>
    </row>
    <row r="447" spans="5:29" ht="15.75" customHeight="1" x14ac:dyDescent="0.2">
      <c r="E447" s="240"/>
      <c r="F447" s="240"/>
      <c r="G447" s="240"/>
      <c r="H447" s="240"/>
      <c r="I447" s="240"/>
      <c r="J447" s="240"/>
      <c r="K447" s="240"/>
      <c r="L447" s="240"/>
      <c r="M447" s="240"/>
      <c r="N447" s="240"/>
      <c r="O447" s="240"/>
      <c r="P447" s="240"/>
      <c r="Q447" s="240"/>
      <c r="R447" s="240"/>
      <c r="S447" s="240"/>
      <c r="T447" s="240"/>
      <c r="U447" s="240"/>
      <c r="V447" s="240"/>
      <c r="W447" s="240"/>
      <c r="X447" s="240"/>
      <c r="Y447" s="240"/>
      <c r="Z447" s="240"/>
      <c r="AA447" s="240"/>
      <c r="AB447" s="240"/>
      <c r="AC447" s="240"/>
    </row>
    <row r="448" spans="5:29" ht="15.75" customHeight="1" x14ac:dyDescent="0.2">
      <c r="E448" s="240"/>
      <c r="F448" s="240"/>
      <c r="G448" s="240"/>
      <c r="H448" s="240"/>
      <c r="I448" s="240"/>
      <c r="J448" s="240"/>
      <c r="K448" s="240"/>
      <c r="L448" s="240"/>
      <c r="M448" s="240"/>
      <c r="N448" s="240"/>
      <c r="O448" s="240"/>
      <c r="P448" s="240"/>
      <c r="Q448" s="240"/>
      <c r="R448" s="240"/>
      <c r="S448" s="240"/>
      <c r="T448" s="240"/>
      <c r="U448" s="240"/>
      <c r="V448" s="240"/>
      <c r="W448" s="240"/>
      <c r="X448" s="240"/>
      <c r="Y448" s="240"/>
      <c r="Z448" s="240"/>
      <c r="AA448" s="240"/>
      <c r="AB448" s="240"/>
      <c r="AC448" s="240"/>
    </row>
    <row r="449" spans="5:29" ht="15.75" customHeight="1" x14ac:dyDescent="0.2">
      <c r="E449" s="240"/>
      <c r="F449" s="240"/>
      <c r="G449" s="240"/>
      <c r="H449" s="240"/>
      <c r="I449" s="240"/>
      <c r="J449" s="240"/>
      <c r="K449" s="240"/>
      <c r="L449" s="240"/>
      <c r="M449" s="240"/>
      <c r="N449" s="240"/>
      <c r="O449" s="240"/>
      <c r="P449" s="240"/>
      <c r="Q449" s="240"/>
      <c r="R449" s="240"/>
      <c r="S449" s="240"/>
      <c r="T449" s="240"/>
      <c r="U449" s="240"/>
      <c r="V449" s="240"/>
      <c r="W449" s="240"/>
      <c r="X449" s="240"/>
      <c r="Y449" s="240"/>
      <c r="Z449" s="240"/>
      <c r="AA449" s="240"/>
      <c r="AB449" s="240"/>
      <c r="AC449" s="240"/>
    </row>
    <row r="450" spans="5:29" ht="15.75" customHeight="1" x14ac:dyDescent="0.2">
      <c r="E450" s="240"/>
      <c r="F450" s="240"/>
      <c r="G450" s="240"/>
      <c r="H450" s="240"/>
      <c r="I450" s="240"/>
      <c r="J450" s="240"/>
      <c r="K450" s="240"/>
      <c r="L450" s="240"/>
      <c r="M450" s="240"/>
      <c r="N450" s="240"/>
      <c r="O450" s="240"/>
      <c r="P450" s="240"/>
      <c r="Q450" s="240"/>
      <c r="R450" s="240"/>
      <c r="S450" s="240"/>
      <c r="T450" s="240"/>
      <c r="U450" s="240"/>
      <c r="V450" s="240"/>
      <c r="W450" s="240"/>
      <c r="X450" s="240"/>
      <c r="Y450" s="240"/>
      <c r="Z450" s="240"/>
      <c r="AA450" s="240"/>
      <c r="AB450" s="240"/>
      <c r="AC450" s="240"/>
    </row>
    <row r="451" spans="5:29" ht="15.75" customHeight="1" x14ac:dyDescent="0.2">
      <c r="E451" s="240"/>
      <c r="F451" s="240"/>
      <c r="G451" s="240"/>
      <c r="H451" s="240"/>
      <c r="I451" s="240"/>
      <c r="J451" s="240"/>
      <c r="K451" s="240"/>
      <c r="L451" s="240"/>
      <c r="M451" s="240"/>
      <c r="N451" s="240"/>
      <c r="O451" s="240"/>
      <c r="P451" s="240"/>
      <c r="Q451" s="240"/>
      <c r="R451" s="240"/>
      <c r="S451" s="240"/>
      <c r="T451" s="240"/>
      <c r="U451" s="240"/>
      <c r="V451" s="240"/>
      <c r="W451" s="240"/>
      <c r="X451" s="240"/>
      <c r="Y451" s="240"/>
      <c r="Z451" s="240"/>
      <c r="AA451" s="240"/>
      <c r="AB451" s="240"/>
      <c r="AC451" s="240"/>
    </row>
    <row r="452" spans="5:29" ht="15.75" customHeight="1" x14ac:dyDescent="0.2">
      <c r="E452" s="240"/>
      <c r="F452" s="240"/>
      <c r="G452" s="240"/>
      <c r="H452" s="240"/>
      <c r="I452" s="240"/>
      <c r="J452" s="240"/>
      <c r="K452" s="240"/>
      <c r="L452" s="240"/>
      <c r="M452" s="240"/>
      <c r="N452" s="240"/>
      <c r="O452" s="240"/>
      <c r="P452" s="240"/>
      <c r="Q452" s="240"/>
      <c r="R452" s="240"/>
      <c r="S452" s="240"/>
      <c r="T452" s="240"/>
      <c r="U452" s="240"/>
      <c r="V452" s="240"/>
      <c r="W452" s="240"/>
      <c r="X452" s="240"/>
      <c r="Y452" s="240"/>
      <c r="Z452" s="240"/>
      <c r="AA452" s="240"/>
      <c r="AB452" s="240"/>
      <c r="AC452" s="240"/>
    </row>
    <row r="453" spans="5:29" ht="15.75" customHeight="1" x14ac:dyDescent="0.2">
      <c r="E453" s="240"/>
      <c r="F453" s="240"/>
      <c r="G453" s="240"/>
      <c r="H453" s="240"/>
      <c r="I453" s="240"/>
      <c r="J453" s="240"/>
      <c r="K453" s="240"/>
      <c r="L453" s="240"/>
      <c r="M453" s="240"/>
      <c r="N453" s="240"/>
      <c r="O453" s="240"/>
      <c r="P453" s="240"/>
      <c r="Q453" s="240"/>
      <c r="R453" s="240"/>
      <c r="S453" s="240"/>
      <c r="T453" s="240"/>
      <c r="U453" s="240"/>
      <c r="V453" s="240"/>
      <c r="W453" s="240"/>
      <c r="X453" s="240"/>
      <c r="Y453" s="240"/>
      <c r="Z453" s="240"/>
      <c r="AA453" s="240"/>
      <c r="AB453" s="240"/>
      <c r="AC453" s="240"/>
    </row>
    <row r="454" spans="5:29" ht="15.75" customHeight="1" x14ac:dyDescent="0.2">
      <c r="E454" s="240"/>
      <c r="F454" s="240"/>
      <c r="G454" s="240"/>
      <c r="H454" s="240"/>
      <c r="I454" s="240"/>
      <c r="J454" s="240"/>
      <c r="K454" s="240"/>
      <c r="L454" s="240"/>
      <c r="M454" s="240"/>
      <c r="N454" s="240"/>
      <c r="O454" s="240"/>
      <c r="P454" s="240"/>
      <c r="Q454" s="240"/>
      <c r="R454" s="240"/>
      <c r="S454" s="240"/>
      <c r="T454" s="240"/>
      <c r="U454" s="240"/>
      <c r="V454" s="240"/>
      <c r="W454" s="240"/>
      <c r="X454" s="240"/>
      <c r="Y454" s="240"/>
      <c r="Z454" s="240"/>
      <c r="AA454" s="240"/>
      <c r="AB454" s="240"/>
      <c r="AC454" s="240"/>
    </row>
    <row r="455" spans="5:29" ht="15.75" customHeight="1" x14ac:dyDescent="0.2">
      <c r="E455" s="240"/>
      <c r="F455" s="240"/>
      <c r="G455" s="240"/>
      <c r="H455" s="240"/>
      <c r="I455" s="240"/>
      <c r="J455" s="240"/>
      <c r="K455" s="240"/>
      <c r="L455" s="240"/>
      <c r="M455" s="240"/>
      <c r="N455" s="240"/>
      <c r="O455" s="240"/>
      <c r="P455" s="240"/>
      <c r="Q455" s="240"/>
      <c r="R455" s="240"/>
      <c r="S455" s="240"/>
      <c r="T455" s="240"/>
      <c r="U455" s="240"/>
      <c r="V455" s="240"/>
      <c r="W455" s="240"/>
      <c r="X455" s="240"/>
      <c r="Y455" s="240"/>
      <c r="Z455" s="240"/>
      <c r="AA455" s="240"/>
      <c r="AB455" s="240"/>
      <c r="AC455" s="240"/>
    </row>
    <row r="456" spans="5:29" ht="15.75" customHeight="1" x14ac:dyDescent="0.2">
      <c r="E456" s="240"/>
      <c r="F456" s="240"/>
      <c r="G456" s="240"/>
      <c r="H456" s="240"/>
      <c r="I456" s="240"/>
      <c r="J456" s="240"/>
      <c r="K456" s="240"/>
      <c r="L456" s="240"/>
      <c r="M456" s="240"/>
      <c r="N456" s="240"/>
      <c r="O456" s="240"/>
      <c r="P456" s="240"/>
      <c r="Q456" s="240"/>
      <c r="R456" s="240"/>
      <c r="S456" s="240"/>
      <c r="T456" s="240"/>
      <c r="U456" s="240"/>
      <c r="V456" s="240"/>
      <c r="W456" s="240"/>
      <c r="X456" s="240"/>
      <c r="Y456" s="240"/>
      <c r="Z456" s="240"/>
      <c r="AA456" s="240"/>
      <c r="AB456" s="240"/>
      <c r="AC456" s="240"/>
    </row>
    <row r="457" spans="5:29" ht="15.75" customHeight="1" x14ac:dyDescent="0.2">
      <c r="E457" s="240"/>
      <c r="F457" s="240"/>
      <c r="G457" s="240"/>
      <c r="H457" s="240"/>
      <c r="I457" s="240"/>
      <c r="J457" s="240"/>
      <c r="K457" s="240"/>
      <c r="L457" s="240"/>
      <c r="M457" s="240"/>
      <c r="N457" s="240"/>
      <c r="O457" s="240"/>
      <c r="P457" s="240"/>
      <c r="Q457" s="240"/>
      <c r="R457" s="240"/>
      <c r="S457" s="240"/>
      <c r="T457" s="240"/>
      <c r="U457" s="240"/>
      <c r="V457" s="240"/>
      <c r="W457" s="240"/>
      <c r="X457" s="240"/>
      <c r="Y457" s="240"/>
      <c r="Z457" s="240"/>
      <c r="AA457" s="240"/>
      <c r="AB457" s="240"/>
      <c r="AC457" s="240"/>
    </row>
    <row r="458" spans="5:29" ht="15.75" customHeight="1" x14ac:dyDescent="0.2">
      <c r="E458" s="240"/>
      <c r="F458" s="240"/>
      <c r="G458" s="240"/>
      <c r="H458" s="240"/>
      <c r="I458" s="240"/>
      <c r="J458" s="240"/>
      <c r="K458" s="240"/>
      <c r="L458" s="240"/>
      <c r="M458" s="240"/>
      <c r="N458" s="240"/>
      <c r="O458" s="240"/>
      <c r="P458" s="240"/>
      <c r="Q458" s="240"/>
      <c r="R458" s="240"/>
      <c r="S458" s="240"/>
      <c r="T458" s="240"/>
      <c r="U458" s="240"/>
      <c r="V458" s="240"/>
      <c r="W458" s="240"/>
      <c r="X458" s="240"/>
      <c r="Y458" s="240"/>
      <c r="Z458" s="240"/>
      <c r="AA458" s="240"/>
      <c r="AB458" s="240"/>
      <c r="AC458" s="240"/>
    </row>
    <row r="459" spans="5:29" ht="15.75" customHeight="1" x14ac:dyDescent="0.2">
      <c r="E459" s="240"/>
      <c r="F459" s="240"/>
      <c r="G459" s="240"/>
      <c r="H459" s="240"/>
      <c r="I459" s="240"/>
      <c r="J459" s="240"/>
      <c r="K459" s="240"/>
      <c r="L459" s="240"/>
      <c r="M459" s="240"/>
      <c r="N459" s="240"/>
      <c r="O459" s="240"/>
      <c r="P459" s="240"/>
      <c r="Q459" s="240"/>
      <c r="R459" s="240"/>
      <c r="S459" s="240"/>
      <c r="T459" s="240"/>
      <c r="U459" s="240"/>
      <c r="V459" s="240"/>
      <c r="W459" s="240"/>
      <c r="X459" s="240"/>
      <c r="Y459" s="240"/>
      <c r="Z459" s="240"/>
      <c r="AA459" s="240"/>
      <c r="AB459" s="240"/>
      <c r="AC459" s="240"/>
    </row>
    <row r="460" spans="5:29" ht="15.75" customHeight="1" x14ac:dyDescent="0.2">
      <c r="E460" s="240"/>
      <c r="F460" s="240"/>
      <c r="G460" s="240"/>
      <c r="H460" s="240"/>
      <c r="I460" s="240"/>
      <c r="J460" s="240"/>
      <c r="K460" s="240"/>
      <c r="L460" s="240"/>
      <c r="M460" s="240"/>
      <c r="N460" s="240"/>
      <c r="O460" s="240"/>
      <c r="P460" s="240"/>
      <c r="Q460" s="240"/>
      <c r="R460" s="240"/>
      <c r="S460" s="240"/>
      <c r="T460" s="240"/>
      <c r="U460" s="240"/>
      <c r="V460" s="240"/>
      <c r="W460" s="240"/>
      <c r="X460" s="240"/>
      <c r="Y460" s="240"/>
      <c r="Z460" s="240"/>
      <c r="AA460" s="240"/>
      <c r="AB460" s="240"/>
      <c r="AC460" s="240"/>
    </row>
    <row r="461" spans="5:29" ht="15.75" customHeight="1" x14ac:dyDescent="0.2"/>
    <row r="462" spans="5:29" ht="15.75" customHeight="1" x14ac:dyDescent="0.2"/>
    <row r="463" spans="5:29" ht="15.75" customHeight="1" x14ac:dyDescent="0.2"/>
    <row r="464" spans="5:29"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outlinePr summaryBelow="0" summaryRight="0"/>
  </sheetPr>
  <dimension ref="A1:AC1000"/>
  <sheetViews>
    <sheetView workbookViewId="0">
      <selection sqref="A1:AC1000"/>
    </sheetView>
  </sheetViews>
  <sheetFormatPr defaultColWidth="12.5703125" defaultRowHeight="15" customHeight="1" x14ac:dyDescent="0.2"/>
  <cols>
    <col min="1" max="6" width="12.5703125" customWidth="1"/>
  </cols>
  <sheetData>
    <row r="1" spans="1:29" ht="15.75" customHeight="1" x14ac:dyDescent="0.2"/>
    <row r="2" spans="1:29" ht="15.75" customHeight="1" x14ac:dyDescent="0.2"/>
    <row r="3" spans="1:29" ht="15.75" customHeight="1" x14ac:dyDescent="0.25">
      <c r="A3" s="97"/>
      <c r="B3" s="97"/>
      <c r="C3" s="97"/>
      <c r="D3" s="97"/>
      <c r="E3" s="177" t="s">
        <v>6</v>
      </c>
      <c r="F3" s="181" t="s">
        <v>11</v>
      </c>
      <c r="G3" s="185" t="s">
        <v>7</v>
      </c>
      <c r="H3" s="188" t="s">
        <v>8</v>
      </c>
      <c r="I3" s="181" t="s">
        <v>12</v>
      </c>
      <c r="J3" s="171"/>
      <c r="K3" s="171"/>
      <c r="L3" s="171"/>
      <c r="M3" s="171"/>
      <c r="N3" s="171"/>
      <c r="O3" s="171"/>
      <c r="P3" s="171"/>
      <c r="Q3" s="171"/>
      <c r="R3" s="171"/>
      <c r="S3" s="171"/>
      <c r="T3" s="171"/>
      <c r="U3" s="171"/>
      <c r="V3" s="171"/>
      <c r="W3" s="171"/>
      <c r="X3" s="171"/>
      <c r="Y3" s="171"/>
      <c r="Z3" s="171"/>
      <c r="AA3" s="171"/>
      <c r="AB3" s="171"/>
      <c r="AC3" s="171"/>
    </row>
    <row r="4" spans="1:29" ht="15.75" customHeight="1" x14ac:dyDescent="0.25">
      <c r="A4" s="97"/>
      <c r="C4" s="97"/>
      <c r="D4" s="97"/>
      <c r="E4" s="234">
        <v>12819</v>
      </c>
      <c r="F4" s="182">
        <v>13578</v>
      </c>
      <c r="G4" s="37">
        <v>12817</v>
      </c>
      <c r="H4" s="189">
        <v>12818</v>
      </c>
      <c r="I4" s="182">
        <v>13579</v>
      </c>
      <c r="J4" s="171"/>
      <c r="K4" s="171"/>
      <c r="L4" s="171"/>
      <c r="M4" s="171"/>
      <c r="N4" s="171"/>
      <c r="O4" s="171"/>
      <c r="P4" s="171"/>
      <c r="Q4" s="171"/>
      <c r="R4" s="171"/>
      <c r="S4" s="171"/>
      <c r="T4" s="171"/>
      <c r="U4" s="171"/>
      <c r="V4" s="171"/>
      <c r="W4" s="171"/>
      <c r="X4" s="171"/>
      <c r="Y4" s="171"/>
      <c r="Z4" s="171"/>
      <c r="AA4" s="171"/>
      <c r="AB4" s="171"/>
      <c r="AC4" s="171"/>
    </row>
    <row r="5" spans="1:29" ht="15.75" customHeight="1" x14ac:dyDescent="0.25">
      <c r="A5" s="253" t="s">
        <v>360</v>
      </c>
      <c r="B5" s="249">
        <v>46235</v>
      </c>
      <c r="C5" s="246">
        <v>0.91666666666666663</v>
      </c>
      <c r="D5" s="246">
        <v>0.95833333333333337</v>
      </c>
      <c r="E5" s="171">
        <v>48.950000000186265</v>
      </c>
      <c r="F5" s="171">
        <v>17.34404761902988</v>
      </c>
      <c r="G5" s="171">
        <v>0</v>
      </c>
      <c r="H5" s="171">
        <v>0</v>
      </c>
      <c r="I5" s="171">
        <v>0</v>
      </c>
      <c r="J5" s="171"/>
      <c r="K5" s="171"/>
      <c r="L5" s="171"/>
      <c r="M5" s="171"/>
      <c r="N5" s="171"/>
      <c r="O5" s="171"/>
      <c r="P5" s="171"/>
      <c r="Q5" s="171"/>
      <c r="R5" s="171"/>
      <c r="S5" s="171"/>
      <c r="T5" s="171"/>
      <c r="U5" s="171"/>
      <c r="V5" s="171"/>
      <c r="W5" s="171"/>
      <c r="X5" s="171"/>
      <c r="Y5" s="171"/>
      <c r="Z5" s="171"/>
      <c r="AA5" s="171"/>
      <c r="AB5" s="171"/>
      <c r="AC5" s="171"/>
    </row>
    <row r="6" spans="1:29" ht="15.75" customHeight="1" x14ac:dyDescent="0.25">
      <c r="A6" s="253" t="s">
        <v>361</v>
      </c>
      <c r="B6" s="249">
        <v>46235</v>
      </c>
      <c r="C6" s="246">
        <v>0.95833333333333337</v>
      </c>
      <c r="D6" s="246">
        <v>0</v>
      </c>
      <c r="E6" s="171">
        <v>42.474999999627471</v>
      </c>
      <c r="F6" s="171">
        <v>23.094768170383759</v>
      </c>
      <c r="G6" s="171">
        <v>0</v>
      </c>
      <c r="H6" s="171">
        <v>0</v>
      </c>
      <c r="I6" s="171">
        <v>0</v>
      </c>
      <c r="J6" s="171"/>
      <c r="K6" s="171"/>
      <c r="L6" s="171"/>
      <c r="M6" s="171"/>
      <c r="N6" s="171"/>
      <c r="O6" s="171"/>
      <c r="P6" s="171"/>
      <c r="Q6" s="171"/>
      <c r="R6" s="171"/>
      <c r="S6" s="171"/>
      <c r="T6" s="171"/>
      <c r="U6" s="171"/>
      <c r="V6" s="171"/>
      <c r="W6" s="171"/>
      <c r="X6" s="171"/>
      <c r="Y6" s="171"/>
      <c r="Z6" s="171"/>
      <c r="AA6" s="171"/>
      <c r="AB6" s="171"/>
      <c r="AC6" s="171"/>
    </row>
    <row r="7" spans="1:29" ht="15.75" customHeight="1" x14ac:dyDescent="0.25">
      <c r="A7" s="253" t="s">
        <v>362</v>
      </c>
      <c r="B7" s="249">
        <v>46235</v>
      </c>
      <c r="C7" s="246">
        <v>0</v>
      </c>
      <c r="D7" s="246">
        <v>4.1666666666666664E-2</v>
      </c>
      <c r="E7" s="171">
        <v>43.400000000372529</v>
      </c>
      <c r="F7" s="171">
        <v>36.722081646439619</v>
      </c>
      <c r="G7" s="171">
        <v>0</v>
      </c>
      <c r="H7" s="171">
        <v>0</v>
      </c>
      <c r="I7" s="171">
        <v>0</v>
      </c>
      <c r="J7" s="171"/>
      <c r="K7" s="171"/>
      <c r="L7" s="171"/>
      <c r="M7" s="171"/>
      <c r="N7" s="171"/>
      <c r="O7" s="171"/>
      <c r="P7" s="171"/>
      <c r="Q7" s="171"/>
      <c r="R7" s="171"/>
      <c r="S7" s="171"/>
      <c r="T7" s="171"/>
      <c r="U7" s="171"/>
      <c r="V7" s="171"/>
      <c r="W7" s="171"/>
      <c r="X7" s="171"/>
      <c r="Y7" s="171"/>
      <c r="Z7" s="171"/>
      <c r="AA7" s="171"/>
      <c r="AB7" s="171"/>
      <c r="AC7" s="171"/>
    </row>
    <row r="8" spans="1:29" ht="15.75" customHeight="1" x14ac:dyDescent="0.25">
      <c r="A8" s="253" t="s">
        <v>363</v>
      </c>
      <c r="B8" s="249">
        <v>46235</v>
      </c>
      <c r="C8" s="246">
        <v>4.1666666666666664E-2</v>
      </c>
      <c r="D8" s="246">
        <v>8.3333333333333329E-2</v>
      </c>
      <c r="E8" s="171">
        <v>41.433064516168088</v>
      </c>
      <c r="F8" s="171">
        <v>19.333919637254439</v>
      </c>
      <c r="G8" s="171">
        <v>0</v>
      </c>
      <c r="H8" s="171">
        <v>0</v>
      </c>
      <c r="I8" s="171">
        <v>0</v>
      </c>
      <c r="J8" s="171"/>
      <c r="K8" s="171"/>
      <c r="L8" s="171"/>
      <c r="M8" s="171"/>
      <c r="N8" s="171"/>
      <c r="O8" s="171"/>
      <c r="P8" s="171"/>
      <c r="Q8" s="171"/>
      <c r="R8" s="171"/>
      <c r="S8" s="171"/>
      <c r="T8" s="171"/>
      <c r="U8" s="171"/>
      <c r="V8" s="171"/>
      <c r="W8" s="171"/>
      <c r="X8" s="171"/>
      <c r="Y8" s="171"/>
      <c r="Z8" s="171"/>
      <c r="AA8" s="171"/>
      <c r="AB8" s="171"/>
      <c r="AC8" s="171"/>
    </row>
    <row r="9" spans="1:29" ht="15.75" customHeight="1" x14ac:dyDescent="0.25">
      <c r="A9" s="253" t="s">
        <v>364</v>
      </c>
      <c r="B9" s="249">
        <v>46235</v>
      </c>
      <c r="C9" s="246">
        <v>8.3333333333333329E-2</v>
      </c>
      <c r="D9" s="246">
        <v>0.125</v>
      </c>
      <c r="E9" s="171">
        <v>41.454435483552516</v>
      </c>
      <c r="F9" s="171">
        <v>27.00362042686902</v>
      </c>
      <c r="G9" s="171">
        <v>0</v>
      </c>
      <c r="H9" s="171">
        <v>0</v>
      </c>
      <c r="I9" s="171">
        <v>0</v>
      </c>
      <c r="J9" s="171"/>
      <c r="K9" s="171"/>
      <c r="L9" s="171"/>
      <c r="M9" s="171"/>
      <c r="N9" s="171"/>
      <c r="O9" s="171"/>
      <c r="P9" s="171"/>
      <c r="Q9" s="171"/>
      <c r="R9" s="171"/>
      <c r="S9" s="171"/>
      <c r="T9" s="171"/>
      <c r="U9" s="171"/>
      <c r="V9" s="171"/>
      <c r="W9" s="171"/>
      <c r="X9" s="171"/>
      <c r="Y9" s="171"/>
      <c r="Z9" s="171"/>
      <c r="AA9" s="171"/>
      <c r="AB9" s="171"/>
      <c r="AC9" s="171"/>
    </row>
    <row r="10" spans="1:29" ht="15.75" customHeight="1" x14ac:dyDescent="0.25">
      <c r="A10" s="253" t="s">
        <v>365</v>
      </c>
      <c r="B10" s="249">
        <v>46235</v>
      </c>
      <c r="C10" s="246">
        <v>0.125</v>
      </c>
      <c r="D10" s="246">
        <v>0.16666666666666666</v>
      </c>
      <c r="E10" s="171">
        <v>39.304166666697711</v>
      </c>
      <c r="F10" s="171">
        <v>23.550000000046566</v>
      </c>
      <c r="G10" s="171">
        <v>0</v>
      </c>
      <c r="H10" s="171">
        <v>0</v>
      </c>
      <c r="I10" s="171">
        <v>0</v>
      </c>
      <c r="J10" s="171"/>
      <c r="K10" s="171"/>
      <c r="L10" s="171"/>
      <c r="M10" s="171"/>
      <c r="N10" s="171"/>
      <c r="O10" s="171"/>
      <c r="P10" s="171"/>
      <c r="Q10" s="171"/>
      <c r="R10" s="171"/>
      <c r="S10" s="171"/>
      <c r="T10" s="171"/>
      <c r="U10" s="171"/>
      <c r="V10" s="171"/>
      <c r="W10" s="171"/>
      <c r="X10" s="171"/>
      <c r="Y10" s="171"/>
      <c r="Z10" s="171"/>
      <c r="AA10" s="171"/>
      <c r="AB10" s="171"/>
      <c r="AC10" s="171"/>
    </row>
    <row r="11" spans="1:29" ht="15.75" customHeight="1" x14ac:dyDescent="0.25">
      <c r="A11" s="253" t="s">
        <v>366</v>
      </c>
      <c r="B11" s="249">
        <v>46235</v>
      </c>
      <c r="C11" s="246">
        <v>0.16666666666666666</v>
      </c>
      <c r="D11" s="246">
        <v>0.20833333333333334</v>
      </c>
      <c r="E11" s="171">
        <v>38.583333333488554</v>
      </c>
      <c r="F11" s="171">
        <v>15.8046875</v>
      </c>
      <c r="G11" s="171">
        <v>0</v>
      </c>
      <c r="H11" s="171">
        <v>0</v>
      </c>
      <c r="I11" s="171">
        <v>0</v>
      </c>
      <c r="J11" s="171"/>
      <c r="K11" s="171"/>
      <c r="L11" s="171"/>
      <c r="M11" s="171"/>
      <c r="N11" s="171"/>
      <c r="O11" s="171"/>
      <c r="P11" s="171"/>
      <c r="Q11" s="171"/>
      <c r="R11" s="171"/>
      <c r="S11" s="171"/>
      <c r="T11" s="171"/>
      <c r="U11" s="171"/>
      <c r="V11" s="171"/>
      <c r="W11" s="171"/>
      <c r="X11" s="171"/>
      <c r="Y11" s="171"/>
      <c r="Z11" s="171"/>
      <c r="AA11" s="171"/>
      <c r="AB11" s="171"/>
      <c r="AC11" s="171"/>
    </row>
    <row r="12" spans="1:29" ht="15.75" customHeight="1" x14ac:dyDescent="0.25">
      <c r="A12" s="253" t="s">
        <v>367</v>
      </c>
      <c r="B12" s="249">
        <v>46235</v>
      </c>
      <c r="C12" s="246">
        <v>0.20833333333333334</v>
      </c>
      <c r="D12" s="246">
        <v>0.25</v>
      </c>
      <c r="E12" s="171">
        <v>39.432786885183305</v>
      </c>
      <c r="F12" s="171">
        <v>13.246874999953434</v>
      </c>
      <c r="G12" s="171">
        <v>0</v>
      </c>
      <c r="H12" s="171">
        <v>0</v>
      </c>
      <c r="I12" s="171">
        <v>0</v>
      </c>
      <c r="J12" s="171"/>
      <c r="K12" s="171"/>
      <c r="L12" s="171"/>
      <c r="M12" s="171"/>
      <c r="N12" s="171"/>
      <c r="O12" s="171"/>
      <c r="P12" s="171"/>
      <c r="Q12" s="171"/>
      <c r="R12" s="171"/>
      <c r="S12" s="171"/>
      <c r="T12" s="171"/>
      <c r="U12" s="171"/>
      <c r="V12" s="171"/>
      <c r="W12" s="171"/>
      <c r="X12" s="171"/>
      <c r="Y12" s="171"/>
      <c r="Z12" s="171"/>
      <c r="AA12" s="171"/>
      <c r="AB12" s="171"/>
      <c r="AC12" s="171"/>
    </row>
    <row r="13" spans="1:29" ht="15.75" customHeight="1" x14ac:dyDescent="0.25">
      <c r="A13" s="106" t="s">
        <v>384</v>
      </c>
      <c r="B13" s="249">
        <v>46236</v>
      </c>
      <c r="C13" s="246">
        <v>0.91666666666666663</v>
      </c>
      <c r="D13" s="246">
        <v>0.95833333333333337</v>
      </c>
      <c r="E13" s="171">
        <v>5.4285541642457247E-2</v>
      </c>
      <c r="F13" s="171">
        <v>5.2333489680895582</v>
      </c>
      <c r="G13" s="171">
        <v>45.081494968224433</v>
      </c>
      <c r="H13" s="171">
        <v>0</v>
      </c>
      <c r="I13" s="171">
        <v>0</v>
      </c>
      <c r="J13" s="171"/>
      <c r="K13" s="171"/>
      <c r="L13" s="171"/>
      <c r="M13" s="171"/>
      <c r="N13" s="171"/>
      <c r="O13" s="171"/>
      <c r="P13" s="171"/>
      <c r="Q13" s="171"/>
      <c r="R13" s="171"/>
      <c r="S13" s="171"/>
      <c r="T13" s="171"/>
      <c r="U13" s="171"/>
      <c r="V13" s="171"/>
      <c r="W13" s="171"/>
      <c r="X13" s="171"/>
      <c r="Y13" s="171"/>
      <c r="Z13" s="171"/>
      <c r="AA13" s="171"/>
      <c r="AB13" s="171"/>
      <c r="AC13" s="171"/>
    </row>
    <row r="14" spans="1:29" ht="15.75" customHeight="1" x14ac:dyDescent="0.25">
      <c r="A14" s="106" t="s">
        <v>385</v>
      </c>
      <c r="B14" s="249">
        <v>46236</v>
      </c>
      <c r="C14" s="246">
        <v>0.95833333333333337</v>
      </c>
      <c r="D14" s="246">
        <v>0</v>
      </c>
      <c r="E14" s="171">
        <v>5.4285542108118534E-2</v>
      </c>
      <c r="F14" s="171">
        <v>5.2304086538497359</v>
      </c>
      <c r="G14" s="171">
        <v>44.991551906787208</v>
      </c>
      <c r="H14" s="171">
        <v>0</v>
      </c>
      <c r="I14" s="171">
        <v>0</v>
      </c>
      <c r="J14" s="171"/>
      <c r="K14" s="171"/>
      <c r="L14" s="171"/>
      <c r="M14" s="171"/>
      <c r="N14" s="171"/>
      <c r="O14" s="171"/>
      <c r="P14" s="171"/>
      <c r="Q14" s="171"/>
      <c r="R14" s="171"/>
      <c r="S14" s="171"/>
      <c r="T14" s="171"/>
      <c r="U14" s="171"/>
      <c r="V14" s="171"/>
      <c r="W14" s="171"/>
      <c r="X14" s="171"/>
      <c r="Y14" s="171"/>
      <c r="Z14" s="171"/>
      <c r="AA14" s="171"/>
      <c r="AB14" s="171"/>
      <c r="AC14" s="171"/>
    </row>
    <row r="15" spans="1:29" ht="15.75" customHeight="1" x14ac:dyDescent="0.25">
      <c r="A15" s="106" t="s">
        <v>386</v>
      </c>
      <c r="B15" s="249">
        <v>46236</v>
      </c>
      <c r="C15" s="246">
        <v>0</v>
      </c>
      <c r="D15" s="246">
        <v>4.1666666666666664E-2</v>
      </c>
      <c r="E15" s="171">
        <v>6.2702530310489237</v>
      </c>
      <c r="F15" s="171">
        <v>5.1656250000232831</v>
      </c>
      <c r="G15" s="171">
        <v>36.204687499994179</v>
      </c>
      <c r="H15" s="171">
        <v>0</v>
      </c>
      <c r="I15" s="171">
        <v>0</v>
      </c>
      <c r="J15" s="171"/>
      <c r="K15" s="171"/>
      <c r="L15" s="171"/>
      <c r="M15" s="171"/>
      <c r="N15" s="171"/>
      <c r="O15" s="171"/>
      <c r="P15" s="171"/>
      <c r="Q15" s="171"/>
      <c r="R15" s="171"/>
      <c r="S15" s="171"/>
      <c r="T15" s="171"/>
      <c r="U15" s="171"/>
      <c r="V15" s="171"/>
      <c r="W15" s="171"/>
      <c r="X15" s="171"/>
      <c r="Y15" s="171"/>
      <c r="Z15" s="171"/>
      <c r="AA15" s="171"/>
      <c r="AB15" s="171"/>
      <c r="AC15" s="171"/>
    </row>
    <row r="16" spans="1:29" ht="15.75" customHeight="1" x14ac:dyDescent="0.25">
      <c r="A16" s="106" t="s">
        <v>387</v>
      </c>
      <c r="B16" s="249">
        <v>46236</v>
      </c>
      <c r="C16" s="246">
        <v>4.1666666666666664E-2</v>
      </c>
      <c r="D16" s="246">
        <v>8.3333333333333329E-2</v>
      </c>
      <c r="E16" s="171">
        <v>42.426639344077557</v>
      </c>
      <c r="F16" s="171">
        <v>5.2906250000232831</v>
      </c>
      <c r="G16" s="171">
        <v>0</v>
      </c>
      <c r="H16" s="171">
        <v>0</v>
      </c>
      <c r="I16" s="171">
        <v>0</v>
      </c>
      <c r="J16" s="171"/>
      <c r="K16" s="171"/>
      <c r="L16" s="171"/>
      <c r="M16" s="171"/>
      <c r="N16" s="171"/>
      <c r="O16" s="171"/>
      <c r="P16" s="171"/>
      <c r="Q16" s="171"/>
      <c r="R16" s="171"/>
      <c r="S16" s="171"/>
      <c r="T16" s="171"/>
      <c r="U16" s="171"/>
      <c r="V16" s="171"/>
      <c r="W16" s="171"/>
      <c r="X16" s="171"/>
      <c r="Y16" s="171"/>
      <c r="Z16" s="171"/>
      <c r="AA16" s="171"/>
      <c r="AB16" s="171"/>
      <c r="AC16" s="171"/>
    </row>
    <row r="17" spans="1:29" ht="15.75" customHeight="1" x14ac:dyDescent="0.25">
      <c r="A17" s="106" t="s">
        <v>388</v>
      </c>
      <c r="B17" s="249">
        <v>46236</v>
      </c>
      <c r="C17" s="246">
        <v>8.3333333333333329E-2</v>
      </c>
      <c r="D17" s="246">
        <v>0.125</v>
      </c>
      <c r="E17" s="171">
        <v>42.460860655643046</v>
      </c>
      <c r="F17" s="171">
        <v>5.0401041666045785</v>
      </c>
      <c r="G17" s="171">
        <v>0</v>
      </c>
      <c r="H17" s="171">
        <v>0</v>
      </c>
      <c r="I17" s="171">
        <v>0</v>
      </c>
      <c r="J17" s="171"/>
      <c r="K17" s="171"/>
      <c r="L17" s="171"/>
      <c r="M17" s="171"/>
      <c r="N17" s="171"/>
      <c r="O17" s="171"/>
      <c r="P17" s="171"/>
      <c r="Q17" s="171"/>
      <c r="R17" s="171"/>
      <c r="S17" s="171"/>
      <c r="T17" s="171"/>
      <c r="U17" s="171"/>
      <c r="V17" s="171"/>
      <c r="W17" s="171"/>
      <c r="X17" s="171"/>
      <c r="Y17" s="171"/>
      <c r="Z17" s="171"/>
      <c r="AA17" s="171"/>
      <c r="AB17" s="171"/>
      <c r="AC17" s="171"/>
    </row>
    <row r="18" spans="1:29" ht="15.75" customHeight="1" x14ac:dyDescent="0.25">
      <c r="A18" s="106" t="s">
        <v>389</v>
      </c>
      <c r="B18" s="249">
        <v>46236</v>
      </c>
      <c r="C18" s="246">
        <v>0.125</v>
      </c>
      <c r="D18" s="246">
        <v>0.16666666666666666</v>
      </c>
      <c r="E18" s="171">
        <v>41.262500000186265</v>
      </c>
      <c r="F18" s="171">
        <v>5.0395833333022892</v>
      </c>
      <c r="G18" s="171">
        <v>0</v>
      </c>
      <c r="H18" s="171">
        <v>0</v>
      </c>
      <c r="I18" s="171">
        <v>0</v>
      </c>
      <c r="J18" s="171"/>
      <c r="K18" s="171"/>
      <c r="L18" s="171"/>
      <c r="M18" s="171"/>
      <c r="N18" s="171"/>
      <c r="O18" s="171"/>
      <c r="P18" s="171"/>
      <c r="Q18" s="171"/>
      <c r="R18" s="171"/>
      <c r="S18" s="171"/>
      <c r="T18" s="171"/>
      <c r="U18" s="171"/>
      <c r="V18" s="171"/>
      <c r="W18" s="171"/>
      <c r="X18" s="171"/>
      <c r="Y18" s="171"/>
      <c r="Z18" s="171"/>
      <c r="AA18" s="171"/>
      <c r="AB18" s="171"/>
      <c r="AC18" s="171"/>
    </row>
    <row r="19" spans="1:29" ht="15.75" customHeight="1" x14ac:dyDescent="0.25">
      <c r="A19" s="106" t="s">
        <v>390</v>
      </c>
      <c r="B19" s="249">
        <v>46236</v>
      </c>
      <c r="C19" s="246">
        <v>0.16666666666666666</v>
      </c>
      <c r="D19" s="246">
        <v>0.20833333333333334</v>
      </c>
      <c r="E19" s="171">
        <v>40.541666666511446</v>
      </c>
      <c r="F19" s="171">
        <v>5.2281250000232831</v>
      </c>
      <c r="G19" s="171">
        <v>0</v>
      </c>
      <c r="H19" s="171">
        <v>0</v>
      </c>
      <c r="I19" s="171">
        <v>0</v>
      </c>
      <c r="J19" s="171"/>
      <c r="K19" s="171"/>
      <c r="L19" s="171"/>
      <c r="M19" s="171"/>
      <c r="N19" s="171"/>
      <c r="O19" s="171"/>
      <c r="P19" s="171"/>
      <c r="Q19" s="171"/>
      <c r="R19" s="171"/>
      <c r="S19" s="171"/>
      <c r="T19" s="171"/>
      <c r="U19" s="171"/>
      <c r="V19" s="171"/>
      <c r="W19" s="171"/>
      <c r="X19" s="171"/>
      <c r="Y19" s="171"/>
      <c r="Z19" s="171"/>
      <c r="AA19" s="171"/>
      <c r="AB19" s="171"/>
      <c r="AC19" s="171"/>
    </row>
    <row r="20" spans="1:29" ht="15.75" customHeight="1" x14ac:dyDescent="0.25">
      <c r="A20" s="106" t="s">
        <v>391</v>
      </c>
      <c r="B20" s="249">
        <v>46236</v>
      </c>
      <c r="C20" s="246">
        <v>0.20833333333333334</v>
      </c>
      <c r="D20" s="246">
        <v>0.25</v>
      </c>
      <c r="E20" s="171">
        <v>42.303672316484153</v>
      </c>
      <c r="F20" s="171">
        <v>5.1031250000232831</v>
      </c>
      <c r="G20" s="171">
        <v>0</v>
      </c>
      <c r="H20" s="171">
        <v>0</v>
      </c>
      <c r="I20" s="171">
        <v>0</v>
      </c>
      <c r="J20" s="171"/>
      <c r="K20" s="171"/>
      <c r="L20" s="171"/>
      <c r="M20" s="171"/>
      <c r="N20" s="171"/>
      <c r="O20" s="171"/>
      <c r="P20" s="171"/>
      <c r="Q20" s="171"/>
      <c r="R20" s="171"/>
      <c r="S20" s="171"/>
      <c r="T20" s="171"/>
      <c r="U20" s="171"/>
      <c r="V20" s="171"/>
      <c r="W20" s="171"/>
      <c r="X20" s="171"/>
      <c r="Y20" s="171"/>
      <c r="Z20" s="171"/>
      <c r="AA20" s="171"/>
      <c r="AB20" s="171"/>
      <c r="AC20" s="171"/>
    </row>
    <row r="21" spans="1:29" ht="15.75" customHeight="1" x14ac:dyDescent="0.25">
      <c r="A21" s="106" t="s">
        <v>408</v>
      </c>
      <c r="B21" s="249">
        <v>46237</v>
      </c>
      <c r="C21" s="246">
        <v>0.91666666666666663</v>
      </c>
      <c r="D21" s="246">
        <v>0.95833333333333337</v>
      </c>
      <c r="E21" s="171">
        <v>46.950000000186265</v>
      </c>
      <c r="F21" s="171">
        <v>24.306250000023283</v>
      </c>
      <c r="G21" s="171">
        <v>0</v>
      </c>
      <c r="H21" s="171">
        <v>0</v>
      </c>
      <c r="I21" s="171">
        <v>0</v>
      </c>
      <c r="J21" s="171"/>
      <c r="K21" s="171"/>
      <c r="L21" s="171"/>
      <c r="M21" s="171"/>
      <c r="N21" s="171"/>
      <c r="O21" s="171"/>
      <c r="P21" s="171"/>
      <c r="Q21" s="171"/>
      <c r="R21" s="171"/>
      <c r="S21" s="171"/>
      <c r="T21" s="171"/>
      <c r="U21" s="171"/>
      <c r="V21" s="171"/>
      <c r="W21" s="171"/>
      <c r="X21" s="171"/>
      <c r="Y21" s="171"/>
      <c r="Z21" s="171"/>
      <c r="AA21" s="171"/>
      <c r="AB21" s="171"/>
      <c r="AC21" s="171"/>
    </row>
    <row r="22" spans="1:29" ht="15.75" customHeight="1" x14ac:dyDescent="0.25">
      <c r="A22" s="106" t="s">
        <v>409</v>
      </c>
      <c r="B22" s="249">
        <v>46237</v>
      </c>
      <c r="C22" s="246">
        <v>0.95833333333333337</v>
      </c>
      <c r="D22" s="246">
        <v>0</v>
      </c>
      <c r="E22" s="171">
        <v>45.516666666604578</v>
      </c>
      <c r="F22" s="171">
        <v>19.921875</v>
      </c>
      <c r="G22" s="171">
        <v>0</v>
      </c>
      <c r="H22" s="171">
        <v>0</v>
      </c>
      <c r="I22" s="171">
        <v>0</v>
      </c>
      <c r="J22" s="171"/>
      <c r="K22" s="171"/>
      <c r="L22" s="171"/>
      <c r="M22" s="171"/>
      <c r="N22" s="171"/>
      <c r="O22" s="171"/>
      <c r="P22" s="171"/>
      <c r="Q22" s="171"/>
      <c r="R22" s="171"/>
      <c r="S22" s="171"/>
      <c r="T22" s="171"/>
      <c r="U22" s="171"/>
      <c r="V22" s="171"/>
      <c r="W22" s="171"/>
      <c r="X22" s="171"/>
      <c r="Y22" s="171"/>
      <c r="Z22" s="171"/>
      <c r="AA22" s="171"/>
      <c r="AB22" s="171"/>
      <c r="AC22" s="171"/>
    </row>
    <row r="23" spans="1:29" ht="15.75" customHeight="1" x14ac:dyDescent="0.25">
      <c r="A23" s="106" t="s">
        <v>410</v>
      </c>
      <c r="B23" s="249">
        <v>46237</v>
      </c>
      <c r="C23" s="246">
        <v>0</v>
      </c>
      <c r="D23" s="246">
        <v>4.1666666666666664E-2</v>
      </c>
      <c r="E23" s="171">
        <v>44.133333333302289</v>
      </c>
      <c r="F23" s="171">
        <v>15.251562500023283</v>
      </c>
      <c r="G23" s="171">
        <v>0</v>
      </c>
      <c r="H23" s="171">
        <v>0</v>
      </c>
      <c r="I23" s="171">
        <v>0</v>
      </c>
      <c r="J23" s="171"/>
      <c r="K23" s="171"/>
      <c r="L23" s="171"/>
      <c r="M23" s="171"/>
      <c r="N23" s="171"/>
      <c r="O23" s="171"/>
      <c r="P23" s="171"/>
      <c r="Q23" s="171"/>
      <c r="R23" s="171"/>
      <c r="S23" s="171"/>
      <c r="T23" s="171"/>
      <c r="U23" s="171"/>
      <c r="V23" s="171"/>
      <c r="W23" s="171"/>
      <c r="X23" s="171"/>
      <c r="Y23" s="171"/>
      <c r="Z23" s="171"/>
      <c r="AA23" s="171"/>
      <c r="AB23" s="171"/>
      <c r="AC23" s="171"/>
    </row>
    <row r="24" spans="1:29" ht="15.75" customHeight="1" x14ac:dyDescent="0.25">
      <c r="A24" s="106" t="s">
        <v>411</v>
      </c>
      <c r="B24" s="249">
        <v>46237</v>
      </c>
      <c r="C24" s="246">
        <v>4.1666666666666664E-2</v>
      </c>
      <c r="D24" s="246">
        <v>8.3333333333333329E-2</v>
      </c>
      <c r="E24" s="171">
        <v>47.649999999906868</v>
      </c>
      <c r="F24" s="171">
        <v>15.309374999953434</v>
      </c>
      <c r="G24" s="171">
        <v>0</v>
      </c>
      <c r="H24" s="171">
        <v>0</v>
      </c>
      <c r="I24" s="171">
        <v>0</v>
      </c>
      <c r="J24" s="171"/>
      <c r="K24" s="171"/>
      <c r="L24" s="171"/>
      <c r="M24" s="171"/>
      <c r="N24" s="171"/>
      <c r="O24" s="171"/>
      <c r="P24" s="171"/>
      <c r="Q24" s="171"/>
      <c r="R24" s="171"/>
      <c r="S24" s="171"/>
      <c r="T24" s="171"/>
      <c r="U24" s="171"/>
      <c r="V24" s="171"/>
      <c r="W24" s="171"/>
      <c r="X24" s="171"/>
      <c r="Y24" s="171"/>
      <c r="Z24" s="171"/>
      <c r="AA24" s="171"/>
      <c r="AB24" s="171"/>
      <c r="AC24" s="171"/>
    </row>
    <row r="25" spans="1:29" ht="15.75" customHeight="1" x14ac:dyDescent="0.25">
      <c r="A25" s="106" t="s">
        <v>412</v>
      </c>
      <c r="B25" s="249">
        <v>46237</v>
      </c>
      <c r="C25" s="246">
        <v>8.3333333333333329E-2</v>
      </c>
      <c r="D25" s="246">
        <v>0.125</v>
      </c>
      <c r="E25" s="171">
        <v>45.200000000186265</v>
      </c>
      <c r="F25" s="171">
        <v>16.995312500046566</v>
      </c>
      <c r="G25" s="171">
        <v>0</v>
      </c>
      <c r="H25" s="171">
        <v>0</v>
      </c>
      <c r="I25" s="171">
        <v>0</v>
      </c>
      <c r="J25" s="171"/>
      <c r="K25" s="171"/>
      <c r="L25" s="171"/>
      <c r="M25" s="171"/>
      <c r="N25" s="171"/>
      <c r="O25" s="171"/>
      <c r="P25" s="171"/>
      <c r="Q25" s="171"/>
      <c r="R25" s="171"/>
      <c r="S25" s="171"/>
      <c r="T25" s="171"/>
      <c r="U25" s="171"/>
      <c r="V25" s="171"/>
      <c r="W25" s="171"/>
      <c r="X25" s="171"/>
      <c r="Y25" s="171"/>
      <c r="Z25" s="171"/>
      <c r="AA25" s="171"/>
      <c r="AB25" s="171"/>
      <c r="AC25" s="171"/>
    </row>
    <row r="26" spans="1:29" ht="15.75" customHeight="1" x14ac:dyDescent="0.25">
      <c r="A26" s="106" t="s">
        <v>413</v>
      </c>
      <c r="B26" s="249">
        <v>46237</v>
      </c>
      <c r="C26" s="246">
        <v>0.125</v>
      </c>
      <c r="D26" s="246">
        <v>0.16666666666666666</v>
      </c>
      <c r="E26" s="171">
        <v>43.4375</v>
      </c>
      <c r="F26" s="171">
        <v>14.643749999930151</v>
      </c>
      <c r="G26" s="171">
        <v>0</v>
      </c>
      <c r="H26" s="171">
        <v>0</v>
      </c>
      <c r="I26" s="171">
        <v>0</v>
      </c>
      <c r="J26" s="171"/>
      <c r="K26" s="171"/>
      <c r="L26" s="171"/>
      <c r="M26" s="171"/>
      <c r="N26" s="171"/>
      <c r="O26" s="171"/>
      <c r="P26" s="171"/>
      <c r="Q26" s="171"/>
      <c r="R26" s="171"/>
      <c r="S26" s="171"/>
      <c r="T26" s="171"/>
      <c r="U26" s="171"/>
      <c r="V26" s="171"/>
      <c r="W26" s="171"/>
      <c r="X26" s="171"/>
      <c r="Y26" s="171"/>
      <c r="Z26" s="171"/>
      <c r="AA26" s="171"/>
      <c r="AB26" s="171"/>
      <c r="AC26" s="171"/>
    </row>
    <row r="27" spans="1:29" ht="15.75" customHeight="1" x14ac:dyDescent="0.25">
      <c r="A27" s="106" t="s">
        <v>414</v>
      </c>
      <c r="B27" s="249">
        <v>46237</v>
      </c>
      <c r="C27" s="246">
        <v>0.16666666666666666</v>
      </c>
      <c r="D27" s="246">
        <v>0.20833333333333334</v>
      </c>
      <c r="E27" s="171">
        <v>44.237499999813735</v>
      </c>
      <c r="F27" s="171">
        <v>27.287500000093132</v>
      </c>
      <c r="G27" s="171">
        <v>0</v>
      </c>
      <c r="H27" s="171">
        <v>0</v>
      </c>
      <c r="I27" s="171">
        <v>0</v>
      </c>
      <c r="J27" s="171"/>
      <c r="K27" s="171"/>
      <c r="L27" s="171"/>
      <c r="M27" s="171"/>
      <c r="N27" s="171"/>
      <c r="O27" s="171"/>
      <c r="P27" s="171"/>
      <c r="Q27" s="171"/>
      <c r="R27" s="171"/>
      <c r="S27" s="171"/>
      <c r="T27" s="171"/>
      <c r="U27" s="171"/>
      <c r="V27" s="171"/>
      <c r="W27" s="171"/>
      <c r="X27" s="171"/>
      <c r="Y27" s="171"/>
      <c r="Z27" s="171"/>
      <c r="AA27" s="171"/>
      <c r="AB27" s="171"/>
      <c r="AC27" s="171"/>
    </row>
    <row r="28" spans="1:29" ht="15.75" customHeight="1" x14ac:dyDescent="0.25">
      <c r="A28" s="106" t="s">
        <v>415</v>
      </c>
      <c r="B28" s="249">
        <v>46237</v>
      </c>
      <c r="C28" s="246">
        <v>0.20833333333333334</v>
      </c>
      <c r="D28" s="246">
        <v>0.25</v>
      </c>
      <c r="E28" s="171">
        <v>45.400000000372529</v>
      </c>
      <c r="F28" s="171">
        <v>25.749999999883585</v>
      </c>
      <c r="G28" s="171">
        <v>0</v>
      </c>
      <c r="H28" s="171">
        <v>0</v>
      </c>
      <c r="I28" s="171">
        <v>0</v>
      </c>
      <c r="J28" s="171"/>
      <c r="K28" s="171"/>
      <c r="L28" s="171"/>
      <c r="M28" s="171"/>
      <c r="N28" s="171"/>
      <c r="O28" s="171"/>
      <c r="P28" s="171"/>
      <c r="Q28" s="171"/>
      <c r="R28" s="171"/>
      <c r="S28" s="171"/>
      <c r="T28" s="171"/>
      <c r="U28" s="171"/>
      <c r="V28" s="171"/>
      <c r="W28" s="171"/>
      <c r="X28" s="171"/>
      <c r="Y28" s="171"/>
      <c r="Z28" s="171"/>
      <c r="AA28" s="171"/>
      <c r="AB28" s="171"/>
      <c r="AC28" s="171"/>
    </row>
    <row r="29" spans="1:29" ht="15.75" customHeight="1" x14ac:dyDescent="0.25">
      <c r="A29" s="106" t="s">
        <v>432</v>
      </c>
      <c r="B29" s="249">
        <v>46238</v>
      </c>
      <c r="C29" s="246">
        <v>0.91666666666666663</v>
      </c>
      <c r="D29" s="246">
        <v>0.95833333333333337</v>
      </c>
      <c r="E29" s="171">
        <v>45.6875</v>
      </c>
      <c r="F29" s="171">
        <v>15.514423076878302</v>
      </c>
      <c r="G29" s="171">
        <v>0</v>
      </c>
      <c r="H29" s="171">
        <v>0</v>
      </c>
      <c r="I29" s="171">
        <v>0</v>
      </c>
      <c r="J29" s="171"/>
      <c r="K29" s="171"/>
      <c r="L29" s="171"/>
      <c r="M29" s="171"/>
      <c r="N29" s="171"/>
      <c r="O29" s="171"/>
      <c r="P29" s="171"/>
      <c r="Q29" s="171"/>
      <c r="R29" s="171"/>
      <c r="S29" s="171"/>
      <c r="T29" s="171"/>
      <c r="U29" s="171"/>
      <c r="V29" s="171"/>
      <c r="W29" s="171"/>
      <c r="X29" s="171"/>
      <c r="Y29" s="171"/>
      <c r="Z29" s="171"/>
      <c r="AA29" s="171"/>
      <c r="AB29" s="171"/>
      <c r="AC29" s="171"/>
    </row>
    <row r="30" spans="1:29" ht="15.75" customHeight="1" x14ac:dyDescent="0.25">
      <c r="A30" s="106" t="s">
        <v>433</v>
      </c>
      <c r="B30" s="249">
        <v>46238</v>
      </c>
      <c r="C30" s="246">
        <v>0.95833333333333337</v>
      </c>
      <c r="D30" s="246">
        <v>0</v>
      </c>
      <c r="E30" s="171">
        <v>43.4375</v>
      </c>
      <c r="F30" s="171">
        <v>20.043749999953434</v>
      </c>
      <c r="G30" s="171">
        <v>0</v>
      </c>
      <c r="H30" s="171">
        <v>0</v>
      </c>
      <c r="I30" s="171">
        <v>0</v>
      </c>
      <c r="J30" s="171"/>
      <c r="K30" s="171"/>
      <c r="L30" s="171"/>
      <c r="M30" s="171"/>
      <c r="N30" s="171"/>
      <c r="O30" s="171"/>
      <c r="P30" s="171"/>
      <c r="Q30" s="171"/>
      <c r="R30" s="171"/>
      <c r="S30" s="171"/>
      <c r="T30" s="171"/>
      <c r="U30" s="171"/>
      <c r="V30" s="171"/>
      <c r="W30" s="171"/>
      <c r="X30" s="171"/>
      <c r="Y30" s="171"/>
      <c r="Z30" s="171"/>
      <c r="AA30" s="171"/>
      <c r="AB30" s="171"/>
      <c r="AC30" s="171"/>
    </row>
    <row r="31" spans="1:29" ht="15.75" customHeight="1" x14ac:dyDescent="0.25">
      <c r="A31" s="106" t="s">
        <v>434</v>
      </c>
      <c r="B31" s="249">
        <v>46238</v>
      </c>
      <c r="C31" s="246">
        <v>0</v>
      </c>
      <c r="D31" s="246">
        <v>4.1666666666666664E-2</v>
      </c>
      <c r="E31" s="171">
        <v>42.4375</v>
      </c>
      <c r="F31" s="171">
        <v>15.150000000023283</v>
      </c>
      <c r="G31" s="171">
        <v>0</v>
      </c>
      <c r="H31" s="171">
        <v>0</v>
      </c>
      <c r="I31" s="171">
        <v>0</v>
      </c>
      <c r="J31" s="171"/>
      <c r="K31" s="171"/>
      <c r="L31" s="171"/>
      <c r="M31" s="171"/>
      <c r="N31" s="171"/>
      <c r="O31" s="171"/>
      <c r="P31" s="171"/>
      <c r="Q31" s="171"/>
      <c r="R31" s="171"/>
      <c r="S31" s="171"/>
      <c r="T31" s="171"/>
      <c r="U31" s="171"/>
      <c r="V31" s="171"/>
      <c r="W31" s="171"/>
      <c r="X31" s="171"/>
      <c r="Y31" s="171"/>
      <c r="Z31" s="171"/>
      <c r="AA31" s="171"/>
      <c r="AB31" s="171"/>
      <c r="AC31" s="171"/>
    </row>
    <row r="32" spans="1:29" ht="15.75" customHeight="1" x14ac:dyDescent="0.25">
      <c r="A32" s="106" t="s">
        <v>435</v>
      </c>
      <c r="B32" s="249">
        <v>46238</v>
      </c>
      <c r="C32" s="246">
        <v>4.1666666666666664E-2</v>
      </c>
      <c r="D32" s="246">
        <v>8.3333333333333329E-2</v>
      </c>
      <c r="E32" s="171">
        <v>43.200000000186265</v>
      </c>
      <c r="F32" s="171">
        <v>25.292530487873591</v>
      </c>
      <c r="G32" s="171">
        <v>0</v>
      </c>
      <c r="H32" s="171">
        <v>0</v>
      </c>
      <c r="I32" s="171">
        <v>0</v>
      </c>
      <c r="J32" s="171"/>
      <c r="K32" s="171"/>
      <c r="L32" s="171"/>
      <c r="M32" s="171"/>
      <c r="N32" s="171"/>
      <c r="O32" s="171"/>
      <c r="P32" s="171"/>
      <c r="Q32" s="171"/>
      <c r="R32" s="171"/>
      <c r="S32" s="171"/>
      <c r="T32" s="171"/>
      <c r="U32" s="171"/>
      <c r="V32" s="171"/>
      <c r="W32" s="171"/>
      <c r="X32" s="171"/>
      <c r="Y32" s="171"/>
      <c r="Z32" s="171"/>
      <c r="AA32" s="171"/>
      <c r="AB32" s="171"/>
      <c r="AC32" s="171"/>
    </row>
    <row r="33" spans="1:29" ht="15.75" customHeight="1" x14ac:dyDescent="0.25">
      <c r="A33" s="106" t="s">
        <v>436</v>
      </c>
      <c r="B33" s="249">
        <v>46238</v>
      </c>
      <c r="C33" s="246">
        <v>8.3333333333333329E-2</v>
      </c>
      <c r="D33" s="246">
        <v>0.125</v>
      </c>
      <c r="E33" s="171">
        <v>42.4375</v>
      </c>
      <c r="F33" s="171">
        <v>24.010594512103125</v>
      </c>
      <c r="G33" s="171">
        <v>0</v>
      </c>
      <c r="H33" s="171">
        <v>0</v>
      </c>
      <c r="I33" s="171">
        <v>0</v>
      </c>
      <c r="J33" s="171"/>
      <c r="K33" s="171"/>
      <c r="L33" s="171"/>
      <c r="M33" s="171"/>
      <c r="N33" s="171"/>
      <c r="O33" s="171"/>
      <c r="P33" s="171"/>
      <c r="Q33" s="171"/>
      <c r="R33" s="171"/>
      <c r="S33" s="171"/>
      <c r="T33" s="171"/>
      <c r="U33" s="171"/>
      <c r="V33" s="171"/>
      <c r="W33" s="171"/>
      <c r="X33" s="171"/>
      <c r="Y33" s="171"/>
      <c r="Z33" s="171"/>
      <c r="AA33" s="171"/>
      <c r="AB33" s="171"/>
      <c r="AC33" s="171"/>
    </row>
    <row r="34" spans="1:29" ht="15.75" customHeight="1" x14ac:dyDescent="0.25">
      <c r="A34" s="106" t="s">
        <v>437</v>
      </c>
      <c r="B34" s="249">
        <v>46238</v>
      </c>
      <c r="C34" s="246">
        <v>0.125</v>
      </c>
      <c r="D34" s="246">
        <v>0.16666666666666666</v>
      </c>
      <c r="E34" s="171">
        <v>42.17076271167025</v>
      </c>
      <c r="F34" s="171">
        <v>30.806250000023283</v>
      </c>
      <c r="G34" s="171">
        <v>0</v>
      </c>
      <c r="H34" s="171">
        <v>0</v>
      </c>
      <c r="I34" s="171">
        <v>0</v>
      </c>
      <c r="J34" s="171"/>
      <c r="K34" s="171"/>
      <c r="L34" s="171"/>
      <c r="M34" s="171"/>
      <c r="N34" s="171"/>
      <c r="O34" s="171"/>
      <c r="P34" s="171"/>
      <c r="Q34" s="171"/>
      <c r="R34" s="171"/>
      <c r="S34" s="171"/>
      <c r="T34" s="171"/>
      <c r="U34" s="171"/>
      <c r="V34" s="171"/>
      <c r="W34" s="171"/>
      <c r="X34" s="171"/>
      <c r="Y34" s="171"/>
      <c r="Z34" s="171"/>
      <c r="AA34" s="171"/>
      <c r="AB34" s="171"/>
      <c r="AC34" s="171"/>
    </row>
    <row r="35" spans="1:29" ht="15.75" customHeight="1" x14ac:dyDescent="0.25">
      <c r="A35" s="106" t="s">
        <v>438</v>
      </c>
      <c r="B35" s="249">
        <v>46238</v>
      </c>
      <c r="C35" s="246">
        <v>0.16666666666666666</v>
      </c>
      <c r="D35" s="246">
        <v>0.20833333333333334</v>
      </c>
      <c r="E35" s="171">
        <v>40.549319255165756</v>
      </c>
      <c r="F35" s="171">
        <v>22.534375000046566</v>
      </c>
      <c r="G35" s="171">
        <v>0</v>
      </c>
      <c r="H35" s="171">
        <v>0</v>
      </c>
      <c r="I35" s="171">
        <v>0</v>
      </c>
      <c r="J35" s="171"/>
      <c r="K35" s="171"/>
      <c r="L35" s="171"/>
      <c r="M35" s="171"/>
      <c r="N35" s="171"/>
      <c r="O35" s="171"/>
      <c r="P35" s="171"/>
      <c r="Q35" s="171"/>
      <c r="R35" s="171"/>
      <c r="S35" s="171"/>
      <c r="T35" s="171"/>
      <c r="U35" s="171"/>
      <c r="V35" s="171"/>
      <c r="W35" s="171"/>
      <c r="X35" s="171"/>
      <c r="Y35" s="171"/>
      <c r="Z35" s="171"/>
      <c r="AA35" s="171"/>
      <c r="AB35" s="171"/>
      <c r="AC35" s="171"/>
    </row>
    <row r="36" spans="1:29" ht="15.75" customHeight="1" x14ac:dyDescent="0.25">
      <c r="A36" s="106" t="s">
        <v>439</v>
      </c>
      <c r="B36" s="249">
        <v>46238</v>
      </c>
      <c r="C36" s="246">
        <v>0.20833333333333334</v>
      </c>
      <c r="D36" s="246">
        <v>0.25</v>
      </c>
      <c r="E36" s="171">
        <v>43.592418033163995</v>
      </c>
      <c r="F36" s="171">
        <v>31.896874999976717</v>
      </c>
      <c r="G36" s="171">
        <v>0</v>
      </c>
      <c r="H36" s="171">
        <v>0</v>
      </c>
      <c r="I36" s="171">
        <v>0</v>
      </c>
      <c r="J36" s="171"/>
      <c r="K36" s="171"/>
      <c r="L36" s="171"/>
      <c r="M36" s="171"/>
      <c r="N36" s="171"/>
      <c r="O36" s="171"/>
      <c r="P36" s="171"/>
      <c r="Q36" s="171"/>
      <c r="R36" s="171"/>
      <c r="S36" s="171"/>
      <c r="T36" s="171"/>
      <c r="U36" s="171"/>
      <c r="V36" s="171"/>
      <c r="W36" s="171"/>
      <c r="X36" s="171"/>
      <c r="Y36" s="171"/>
      <c r="Z36" s="171"/>
      <c r="AA36" s="171"/>
      <c r="AB36" s="171"/>
      <c r="AC36" s="171"/>
    </row>
    <row r="37" spans="1:29" ht="15.75" customHeight="1" x14ac:dyDescent="0.25">
      <c r="A37" s="106" t="s">
        <v>456</v>
      </c>
      <c r="B37" s="249">
        <v>46239</v>
      </c>
      <c r="C37" s="246">
        <v>0.91666666666666663</v>
      </c>
      <c r="D37" s="246">
        <v>0.95833333333333337</v>
      </c>
      <c r="E37" s="171">
        <v>45.079166666604578</v>
      </c>
      <c r="F37" s="171">
        <v>24.459908536518924</v>
      </c>
      <c r="G37" s="171">
        <v>0</v>
      </c>
      <c r="H37" s="171">
        <v>0</v>
      </c>
      <c r="I37" s="171">
        <v>0</v>
      </c>
      <c r="J37" s="171"/>
      <c r="K37" s="171"/>
      <c r="L37" s="171"/>
      <c r="M37" s="171"/>
      <c r="N37" s="171"/>
      <c r="O37" s="171"/>
      <c r="P37" s="171"/>
      <c r="Q37" s="171"/>
      <c r="R37" s="171"/>
      <c r="S37" s="171"/>
      <c r="T37" s="171"/>
      <c r="U37" s="171"/>
      <c r="V37" s="171"/>
      <c r="W37" s="171"/>
      <c r="X37" s="171"/>
      <c r="Y37" s="171"/>
      <c r="Z37" s="171"/>
      <c r="AA37" s="171"/>
      <c r="AB37" s="171"/>
      <c r="AC37" s="171"/>
    </row>
    <row r="38" spans="1:29" ht="15.75" customHeight="1" x14ac:dyDescent="0.25">
      <c r="A38" s="106" t="s">
        <v>457</v>
      </c>
      <c r="B38" s="249">
        <v>46239</v>
      </c>
      <c r="C38" s="246">
        <v>0.95833333333333337</v>
      </c>
      <c r="D38" s="246">
        <v>0</v>
      </c>
      <c r="E38" s="171">
        <v>44.633333333302289</v>
      </c>
      <c r="F38" s="171">
        <v>23.065625000046566</v>
      </c>
      <c r="G38" s="171">
        <v>0</v>
      </c>
      <c r="H38" s="171">
        <v>0</v>
      </c>
      <c r="I38" s="171">
        <v>0</v>
      </c>
      <c r="J38" s="171"/>
      <c r="K38" s="171"/>
      <c r="L38" s="171"/>
      <c r="M38" s="171"/>
      <c r="N38" s="171"/>
      <c r="O38" s="171"/>
      <c r="P38" s="171"/>
      <c r="Q38" s="171"/>
      <c r="R38" s="171"/>
      <c r="S38" s="171"/>
      <c r="T38" s="171"/>
      <c r="U38" s="171"/>
      <c r="V38" s="171"/>
      <c r="W38" s="171"/>
      <c r="X38" s="171"/>
      <c r="Y38" s="171"/>
      <c r="Z38" s="171"/>
      <c r="AA38" s="171"/>
      <c r="AB38" s="171"/>
      <c r="AC38" s="171"/>
    </row>
    <row r="39" spans="1:29" ht="15.75" customHeight="1" x14ac:dyDescent="0.25">
      <c r="A39" s="106" t="s">
        <v>458</v>
      </c>
      <c r="B39" s="249">
        <v>46239</v>
      </c>
      <c r="C39" s="246">
        <v>0</v>
      </c>
      <c r="D39" s="246">
        <v>4.1666666666666664E-2</v>
      </c>
      <c r="E39" s="171">
        <v>42.843548386823386</v>
      </c>
      <c r="F39" s="171">
        <v>14.92023026314564</v>
      </c>
      <c r="G39" s="171">
        <v>0</v>
      </c>
      <c r="H39" s="171">
        <v>0</v>
      </c>
      <c r="I39" s="171">
        <v>0</v>
      </c>
      <c r="J39" s="171"/>
      <c r="K39" s="171"/>
      <c r="L39" s="171"/>
      <c r="M39" s="171"/>
      <c r="N39" s="171"/>
      <c r="O39" s="171"/>
      <c r="P39" s="171"/>
      <c r="Q39" s="171"/>
      <c r="R39" s="171"/>
      <c r="S39" s="171"/>
      <c r="T39" s="171"/>
      <c r="U39" s="171"/>
      <c r="V39" s="171"/>
      <c r="W39" s="171"/>
      <c r="X39" s="171"/>
      <c r="Y39" s="171"/>
      <c r="Z39" s="171"/>
      <c r="AA39" s="171"/>
      <c r="AB39" s="171"/>
      <c r="AC39" s="171"/>
    </row>
    <row r="40" spans="1:29" ht="15.75" customHeight="1" x14ac:dyDescent="0.25">
      <c r="A40" s="106" t="s">
        <v>459</v>
      </c>
      <c r="B40" s="249">
        <v>46239</v>
      </c>
      <c r="C40" s="246">
        <v>4.1666666666666664E-2</v>
      </c>
      <c r="D40" s="246">
        <v>8.3333333333333329E-2</v>
      </c>
      <c r="E40" s="171">
        <v>41.398118279874325</v>
      </c>
      <c r="F40" s="171">
        <v>16.686740890727378</v>
      </c>
      <c r="G40" s="171">
        <v>0</v>
      </c>
      <c r="H40" s="171">
        <v>0</v>
      </c>
      <c r="I40" s="171">
        <v>0</v>
      </c>
      <c r="J40" s="171"/>
      <c r="K40" s="171"/>
      <c r="L40" s="171"/>
      <c r="M40" s="171"/>
      <c r="N40" s="171"/>
      <c r="O40" s="171"/>
      <c r="P40" s="171"/>
      <c r="Q40" s="171"/>
      <c r="R40" s="171"/>
      <c r="S40" s="171"/>
      <c r="T40" s="171"/>
      <c r="U40" s="171"/>
      <c r="V40" s="171"/>
      <c r="W40" s="171"/>
      <c r="X40" s="171"/>
      <c r="Y40" s="171"/>
      <c r="Z40" s="171"/>
      <c r="AA40" s="171"/>
      <c r="AB40" s="171"/>
      <c r="AC40" s="171"/>
    </row>
    <row r="41" spans="1:29" ht="15.75" customHeight="1" x14ac:dyDescent="0.25">
      <c r="A41" s="106" t="s">
        <v>460</v>
      </c>
      <c r="B41" s="249">
        <v>46239</v>
      </c>
      <c r="C41" s="246">
        <v>8.3333333333333329E-2</v>
      </c>
      <c r="D41" s="246">
        <v>0.125</v>
      </c>
      <c r="E41" s="171">
        <v>41.220833333209157</v>
      </c>
      <c r="F41" s="171">
        <v>15.468028846080415</v>
      </c>
      <c r="G41" s="171">
        <v>0</v>
      </c>
      <c r="H41" s="171">
        <v>0</v>
      </c>
      <c r="I41" s="171">
        <v>0</v>
      </c>
      <c r="J41" s="171"/>
      <c r="K41" s="171"/>
      <c r="L41" s="171"/>
      <c r="M41" s="171"/>
      <c r="N41" s="171"/>
      <c r="O41" s="171"/>
      <c r="P41" s="171"/>
      <c r="Q41" s="171"/>
      <c r="R41" s="171"/>
      <c r="S41" s="171"/>
      <c r="T41" s="171"/>
      <c r="U41" s="171"/>
      <c r="V41" s="171"/>
      <c r="W41" s="171"/>
      <c r="X41" s="171"/>
      <c r="Y41" s="171"/>
      <c r="Z41" s="171"/>
      <c r="AA41" s="171"/>
      <c r="AB41" s="171"/>
      <c r="AC41" s="171"/>
    </row>
    <row r="42" spans="1:29" ht="15.75" customHeight="1" x14ac:dyDescent="0.25">
      <c r="A42" s="106" t="s">
        <v>461</v>
      </c>
      <c r="B42" s="249">
        <v>46239</v>
      </c>
      <c r="C42" s="246">
        <v>0.125</v>
      </c>
      <c r="D42" s="246">
        <v>0.16666666666666666</v>
      </c>
      <c r="E42" s="171">
        <v>40.9375</v>
      </c>
      <c r="F42" s="171">
        <v>14.640625</v>
      </c>
      <c r="G42" s="171">
        <v>0</v>
      </c>
      <c r="H42" s="171">
        <v>0</v>
      </c>
      <c r="I42" s="171">
        <v>0</v>
      </c>
      <c r="J42" s="171"/>
      <c r="K42" s="171"/>
      <c r="L42" s="171"/>
      <c r="M42" s="171"/>
      <c r="N42" s="171"/>
      <c r="O42" s="171"/>
      <c r="P42" s="171"/>
      <c r="Q42" s="171"/>
      <c r="R42" s="171"/>
      <c r="S42" s="171"/>
      <c r="T42" s="171"/>
      <c r="U42" s="171"/>
      <c r="V42" s="171"/>
      <c r="W42" s="171"/>
      <c r="X42" s="171"/>
      <c r="Y42" s="171"/>
      <c r="Z42" s="171"/>
      <c r="AA42" s="171"/>
      <c r="AB42" s="171"/>
      <c r="AC42" s="171"/>
    </row>
    <row r="43" spans="1:29" ht="15.75" customHeight="1" x14ac:dyDescent="0.25">
      <c r="A43" s="106" t="s">
        <v>462</v>
      </c>
      <c r="B43" s="249">
        <v>46239</v>
      </c>
      <c r="C43" s="246">
        <v>0.16666666666666666</v>
      </c>
      <c r="D43" s="246">
        <v>0.20833333333333334</v>
      </c>
      <c r="E43" s="171">
        <v>40.458333333488554</v>
      </c>
      <c r="F43" s="171">
        <v>25.446875000023283</v>
      </c>
      <c r="G43" s="171">
        <v>0</v>
      </c>
      <c r="H43" s="171">
        <v>0</v>
      </c>
      <c r="I43" s="171">
        <v>0</v>
      </c>
      <c r="J43" s="171"/>
      <c r="K43" s="171"/>
      <c r="L43" s="171"/>
      <c r="M43" s="171"/>
      <c r="N43" s="171"/>
      <c r="O43" s="171"/>
      <c r="P43" s="171"/>
      <c r="Q43" s="171"/>
      <c r="R43" s="171"/>
      <c r="S43" s="171"/>
      <c r="T43" s="171"/>
      <c r="U43" s="171"/>
      <c r="V43" s="171"/>
      <c r="W43" s="171"/>
      <c r="X43" s="171"/>
      <c r="Y43" s="171"/>
      <c r="Z43" s="171"/>
      <c r="AA43" s="171"/>
      <c r="AB43" s="171"/>
      <c r="AC43" s="171"/>
    </row>
    <row r="44" spans="1:29" ht="15.75" customHeight="1" x14ac:dyDescent="0.25">
      <c r="A44" s="106" t="s">
        <v>463</v>
      </c>
      <c r="B44" s="249">
        <v>46239</v>
      </c>
      <c r="C44" s="246">
        <v>0.20833333333333334</v>
      </c>
      <c r="D44" s="246">
        <v>0.25</v>
      </c>
      <c r="E44" s="171">
        <v>41.429166666697711</v>
      </c>
      <c r="F44" s="171">
        <v>25.479649390210398</v>
      </c>
      <c r="G44" s="171">
        <v>0</v>
      </c>
      <c r="H44" s="171">
        <v>0</v>
      </c>
      <c r="I44" s="171">
        <v>0</v>
      </c>
      <c r="J44" s="171"/>
      <c r="K44" s="171"/>
      <c r="L44" s="171"/>
      <c r="M44" s="171"/>
      <c r="N44" s="171"/>
      <c r="O44" s="171"/>
      <c r="P44" s="171"/>
      <c r="Q44" s="171"/>
      <c r="R44" s="171"/>
      <c r="S44" s="171"/>
      <c r="T44" s="171"/>
      <c r="U44" s="171"/>
      <c r="V44" s="171"/>
      <c r="W44" s="171"/>
      <c r="X44" s="171"/>
      <c r="Y44" s="171"/>
      <c r="Z44" s="171"/>
      <c r="AA44" s="171"/>
      <c r="AB44" s="171"/>
      <c r="AC44" s="171"/>
    </row>
    <row r="45" spans="1:29" ht="15.75" customHeight="1" x14ac:dyDescent="0.25">
      <c r="A45" s="106" t="s">
        <v>480</v>
      </c>
      <c r="B45" s="249">
        <v>46240</v>
      </c>
      <c r="C45" s="246">
        <v>0.91666666666666663</v>
      </c>
      <c r="D45" s="246">
        <v>0.95833333333333337</v>
      </c>
      <c r="E45" s="171">
        <v>49.4375</v>
      </c>
      <c r="F45" s="171">
        <v>30.860937500023283</v>
      </c>
      <c r="G45" s="171">
        <v>0</v>
      </c>
      <c r="H45" s="171">
        <v>0</v>
      </c>
      <c r="I45" s="171">
        <v>0</v>
      </c>
      <c r="J45" s="171"/>
      <c r="K45" s="171"/>
      <c r="L45" s="171"/>
      <c r="M45" s="171"/>
      <c r="N45" s="171"/>
      <c r="O45" s="171"/>
      <c r="P45" s="171"/>
      <c r="Q45" s="171"/>
      <c r="R45" s="171"/>
      <c r="S45" s="171"/>
      <c r="T45" s="171"/>
      <c r="U45" s="171"/>
      <c r="V45" s="171"/>
      <c r="W45" s="171"/>
      <c r="X45" s="171"/>
      <c r="Y45" s="171"/>
      <c r="Z45" s="171"/>
      <c r="AA45" s="171"/>
      <c r="AB45" s="171"/>
      <c r="AC45" s="171"/>
    </row>
    <row r="46" spans="1:29" ht="15.75" customHeight="1" x14ac:dyDescent="0.25">
      <c r="A46" s="106" t="s">
        <v>481</v>
      </c>
      <c r="B46" s="249">
        <v>46240</v>
      </c>
      <c r="C46" s="246">
        <v>0.95833333333333337</v>
      </c>
      <c r="D46" s="246">
        <v>0</v>
      </c>
      <c r="E46" s="171">
        <v>47.9375</v>
      </c>
      <c r="F46" s="171">
        <v>22.494207317009568</v>
      </c>
      <c r="G46" s="171">
        <v>0</v>
      </c>
      <c r="H46" s="171">
        <v>0</v>
      </c>
      <c r="I46" s="171">
        <v>0</v>
      </c>
      <c r="J46" s="171"/>
      <c r="K46" s="171"/>
      <c r="L46" s="171"/>
      <c r="M46" s="171"/>
      <c r="N46" s="171"/>
      <c r="O46" s="171"/>
      <c r="P46" s="171"/>
      <c r="Q46" s="171"/>
      <c r="R46" s="171"/>
      <c r="S46" s="171"/>
      <c r="T46" s="171"/>
      <c r="U46" s="171"/>
      <c r="V46" s="171"/>
      <c r="W46" s="171"/>
      <c r="X46" s="171"/>
      <c r="Y46" s="171"/>
      <c r="Z46" s="171"/>
      <c r="AA46" s="171"/>
      <c r="AB46" s="171"/>
      <c r="AC46" s="171"/>
    </row>
    <row r="47" spans="1:29" ht="15.75" customHeight="1" x14ac:dyDescent="0.25">
      <c r="A47" s="106" t="s">
        <v>482</v>
      </c>
      <c r="B47" s="249">
        <v>46240</v>
      </c>
      <c r="C47" s="246">
        <v>0</v>
      </c>
      <c r="D47" s="246">
        <v>4.1666666666666664E-2</v>
      </c>
      <c r="E47" s="171">
        <v>45.9375</v>
      </c>
      <c r="F47" s="171">
        <v>17.774542682920583</v>
      </c>
      <c r="G47" s="171">
        <v>0</v>
      </c>
      <c r="H47" s="171">
        <v>0</v>
      </c>
      <c r="I47" s="171">
        <v>0</v>
      </c>
      <c r="J47" s="171"/>
      <c r="K47" s="171"/>
      <c r="L47" s="171"/>
      <c r="M47" s="171"/>
      <c r="N47" s="171"/>
      <c r="O47" s="171"/>
      <c r="P47" s="171"/>
      <c r="Q47" s="171"/>
      <c r="R47" s="171"/>
      <c r="S47" s="171"/>
      <c r="T47" s="171"/>
      <c r="U47" s="171"/>
      <c r="V47" s="171"/>
      <c r="W47" s="171"/>
      <c r="X47" s="171"/>
      <c r="Y47" s="171"/>
      <c r="Z47" s="171"/>
      <c r="AA47" s="171"/>
      <c r="AB47" s="171"/>
      <c r="AC47" s="171"/>
    </row>
    <row r="48" spans="1:29" ht="15.75" customHeight="1" x14ac:dyDescent="0.25">
      <c r="A48" s="106" t="s">
        <v>483</v>
      </c>
      <c r="B48" s="249">
        <v>46240</v>
      </c>
      <c r="C48" s="246">
        <v>4.1666666666666664E-2</v>
      </c>
      <c r="D48" s="246">
        <v>8.3333333333333329E-2</v>
      </c>
      <c r="E48" s="171">
        <v>46.430942622944713</v>
      </c>
      <c r="F48" s="171">
        <v>16.589062500046566</v>
      </c>
      <c r="G48" s="171">
        <v>0</v>
      </c>
      <c r="H48" s="171">
        <v>0</v>
      </c>
      <c r="I48" s="171">
        <v>0</v>
      </c>
      <c r="J48" s="171"/>
      <c r="K48" s="171"/>
      <c r="L48" s="171"/>
      <c r="M48" s="171"/>
      <c r="N48" s="171"/>
      <c r="O48" s="171"/>
      <c r="P48" s="171"/>
      <c r="Q48" s="171"/>
      <c r="R48" s="171"/>
      <c r="S48" s="171"/>
      <c r="T48" s="171"/>
      <c r="U48" s="171"/>
      <c r="V48" s="171"/>
      <c r="W48" s="171"/>
      <c r="X48" s="171"/>
      <c r="Y48" s="171"/>
      <c r="Z48" s="171"/>
      <c r="AA48" s="171"/>
      <c r="AB48" s="171"/>
      <c r="AC48" s="171"/>
    </row>
    <row r="49" spans="1:29" ht="15.75" customHeight="1" x14ac:dyDescent="0.25">
      <c r="A49" s="106" t="s">
        <v>484</v>
      </c>
      <c r="B49" s="249">
        <v>46240</v>
      </c>
      <c r="C49" s="246">
        <v>8.3333333333333329E-2</v>
      </c>
      <c r="D49" s="246">
        <v>0.125</v>
      </c>
      <c r="E49" s="171">
        <v>46.289890710264444</v>
      </c>
      <c r="F49" s="171">
        <v>15.923437500023283</v>
      </c>
      <c r="G49" s="171">
        <v>0</v>
      </c>
      <c r="H49" s="171">
        <v>0</v>
      </c>
      <c r="I49" s="171">
        <v>0</v>
      </c>
      <c r="J49" s="171"/>
      <c r="K49" s="171"/>
      <c r="L49" s="171"/>
      <c r="M49" s="171"/>
      <c r="N49" s="171"/>
      <c r="O49" s="171"/>
      <c r="P49" s="171"/>
      <c r="Q49" s="171"/>
      <c r="R49" s="171"/>
      <c r="S49" s="171"/>
      <c r="T49" s="171"/>
      <c r="U49" s="171"/>
      <c r="V49" s="171"/>
      <c r="W49" s="171"/>
      <c r="X49" s="171"/>
      <c r="Y49" s="171"/>
      <c r="Z49" s="171"/>
      <c r="AA49" s="171"/>
      <c r="AB49" s="171"/>
      <c r="AC49" s="171"/>
    </row>
    <row r="50" spans="1:29" ht="15.75" customHeight="1" x14ac:dyDescent="0.25">
      <c r="A50" s="106" t="s">
        <v>485</v>
      </c>
      <c r="B50" s="249">
        <v>46240</v>
      </c>
      <c r="C50" s="246">
        <v>0.125</v>
      </c>
      <c r="D50" s="246">
        <v>0.16666666666666666</v>
      </c>
      <c r="E50" s="171">
        <v>45.570698924828321</v>
      </c>
      <c r="F50" s="171">
        <v>14.099999999976717</v>
      </c>
      <c r="G50" s="171">
        <v>0</v>
      </c>
      <c r="H50" s="171">
        <v>0</v>
      </c>
      <c r="I50" s="171">
        <v>0</v>
      </c>
      <c r="J50" s="171"/>
      <c r="K50" s="171"/>
      <c r="L50" s="171"/>
      <c r="M50" s="171"/>
      <c r="N50" s="171"/>
      <c r="O50" s="171"/>
      <c r="P50" s="171"/>
      <c r="Q50" s="171"/>
      <c r="R50" s="171"/>
      <c r="S50" s="171"/>
      <c r="T50" s="171"/>
      <c r="U50" s="171"/>
      <c r="V50" s="171"/>
      <c r="W50" s="171"/>
      <c r="X50" s="171"/>
      <c r="Y50" s="171"/>
      <c r="Z50" s="171"/>
      <c r="AA50" s="171"/>
      <c r="AB50" s="171"/>
      <c r="AC50" s="171"/>
    </row>
    <row r="51" spans="1:29" ht="15.75" customHeight="1" x14ac:dyDescent="0.25">
      <c r="A51" s="106" t="s">
        <v>486</v>
      </c>
      <c r="B51" s="249">
        <v>46240</v>
      </c>
      <c r="C51" s="246">
        <v>0.16666666666666666</v>
      </c>
      <c r="D51" s="246">
        <v>0.20833333333333334</v>
      </c>
      <c r="E51" s="171">
        <v>45.192689053714275</v>
      </c>
      <c r="F51" s="171">
        <v>29.342187499976717</v>
      </c>
      <c r="G51" s="171">
        <v>0</v>
      </c>
      <c r="H51" s="171">
        <v>0</v>
      </c>
      <c r="I51" s="171">
        <v>0</v>
      </c>
      <c r="J51" s="171"/>
      <c r="K51" s="171"/>
      <c r="L51" s="171"/>
      <c r="M51" s="171"/>
      <c r="N51" s="171"/>
      <c r="O51" s="171"/>
      <c r="P51" s="171"/>
      <c r="Q51" s="171"/>
      <c r="R51" s="171"/>
      <c r="S51" s="171"/>
      <c r="T51" s="171"/>
      <c r="U51" s="171"/>
      <c r="V51" s="171"/>
      <c r="W51" s="171"/>
      <c r="X51" s="171"/>
      <c r="Y51" s="171"/>
      <c r="Z51" s="171"/>
      <c r="AA51" s="171"/>
      <c r="AB51" s="171"/>
      <c r="AC51" s="171"/>
    </row>
    <row r="52" spans="1:29" ht="15.75" customHeight="1" x14ac:dyDescent="0.25">
      <c r="A52" s="106" t="s">
        <v>487</v>
      </c>
      <c r="B52" s="249">
        <v>46240</v>
      </c>
      <c r="C52" s="246">
        <v>0.20833333333333334</v>
      </c>
      <c r="D52" s="246">
        <v>0.25</v>
      </c>
      <c r="E52" s="171">
        <v>47.969945354852825</v>
      </c>
      <c r="F52" s="171">
        <v>16.104851973708719</v>
      </c>
      <c r="G52" s="171">
        <v>0</v>
      </c>
      <c r="H52" s="171">
        <v>0</v>
      </c>
      <c r="I52" s="171">
        <v>0</v>
      </c>
      <c r="J52" s="171"/>
      <c r="K52" s="171"/>
      <c r="L52" s="171"/>
      <c r="M52" s="171"/>
      <c r="N52" s="171"/>
      <c r="O52" s="171"/>
      <c r="P52" s="171"/>
      <c r="Q52" s="171"/>
      <c r="R52" s="171"/>
      <c r="S52" s="171"/>
      <c r="T52" s="171"/>
      <c r="U52" s="171"/>
      <c r="V52" s="171"/>
      <c r="W52" s="171"/>
      <c r="X52" s="171"/>
      <c r="Y52" s="171"/>
      <c r="Z52" s="171"/>
      <c r="AA52" s="171"/>
      <c r="AB52" s="171"/>
      <c r="AC52" s="171"/>
    </row>
    <row r="53" spans="1:29" ht="15.75" customHeight="1" x14ac:dyDescent="0.25">
      <c r="A53" s="106" t="s">
        <v>504</v>
      </c>
      <c r="B53" s="249">
        <v>46241</v>
      </c>
      <c r="C53" s="246">
        <v>0.91666666666666663</v>
      </c>
      <c r="D53" s="246">
        <v>0.95833333333333337</v>
      </c>
      <c r="E53" s="171">
        <v>49.933731592260301</v>
      </c>
      <c r="F53" s="171">
        <v>22.823170731775463</v>
      </c>
      <c r="G53" s="171">
        <v>0</v>
      </c>
      <c r="H53" s="171">
        <v>0</v>
      </c>
      <c r="I53" s="171">
        <v>0</v>
      </c>
      <c r="J53" s="171"/>
      <c r="K53" s="171"/>
      <c r="L53" s="171"/>
      <c r="M53" s="171"/>
      <c r="N53" s="171"/>
      <c r="O53" s="171"/>
      <c r="P53" s="171"/>
      <c r="Q53" s="171"/>
      <c r="R53" s="171"/>
      <c r="S53" s="171"/>
      <c r="T53" s="171"/>
      <c r="U53" s="171"/>
      <c r="V53" s="171"/>
      <c r="W53" s="171"/>
      <c r="X53" s="171"/>
      <c r="Y53" s="171"/>
      <c r="Z53" s="171"/>
      <c r="AA53" s="171"/>
      <c r="AB53" s="171"/>
      <c r="AC53" s="171"/>
    </row>
    <row r="54" spans="1:29" ht="15.75" customHeight="1" x14ac:dyDescent="0.25">
      <c r="A54" s="106" t="s">
        <v>505</v>
      </c>
      <c r="B54" s="249">
        <v>46241</v>
      </c>
      <c r="C54" s="246">
        <v>0.95833333333333337</v>
      </c>
      <c r="D54" s="246">
        <v>0</v>
      </c>
      <c r="E54" s="171">
        <v>42.061748633626848</v>
      </c>
      <c r="F54" s="171">
        <v>18.119882404105738</v>
      </c>
      <c r="G54" s="171">
        <v>0</v>
      </c>
      <c r="H54" s="171">
        <v>0</v>
      </c>
      <c r="I54" s="171">
        <v>0</v>
      </c>
      <c r="J54" s="171"/>
      <c r="K54" s="171"/>
      <c r="L54" s="171"/>
      <c r="M54" s="171"/>
      <c r="N54" s="171"/>
      <c r="O54" s="171"/>
      <c r="P54" s="171"/>
      <c r="Q54" s="171"/>
      <c r="R54" s="171"/>
      <c r="S54" s="171"/>
      <c r="T54" s="171"/>
      <c r="U54" s="171"/>
      <c r="V54" s="171"/>
      <c r="W54" s="171"/>
      <c r="X54" s="171"/>
      <c r="Y54" s="171"/>
      <c r="Z54" s="171"/>
      <c r="AA54" s="171"/>
      <c r="AB54" s="171"/>
      <c r="AC54" s="171"/>
    </row>
    <row r="55" spans="1:29" ht="15.75" customHeight="1" x14ac:dyDescent="0.25">
      <c r="A55" s="106" t="s">
        <v>506</v>
      </c>
      <c r="B55" s="249">
        <v>46241</v>
      </c>
      <c r="C55" s="246">
        <v>0</v>
      </c>
      <c r="D55" s="246">
        <v>4.1666666666666664E-2</v>
      </c>
      <c r="E55" s="171">
        <v>41.528415300417691</v>
      </c>
      <c r="F55" s="171">
        <v>16.486607142840512</v>
      </c>
      <c r="G55" s="171">
        <v>0</v>
      </c>
      <c r="H55" s="171">
        <v>0</v>
      </c>
      <c r="I55" s="171">
        <v>0</v>
      </c>
      <c r="J55" s="171"/>
      <c r="K55" s="171"/>
      <c r="L55" s="171"/>
      <c r="M55" s="171"/>
      <c r="N55" s="171"/>
      <c r="O55" s="171"/>
      <c r="P55" s="171"/>
      <c r="Q55" s="171"/>
      <c r="R55" s="171"/>
      <c r="S55" s="171"/>
      <c r="T55" s="171"/>
      <c r="U55" s="171"/>
      <c r="V55" s="171"/>
      <c r="W55" s="171"/>
      <c r="X55" s="171"/>
      <c r="Y55" s="171"/>
      <c r="Z55" s="171"/>
      <c r="AA55" s="171"/>
      <c r="AB55" s="171"/>
      <c r="AC55" s="171"/>
    </row>
    <row r="56" spans="1:29" ht="15.75" customHeight="1" x14ac:dyDescent="0.25">
      <c r="A56" s="106" t="s">
        <v>507</v>
      </c>
      <c r="B56" s="249">
        <v>46241</v>
      </c>
      <c r="C56" s="246">
        <v>4.1666666666666664E-2</v>
      </c>
      <c r="D56" s="246">
        <v>8.3333333333333329E-2</v>
      </c>
      <c r="E56" s="171">
        <v>42.07991803297773</v>
      </c>
      <c r="F56" s="171">
        <v>30.059821428614669</v>
      </c>
      <c r="G56" s="171">
        <v>0</v>
      </c>
      <c r="H56" s="171">
        <v>0</v>
      </c>
      <c r="I56" s="171">
        <v>0</v>
      </c>
      <c r="J56" s="171"/>
      <c r="K56" s="171"/>
      <c r="L56" s="171"/>
      <c r="M56" s="171"/>
      <c r="N56" s="171"/>
      <c r="O56" s="171"/>
      <c r="P56" s="171"/>
      <c r="Q56" s="171"/>
      <c r="R56" s="171"/>
      <c r="S56" s="171"/>
      <c r="T56" s="171"/>
      <c r="U56" s="171"/>
      <c r="V56" s="171"/>
      <c r="W56" s="171"/>
      <c r="X56" s="171"/>
      <c r="Y56" s="171"/>
      <c r="Z56" s="171"/>
      <c r="AA56" s="171"/>
      <c r="AB56" s="171"/>
      <c r="AC56" s="171"/>
    </row>
    <row r="57" spans="1:29" ht="15.75" customHeight="1" x14ac:dyDescent="0.25">
      <c r="A57" s="106" t="s">
        <v>508</v>
      </c>
      <c r="B57" s="249">
        <v>46241</v>
      </c>
      <c r="C57" s="246">
        <v>8.3333333333333329E-2</v>
      </c>
      <c r="D57" s="246">
        <v>0.125</v>
      </c>
      <c r="E57" s="171">
        <v>41.9375</v>
      </c>
      <c r="F57" s="171">
        <v>30.114062500069849</v>
      </c>
      <c r="G57" s="171">
        <v>0</v>
      </c>
      <c r="H57" s="171">
        <v>0</v>
      </c>
      <c r="I57" s="171">
        <v>0</v>
      </c>
      <c r="J57" s="171"/>
      <c r="K57" s="171"/>
      <c r="L57" s="171"/>
      <c r="M57" s="171"/>
      <c r="N57" s="171"/>
      <c r="O57" s="171"/>
      <c r="P57" s="171"/>
      <c r="Q57" s="171"/>
      <c r="R57" s="171"/>
      <c r="S57" s="171"/>
      <c r="T57" s="171"/>
      <c r="U57" s="171"/>
      <c r="V57" s="171"/>
      <c r="W57" s="171"/>
      <c r="X57" s="171"/>
      <c r="Y57" s="171"/>
      <c r="Z57" s="171"/>
      <c r="AA57" s="171"/>
      <c r="AB57" s="171"/>
      <c r="AC57" s="171"/>
    </row>
    <row r="58" spans="1:29" ht="15.75" customHeight="1" x14ac:dyDescent="0.25">
      <c r="A58" s="106" t="s">
        <v>509</v>
      </c>
      <c r="B58" s="249">
        <v>46241</v>
      </c>
      <c r="C58" s="246">
        <v>0.125</v>
      </c>
      <c r="D58" s="246">
        <v>0.16666666666666666</v>
      </c>
      <c r="E58" s="171">
        <v>40.851434426382184</v>
      </c>
      <c r="F58" s="171">
        <v>17.3046875</v>
      </c>
      <c r="G58" s="171">
        <v>0</v>
      </c>
      <c r="H58" s="171">
        <v>0</v>
      </c>
      <c r="I58" s="171">
        <v>0</v>
      </c>
      <c r="J58" s="171"/>
      <c r="K58" s="171"/>
      <c r="L58" s="171"/>
      <c r="M58" s="171"/>
      <c r="N58" s="171"/>
      <c r="O58" s="171"/>
      <c r="P58" s="171"/>
      <c r="Q58" s="171"/>
      <c r="R58" s="171"/>
      <c r="S58" s="171"/>
      <c r="T58" s="171"/>
      <c r="U58" s="171"/>
      <c r="V58" s="171"/>
      <c r="W58" s="171"/>
      <c r="X58" s="171"/>
      <c r="Y58" s="171"/>
      <c r="Z58" s="171"/>
      <c r="AA58" s="171"/>
      <c r="AB58" s="171"/>
      <c r="AC58" s="171"/>
    </row>
    <row r="59" spans="1:29" ht="15.75" customHeight="1" x14ac:dyDescent="0.25">
      <c r="A59" s="106" t="s">
        <v>510</v>
      </c>
      <c r="B59" s="249">
        <v>46241</v>
      </c>
      <c r="C59" s="246">
        <v>0.16666666666666666</v>
      </c>
      <c r="D59" s="246">
        <v>0.20833333333333334</v>
      </c>
      <c r="E59" s="171">
        <v>40.511065573431551</v>
      </c>
      <c r="F59" s="171">
        <v>14.754878048785031</v>
      </c>
      <c r="G59" s="171">
        <v>0</v>
      </c>
      <c r="H59" s="171">
        <v>0</v>
      </c>
      <c r="I59" s="171">
        <v>0</v>
      </c>
      <c r="J59" s="171"/>
      <c r="K59" s="171"/>
      <c r="L59" s="171"/>
      <c r="M59" s="171"/>
      <c r="N59" s="171"/>
      <c r="O59" s="171"/>
      <c r="P59" s="171"/>
      <c r="Q59" s="171"/>
      <c r="R59" s="171"/>
      <c r="S59" s="171"/>
      <c r="T59" s="171"/>
      <c r="U59" s="171"/>
      <c r="V59" s="171"/>
      <c r="W59" s="171"/>
      <c r="X59" s="171"/>
      <c r="Y59" s="171"/>
      <c r="Z59" s="171"/>
      <c r="AA59" s="171"/>
      <c r="AB59" s="171"/>
      <c r="AC59" s="171"/>
    </row>
    <row r="60" spans="1:29" ht="15.75" customHeight="1" x14ac:dyDescent="0.25">
      <c r="A60" s="106" t="s">
        <v>511</v>
      </c>
      <c r="B60" s="249">
        <v>46241</v>
      </c>
      <c r="C60" s="246">
        <v>0.20833333333333334</v>
      </c>
      <c r="D60" s="246">
        <v>0.25</v>
      </c>
      <c r="E60" s="171">
        <v>43.900000000372529</v>
      </c>
      <c r="F60" s="171">
        <v>19.22480945114512</v>
      </c>
      <c r="G60" s="171">
        <v>0</v>
      </c>
      <c r="H60" s="171">
        <v>0</v>
      </c>
      <c r="I60" s="171">
        <v>0</v>
      </c>
      <c r="J60" s="171"/>
      <c r="K60" s="171"/>
      <c r="L60" s="171"/>
      <c r="M60" s="171"/>
      <c r="N60" s="171"/>
      <c r="O60" s="171"/>
      <c r="P60" s="171"/>
      <c r="Q60" s="171"/>
      <c r="R60" s="171"/>
      <c r="S60" s="171"/>
      <c r="T60" s="171"/>
      <c r="U60" s="171"/>
      <c r="V60" s="171"/>
      <c r="W60" s="171"/>
      <c r="X60" s="171"/>
      <c r="Y60" s="171"/>
      <c r="Z60" s="171"/>
      <c r="AA60" s="171"/>
      <c r="AB60" s="171"/>
      <c r="AC60" s="171"/>
    </row>
    <row r="61" spans="1:29" ht="15.75" customHeight="1" x14ac:dyDescent="0.25">
      <c r="A61" s="106" t="s">
        <v>528</v>
      </c>
      <c r="B61" s="249">
        <v>46242</v>
      </c>
      <c r="C61" s="246">
        <v>0.91666666666666663</v>
      </c>
      <c r="D61" s="246">
        <v>0.95833333333333337</v>
      </c>
      <c r="E61" s="171">
        <v>41.179303278680891</v>
      </c>
      <c r="F61" s="171">
        <v>19.473214285681024</v>
      </c>
      <c r="G61" s="171">
        <v>0</v>
      </c>
      <c r="H61" s="171">
        <v>0</v>
      </c>
      <c r="I61" s="171">
        <v>0</v>
      </c>
      <c r="J61" s="171"/>
      <c r="K61" s="171"/>
      <c r="L61" s="171"/>
      <c r="M61" s="171"/>
      <c r="N61" s="171"/>
      <c r="O61" s="171"/>
      <c r="P61" s="171"/>
      <c r="Q61" s="171"/>
      <c r="R61" s="171"/>
      <c r="S61" s="171"/>
      <c r="T61" s="171"/>
      <c r="U61" s="171"/>
      <c r="V61" s="171"/>
      <c r="W61" s="171"/>
      <c r="X61" s="171"/>
      <c r="Y61" s="171"/>
      <c r="Z61" s="171"/>
      <c r="AA61" s="171"/>
      <c r="AB61" s="171"/>
      <c r="AC61" s="171"/>
    </row>
    <row r="62" spans="1:29" ht="15.75" customHeight="1" x14ac:dyDescent="0.25">
      <c r="A62" s="106" t="s">
        <v>529</v>
      </c>
      <c r="B62" s="249">
        <v>46242</v>
      </c>
      <c r="C62" s="246">
        <v>0.95833333333333337</v>
      </c>
      <c r="D62" s="246">
        <v>0</v>
      </c>
      <c r="E62" s="171">
        <v>43.683196721132845</v>
      </c>
      <c r="F62" s="171">
        <v>14.935439560445957</v>
      </c>
      <c r="G62" s="171">
        <v>0</v>
      </c>
      <c r="H62" s="171">
        <v>0</v>
      </c>
      <c r="I62" s="171">
        <v>0</v>
      </c>
      <c r="J62" s="171"/>
      <c r="K62" s="171"/>
      <c r="L62" s="171"/>
      <c r="M62" s="171"/>
      <c r="N62" s="171"/>
      <c r="O62" s="171"/>
      <c r="P62" s="171"/>
      <c r="Q62" s="171"/>
      <c r="R62" s="171"/>
      <c r="S62" s="171"/>
      <c r="T62" s="171"/>
      <c r="U62" s="171"/>
      <c r="V62" s="171"/>
      <c r="W62" s="171"/>
      <c r="X62" s="171"/>
      <c r="Y62" s="171"/>
      <c r="Z62" s="171"/>
      <c r="AA62" s="171"/>
      <c r="AB62" s="171"/>
      <c r="AC62" s="171"/>
    </row>
    <row r="63" spans="1:29" ht="15.75" customHeight="1" x14ac:dyDescent="0.25">
      <c r="A63" s="106" t="s">
        <v>530</v>
      </c>
      <c r="B63" s="249">
        <v>46242</v>
      </c>
      <c r="C63" s="246">
        <v>0</v>
      </c>
      <c r="D63" s="246">
        <v>4.1666666666666664E-2</v>
      </c>
      <c r="E63" s="171">
        <v>40.816666666883975</v>
      </c>
      <c r="F63" s="171">
        <v>14.624158653896302</v>
      </c>
      <c r="G63" s="171">
        <v>0</v>
      </c>
      <c r="H63" s="171">
        <v>0</v>
      </c>
      <c r="I63" s="171">
        <v>0</v>
      </c>
      <c r="J63" s="171"/>
      <c r="K63" s="171"/>
      <c r="L63" s="171"/>
      <c r="M63" s="171"/>
      <c r="N63" s="171"/>
      <c r="O63" s="171"/>
      <c r="P63" s="171"/>
      <c r="Q63" s="171"/>
      <c r="R63" s="171"/>
      <c r="S63" s="171"/>
      <c r="T63" s="171"/>
      <c r="U63" s="171"/>
      <c r="V63" s="171"/>
      <c r="W63" s="171"/>
      <c r="X63" s="171"/>
      <c r="Y63" s="171"/>
      <c r="Z63" s="171"/>
      <c r="AA63" s="171"/>
      <c r="AB63" s="171"/>
      <c r="AC63" s="171"/>
    </row>
    <row r="64" spans="1:29" ht="15.75" customHeight="1" x14ac:dyDescent="0.25">
      <c r="A64" s="106" t="s">
        <v>531</v>
      </c>
      <c r="B64" s="249">
        <v>46242</v>
      </c>
      <c r="C64" s="246">
        <v>4.1666666666666664E-2</v>
      </c>
      <c r="D64" s="246">
        <v>8.3333333333333329E-2</v>
      </c>
      <c r="E64" s="171">
        <v>39.558333333116025</v>
      </c>
      <c r="F64" s="171">
        <v>14.885937499930151</v>
      </c>
      <c r="G64" s="171">
        <v>0</v>
      </c>
      <c r="H64" s="171">
        <v>0</v>
      </c>
      <c r="I64" s="171">
        <v>0</v>
      </c>
      <c r="J64" s="171"/>
      <c r="K64" s="171"/>
      <c r="L64" s="171"/>
      <c r="M64" s="171"/>
      <c r="N64" s="171"/>
      <c r="O64" s="171"/>
      <c r="P64" s="171"/>
      <c r="Q64" s="171"/>
      <c r="R64" s="171"/>
      <c r="S64" s="171"/>
      <c r="T64" s="171"/>
      <c r="U64" s="171"/>
      <c r="V64" s="171"/>
      <c r="W64" s="171"/>
      <c r="X64" s="171"/>
      <c r="Y64" s="171"/>
      <c r="Z64" s="171"/>
      <c r="AA64" s="171"/>
      <c r="AB64" s="171"/>
      <c r="AC64" s="171"/>
    </row>
    <row r="65" spans="1:29" ht="15.75" customHeight="1" x14ac:dyDescent="0.25">
      <c r="A65" s="106" t="s">
        <v>532</v>
      </c>
      <c r="B65" s="249">
        <v>46242</v>
      </c>
      <c r="C65" s="246">
        <v>8.3333333333333329E-2</v>
      </c>
      <c r="D65" s="246">
        <v>0.125</v>
      </c>
      <c r="E65" s="171">
        <v>38.1875</v>
      </c>
      <c r="F65" s="171">
        <v>17.047713414649479</v>
      </c>
      <c r="G65" s="171">
        <v>0</v>
      </c>
      <c r="H65" s="171">
        <v>0</v>
      </c>
      <c r="I65" s="171">
        <v>0</v>
      </c>
      <c r="J65" s="171"/>
      <c r="K65" s="171"/>
      <c r="L65" s="171"/>
      <c r="M65" s="171"/>
      <c r="N65" s="171"/>
      <c r="O65" s="171"/>
      <c r="P65" s="171"/>
      <c r="Q65" s="171"/>
      <c r="R65" s="171"/>
      <c r="S65" s="171"/>
      <c r="T65" s="171"/>
      <c r="U65" s="171"/>
      <c r="V65" s="171"/>
      <c r="W65" s="171"/>
      <c r="X65" s="171"/>
      <c r="Y65" s="171"/>
      <c r="Z65" s="171"/>
      <c r="AA65" s="171"/>
      <c r="AB65" s="171"/>
      <c r="AC65" s="171"/>
    </row>
    <row r="66" spans="1:29" ht="15.75" customHeight="1" x14ac:dyDescent="0.25">
      <c r="A66" s="106" t="s">
        <v>533</v>
      </c>
      <c r="B66" s="249">
        <v>46242</v>
      </c>
      <c r="C66" s="246">
        <v>0.125</v>
      </c>
      <c r="D66" s="246">
        <v>0.16666666666666666</v>
      </c>
      <c r="E66" s="171">
        <v>39.927754237316549</v>
      </c>
      <c r="F66" s="171">
        <v>30.954268292756751</v>
      </c>
      <c r="G66" s="171">
        <v>0</v>
      </c>
      <c r="H66" s="171">
        <v>0</v>
      </c>
      <c r="I66" s="171">
        <v>0</v>
      </c>
      <c r="J66" s="171"/>
      <c r="K66" s="171"/>
      <c r="L66" s="171"/>
      <c r="M66" s="171"/>
      <c r="N66" s="171"/>
      <c r="O66" s="171"/>
      <c r="P66" s="171"/>
      <c r="Q66" s="171"/>
      <c r="R66" s="171"/>
      <c r="S66" s="171"/>
      <c r="T66" s="171"/>
      <c r="U66" s="171"/>
      <c r="V66" s="171"/>
      <c r="W66" s="171"/>
      <c r="X66" s="171"/>
      <c r="Y66" s="171"/>
      <c r="Z66" s="171"/>
      <c r="AA66" s="171"/>
      <c r="AB66" s="171"/>
      <c r="AC66" s="171"/>
    </row>
    <row r="67" spans="1:29" ht="15.75" customHeight="1" x14ac:dyDescent="0.25">
      <c r="A67" s="106" t="s">
        <v>534</v>
      </c>
      <c r="B67" s="249">
        <v>46242</v>
      </c>
      <c r="C67" s="246">
        <v>0.16666666666666666</v>
      </c>
      <c r="D67" s="246">
        <v>0.20833333333333334</v>
      </c>
      <c r="E67" s="171">
        <v>39.40974576305598</v>
      </c>
      <c r="F67" s="171">
        <v>36.815548780490644</v>
      </c>
      <c r="G67" s="171">
        <v>0</v>
      </c>
      <c r="H67" s="171">
        <v>0</v>
      </c>
      <c r="I67" s="171">
        <v>0</v>
      </c>
      <c r="J67" s="171"/>
      <c r="K67" s="171"/>
      <c r="L67" s="171"/>
      <c r="M67" s="171"/>
      <c r="N67" s="171"/>
      <c r="O67" s="171"/>
      <c r="P67" s="171"/>
      <c r="Q67" s="171"/>
      <c r="R67" s="171"/>
      <c r="S67" s="171"/>
      <c r="T67" s="171"/>
      <c r="U67" s="171"/>
      <c r="V67" s="171"/>
      <c r="W67" s="171"/>
      <c r="X67" s="171"/>
      <c r="Y67" s="171"/>
      <c r="Z67" s="171"/>
      <c r="AA67" s="171"/>
      <c r="AB67" s="171"/>
      <c r="AC67" s="171"/>
    </row>
    <row r="68" spans="1:29" ht="15.75" customHeight="1" x14ac:dyDescent="0.25">
      <c r="A68" s="106" t="s">
        <v>535</v>
      </c>
      <c r="B68" s="249">
        <v>46242</v>
      </c>
      <c r="C68" s="246">
        <v>0.20833333333333334</v>
      </c>
      <c r="D68" s="246">
        <v>0.25</v>
      </c>
      <c r="E68" s="171">
        <v>39.224999999627471</v>
      </c>
      <c r="F68" s="171">
        <v>14.451219512149692</v>
      </c>
      <c r="G68" s="171">
        <v>0</v>
      </c>
      <c r="H68" s="171">
        <v>0</v>
      </c>
      <c r="I68" s="171">
        <v>0</v>
      </c>
      <c r="J68" s="171"/>
      <c r="K68" s="171"/>
      <c r="L68" s="171"/>
      <c r="M68" s="171"/>
      <c r="N68" s="171"/>
      <c r="O68" s="171"/>
      <c r="P68" s="171"/>
      <c r="Q68" s="171"/>
      <c r="R68" s="171"/>
      <c r="S68" s="171"/>
      <c r="T68" s="171"/>
      <c r="U68" s="171"/>
      <c r="V68" s="171"/>
      <c r="W68" s="171"/>
      <c r="X68" s="171"/>
      <c r="Y68" s="171"/>
      <c r="Z68" s="171"/>
      <c r="AA68" s="171"/>
      <c r="AB68" s="171"/>
      <c r="AC68" s="171"/>
    </row>
    <row r="69" spans="1:29" ht="15.75" customHeight="1" x14ac:dyDescent="0.25">
      <c r="A69" s="106" t="s">
        <v>552</v>
      </c>
      <c r="B69" s="249">
        <v>46243</v>
      </c>
      <c r="C69" s="246">
        <v>0.91666666666666663</v>
      </c>
      <c r="D69" s="246">
        <v>0.95833333333333337</v>
      </c>
      <c r="E69" s="171">
        <v>42.016666666604578</v>
      </c>
      <c r="F69" s="171">
        <v>4.6656250000232831</v>
      </c>
      <c r="G69" s="171">
        <v>0</v>
      </c>
      <c r="H69" s="171">
        <v>0</v>
      </c>
      <c r="I69" s="171">
        <v>0</v>
      </c>
      <c r="J69" s="171"/>
      <c r="K69" s="171"/>
      <c r="L69" s="171"/>
      <c r="M69" s="171"/>
      <c r="N69" s="171"/>
      <c r="O69" s="171"/>
      <c r="P69" s="171"/>
      <c r="Q69" s="171"/>
      <c r="R69" s="171"/>
      <c r="S69" s="171"/>
      <c r="T69" s="171"/>
      <c r="U69" s="171"/>
      <c r="V69" s="171"/>
      <c r="W69" s="171"/>
      <c r="X69" s="171"/>
      <c r="Y69" s="171"/>
      <c r="Z69" s="171"/>
      <c r="AA69" s="171"/>
      <c r="AB69" s="171"/>
      <c r="AC69" s="171"/>
    </row>
    <row r="70" spans="1:29" ht="15.75" customHeight="1" x14ac:dyDescent="0.25">
      <c r="A70" s="106" t="s">
        <v>553</v>
      </c>
      <c r="B70" s="249">
        <v>46243</v>
      </c>
      <c r="C70" s="246">
        <v>0.95833333333333337</v>
      </c>
      <c r="D70" s="246">
        <v>0</v>
      </c>
      <c r="E70" s="171">
        <v>39.710057470947504</v>
      </c>
      <c r="F70" s="171">
        <v>4.6031250000232831</v>
      </c>
      <c r="G70" s="171">
        <v>0</v>
      </c>
      <c r="H70" s="171">
        <v>0</v>
      </c>
      <c r="I70" s="171">
        <v>0</v>
      </c>
      <c r="J70" s="171"/>
      <c r="K70" s="171"/>
      <c r="L70" s="171"/>
      <c r="M70" s="171"/>
      <c r="N70" s="171"/>
      <c r="O70" s="171"/>
      <c r="P70" s="171"/>
      <c r="Q70" s="171"/>
      <c r="R70" s="171"/>
      <c r="S70" s="171"/>
      <c r="T70" s="171"/>
      <c r="U70" s="171"/>
      <c r="V70" s="171"/>
      <c r="W70" s="171"/>
      <c r="X70" s="171"/>
      <c r="Y70" s="171"/>
      <c r="Z70" s="171"/>
      <c r="AA70" s="171"/>
      <c r="AB70" s="171"/>
      <c r="AC70" s="171"/>
    </row>
    <row r="71" spans="1:29" ht="15.75" customHeight="1" x14ac:dyDescent="0.25">
      <c r="A71" s="106" t="s">
        <v>554</v>
      </c>
      <c r="B71" s="249">
        <v>46243</v>
      </c>
      <c r="C71" s="246">
        <v>0</v>
      </c>
      <c r="D71" s="246">
        <v>4.1666666666666664E-2</v>
      </c>
      <c r="E71" s="171">
        <v>40.460570944007486</v>
      </c>
      <c r="F71" s="171">
        <v>4.6796875</v>
      </c>
      <c r="G71" s="171">
        <v>0</v>
      </c>
      <c r="H71" s="171">
        <v>0</v>
      </c>
      <c r="I71" s="171">
        <v>0</v>
      </c>
      <c r="J71" s="171"/>
      <c r="K71" s="171"/>
      <c r="L71" s="171"/>
      <c r="M71" s="171"/>
      <c r="N71" s="171"/>
      <c r="O71" s="171"/>
      <c r="P71" s="171"/>
      <c r="Q71" s="171"/>
      <c r="R71" s="171"/>
      <c r="S71" s="171"/>
      <c r="T71" s="171"/>
      <c r="U71" s="171"/>
      <c r="V71" s="171"/>
      <c r="W71" s="171"/>
      <c r="X71" s="171"/>
      <c r="Y71" s="171"/>
      <c r="Z71" s="171"/>
      <c r="AA71" s="171"/>
      <c r="AB71" s="171"/>
      <c r="AC71" s="171"/>
    </row>
    <row r="72" spans="1:29" ht="15.75" customHeight="1" x14ac:dyDescent="0.25">
      <c r="A72" s="106" t="s">
        <v>555</v>
      </c>
      <c r="B72" s="249">
        <v>46243</v>
      </c>
      <c r="C72" s="246">
        <v>4.1666666666666664E-2</v>
      </c>
      <c r="D72" s="246">
        <v>8.3333333333333329E-2</v>
      </c>
      <c r="E72" s="171">
        <v>39.062704918440431</v>
      </c>
      <c r="F72" s="171">
        <v>4.6500000000232831</v>
      </c>
      <c r="G72" s="171">
        <v>0</v>
      </c>
      <c r="H72" s="171">
        <v>0</v>
      </c>
      <c r="I72" s="171">
        <v>0</v>
      </c>
      <c r="J72" s="171"/>
      <c r="K72" s="171"/>
      <c r="L72" s="171"/>
      <c r="M72" s="171"/>
      <c r="N72" s="171"/>
      <c r="O72" s="171"/>
      <c r="P72" s="171"/>
      <c r="Q72" s="171"/>
      <c r="R72" s="171"/>
      <c r="S72" s="171"/>
      <c r="T72" s="171"/>
      <c r="U72" s="171"/>
      <c r="V72" s="171"/>
      <c r="W72" s="171"/>
      <c r="X72" s="171"/>
      <c r="Y72" s="171"/>
      <c r="Z72" s="171"/>
      <c r="AA72" s="171"/>
      <c r="AB72" s="171"/>
      <c r="AC72" s="171"/>
    </row>
    <row r="73" spans="1:29" ht="15.75" customHeight="1" x14ac:dyDescent="0.25">
      <c r="A73" s="106" t="s">
        <v>556</v>
      </c>
      <c r="B73" s="249">
        <v>46243</v>
      </c>
      <c r="C73" s="246">
        <v>8.3333333333333329E-2</v>
      </c>
      <c r="D73" s="246">
        <v>0.125</v>
      </c>
      <c r="E73" s="171">
        <v>39.1875</v>
      </c>
      <c r="F73" s="171">
        <v>4.2874999999767169</v>
      </c>
      <c r="G73" s="171">
        <v>0</v>
      </c>
      <c r="H73" s="171">
        <v>0</v>
      </c>
      <c r="I73" s="171">
        <v>0</v>
      </c>
      <c r="J73" s="171"/>
      <c r="K73" s="171"/>
      <c r="L73" s="171"/>
      <c r="M73" s="171"/>
      <c r="N73" s="171"/>
      <c r="O73" s="171"/>
      <c r="P73" s="171"/>
      <c r="Q73" s="171"/>
      <c r="R73" s="171"/>
      <c r="S73" s="171"/>
      <c r="T73" s="171"/>
      <c r="U73" s="171"/>
      <c r="V73" s="171"/>
      <c r="W73" s="171"/>
      <c r="X73" s="171"/>
      <c r="Y73" s="171"/>
      <c r="Z73" s="171"/>
      <c r="AA73" s="171"/>
      <c r="AB73" s="171"/>
      <c r="AC73" s="171"/>
    </row>
    <row r="74" spans="1:29" ht="15.75" customHeight="1" x14ac:dyDescent="0.25">
      <c r="A74" s="106" t="s">
        <v>557</v>
      </c>
      <c r="B74" s="249">
        <v>46243</v>
      </c>
      <c r="C74" s="246">
        <v>0.125</v>
      </c>
      <c r="D74" s="246">
        <v>0.16666666666666666</v>
      </c>
      <c r="E74" s="171">
        <v>37.614618643652648</v>
      </c>
      <c r="F74" s="171">
        <v>4.2916666666278616</v>
      </c>
      <c r="G74" s="171">
        <v>0</v>
      </c>
      <c r="H74" s="171">
        <v>0</v>
      </c>
      <c r="I74" s="171">
        <v>0</v>
      </c>
      <c r="J74" s="171"/>
      <c r="K74" s="171"/>
      <c r="L74" s="171"/>
      <c r="M74" s="171"/>
      <c r="N74" s="171"/>
      <c r="O74" s="171"/>
      <c r="P74" s="171"/>
      <c r="Q74" s="171"/>
      <c r="R74" s="171"/>
      <c r="S74" s="171"/>
      <c r="T74" s="171"/>
      <c r="U74" s="171"/>
      <c r="V74" s="171"/>
      <c r="W74" s="171"/>
      <c r="X74" s="171"/>
      <c r="Y74" s="171"/>
      <c r="Z74" s="171"/>
      <c r="AA74" s="171"/>
      <c r="AB74" s="171"/>
      <c r="AC74" s="171"/>
    </row>
    <row r="75" spans="1:29" ht="15.75" customHeight="1" x14ac:dyDescent="0.25">
      <c r="A75" s="106" t="s">
        <v>558</v>
      </c>
      <c r="B75" s="249">
        <v>46243</v>
      </c>
      <c r="C75" s="246">
        <v>0.16666666666666666</v>
      </c>
      <c r="D75" s="246">
        <v>0.20833333333333334</v>
      </c>
      <c r="E75" s="171">
        <v>39.747881356161088</v>
      </c>
      <c r="F75" s="171">
        <v>4.2286458333255723</v>
      </c>
      <c r="G75" s="171">
        <v>0</v>
      </c>
      <c r="H75" s="171">
        <v>0</v>
      </c>
      <c r="I75" s="171">
        <v>0</v>
      </c>
      <c r="J75" s="171"/>
      <c r="K75" s="171"/>
      <c r="L75" s="171"/>
      <c r="M75" s="171"/>
      <c r="N75" s="171"/>
      <c r="O75" s="171"/>
      <c r="P75" s="171"/>
      <c r="Q75" s="171"/>
      <c r="R75" s="171"/>
      <c r="S75" s="171"/>
      <c r="T75" s="171"/>
      <c r="U75" s="171"/>
      <c r="V75" s="171"/>
      <c r="W75" s="171"/>
      <c r="X75" s="171"/>
      <c r="Y75" s="171"/>
      <c r="Z75" s="171"/>
      <c r="AA75" s="171"/>
      <c r="AB75" s="171"/>
      <c r="AC75" s="171"/>
    </row>
    <row r="76" spans="1:29" ht="15.75" customHeight="1" x14ac:dyDescent="0.25">
      <c r="A76" s="106" t="s">
        <v>559</v>
      </c>
      <c r="B76" s="249">
        <v>46243</v>
      </c>
      <c r="C76" s="246">
        <v>0.20833333333333334</v>
      </c>
      <c r="D76" s="246">
        <v>0.25</v>
      </c>
      <c r="E76" s="171">
        <v>38.686475409660488</v>
      </c>
      <c r="F76" s="171">
        <v>5.7906250000232831</v>
      </c>
      <c r="G76" s="171">
        <v>0</v>
      </c>
      <c r="H76" s="171">
        <v>0</v>
      </c>
      <c r="I76" s="171">
        <v>0</v>
      </c>
      <c r="J76" s="171"/>
      <c r="K76" s="171"/>
      <c r="L76" s="171"/>
      <c r="M76" s="171"/>
      <c r="N76" s="171"/>
      <c r="O76" s="171"/>
      <c r="P76" s="171"/>
      <c r="Q76" s="171"/>
      <c r="R76" s="171"/>
      <c r="S76" s="171"/>
      <c r="T76" s="171"/>
      <c r="U76" s="171"/>
      <c r="V76" s="171"/>
      <c r="W76" s="171"/>
      <c r="X76" s="171"/>
      <c r="Y76" s="171"/>
      <c r="Z76" s="171"/>
      <c r="AA76" s="171"/>
      <c r="AB76" s="171"/>
      <c r="AC76" s="171"/>
    </row>
    <row r="77" spans="1:29" ht="15.75" customHeight="1" x14ac:dyDescent="0.25">
      <c r="A77" s="106" t="s">
        <v>576</v>
      </c>
      <c r="B77" s="249">
        <v>46244</v>
      </c>
      <c r="C77" s="246">
        <v>0.91666666666666663</v>
      </c>
      <c r="D77" s="246">
        <v>0.95833333333333337</v>
      </c>
      <c r="E77" s="171">
        <v>46.1875</v>
      </c>
      <c r="F77" s="171">
        <v>17.254924953100272</v>
      </c>
      <c r="G77" s="171">
        <v>0</v>
      </c>
      <c r="H77" s="171">
        <v>0</v>
      </c>
      <c r="I77" s="171">
        <v>0</v>
      </c>
      <c r="J77" s="171"/>
      <c r="K77" s="171"/>
      <c r="L77" s="171"/>
      <c r="M77" s="171"/>
      <c r="N77" s="171"/>
      <c r="O77" s="171"/>
      <c r="P77" s="171"/>
      <c r="Q77" s="171"/>
      <c r="R77" s="171"/>
      <c r="S77" s="171"/>
      <c r="T77" s="171"/>
      <c r="U77" s="171"/>
      <c r="V77" s="171"/>
      <c r="W77" s="171"/>
      <c r="X77" s="171"/>
      <c r="Y77" s="171"/>
      <c r="Z77" s="171"/>
      <c r="AA77" s="171"/>
      <c r="AB77" s="171"/>
      <c r="AC77" s="171"/>
    </row>
    <row r="78" spans="1:29" ht="15.75" customHeight="1" x14ac:dyDescent="0.25">
      <c r="A78" s="106" t="s">
        <v>577</v>
      </c>
      <c r="B78" s="249">
        <v>46244</v>
      </c>
      <c r="C78" s="246">
        <v>0.95833333333333337</v>
      </c>
      <c r="D78" s="246">
        <v>0</v>
      </c>
      <c r="E78" s="171">
        <v>43.546186440624297</v>
      </c>
      <c r="F78" s="171">
        <v>19.491225961595774</v>
      </c>
      <c r="G78" s="171">
        <v>0</v>
      </c>
      <c r="H78" s="171">
        <v>0</v>
      </c>
      <c r="I78" s="171">
        <v>0</v>
      </c>
      <c r="J78" s="171"/>
      <c r="K78" s="171"/>
      <c r="L78" s="171"/>
      <c r="M78" s="171"/>
      <c r="N78" s="171"/>
      <c r="O78" s="171"/>
      <c r="P78" s="171"/>
      <c r="Q78" s="171"/>
      <c r="R78" s="171"/>
      <c r="S78" s="171"/>
      <c r="T78" s="171"/>
      <c r="U78" s="171"/>
      <c r="V78" s="171"/>
      <c r="W78" s="171"/>
      <c r="X78" s="171"/>
      <c r="Y78" s="171"/>
      <c r="Z78" s="171"/>
      <c r="AA78" s="171"/>
      <c r="AB78" s="171"/>
      <c r="AC78" s="171"/>
    </row>
    <row r="79" spans="1:29" ht="15.75" customHeight="1" x14ac:dyDescent="0.25">
      <c r="A79" s="106" t="s">
        <v>578</v>
      </c>
      <c r="B79" s="249">
        <v>46244</v>
      </c>
      <c r="C79" s="246">
        <v>0</v>
      </c>
      <c r="D79" s="246">
        <v>4.1666666666666664E-2</v>
      </c>
      <c r="E79" s="171">
        <v>44.445480226073414</v>
      </c>
      <c r="F79" s="171">
        <v>16.184375000069849</v>
      </c>
      <c r="G79" s="171">
        <v>0</v>
      </c>
      <c r="H79" s="171">
        <v>0</v>
      </c>
      <c r="I79" s="171">
        <v>0</v>
      </c>
      <c r="J79" s="171"/>
      <c r="K79" s="171"/>
      <c r="L79" s="171"/>
      <c r="M79" s="171"/>
      <c r="N79" s="171"/>
      <c r="O79" s="171"/>
      <c r="P79" s="171"/>
      <c r="Q79" s="171"/>
      <c r="R79" s="171"/>
      <c r="S79" s="171"/>
      <c r="T79" s="171"/>
      <c r="U79" s="171"/>
      <c r="V79" s="171"/>
      <c r="W79" s="171"/>
      <c r="X79" s="171"/>
      <c r="Y79" s="171"/>
      <c r="Z79" s="171"/>
      <c r="AA79" s="171"/>
      <c r="AB79" s="171"/>
      <c r="AC79" s="171"/>
    </row>
    <row r="80" spans="1:29" ht="15.75" customHeight="1" x14ac:dyDescent="0.25">
      <c r="A80" s="106" t="s">
        <v>579</v>
      </c>
      <c r="B80" s="249">
        <v>46244</v>
      </c>
      <c r="C80" s="246">
        <v>4.1666666666666664E-2</v>
      </c>
      <c r="D80" s="246">
        <v>8.3333333333333329E-2</v>
      </c>
      <c r="E80" s="171">
        <v>43.820833333302289</v>
      </c>
      <c r="F80" s="171">
        <v>17.8046875</v>
      </c>
      <c r="G80" s="171">
        <v>0</v>
      </c>
      <c r="H80" s="171">
        <v>0</v>
      </c>
      <c r="I80" s="171">
        <v>0</v>
      </c>
      <c r="J80" s="171"/>
      <c r="K80" s="171"/>
      <c r="L80" s="171"/>
      <c r="M80" s="171"/>
      <c r="N80" s="171"/>
      <c r="O80" s="171"/>
      <c r="P80" s="171"/>
      <c r="Q80" s="171"/>
      <c r="R80" s="171"/>
      <c r="S80" s="171"/>
      <c r="T80" s="171"/>
      <c r="U80" s="171"/>
      <c r="V80" s="171"/>
      <c r="W80" s="171"/>
      <c r="X80" s="171"/>
      <c r="Y80" s="171"/>
      <c r="Z80" s="171"/>
      <c r="AA80" s="171"/>
      <c r="AB80" s="171"/>
      <c r="AC80" s="171"/>
    </row>
    <row r="81" spans="1:29" ht="15.75" customHeight="1" x14ac:dyDescent="0.25">
      <c r="A81" s="106" t="s">
        <v>580</v>
      </c>
      <c r="B81" s="249">
        <v>46244</v>
      </c>
      <c r="C81" s="246">
        <v>8.3333333333333329E-2</v>
      </c>
      <c r="D81" s="246">
        <v>0.125</v>
      </c>
      <c r="E81" s="171">
        <v>41.9375</v>
      </c>
      <c r="F81" s="171">
        <v>39.293749999953434</v>
      </c>
      <c r="G81" s="171">
        <v>0</v>
      </c>
      <c r="H81" s="171">
        <v>0</v>
      </c>
      <c r="I81" s="171">
        <v>0</v>
      </c>
      <c r="J81" s="171"/>
      <c r="K81" s="171"/>
      <c r="L81" s="171"/>
      <c r="M81" s="171"/>
      <c r="N81" s="171"/>
      <c r="O81" s="171"/>
      <c r="P81" s="171"/>
      <c r="Q81" s="171"/>
      <c r="R81" s="171"/>
      <c r="S81" s="171"/>
      <c r="T81" s="171"/>
      <c r="U81" s="171"/>
      <c r="V81" s="171"/>
      <c r="W81" s="171"/>
      <c r="X81" s="171"/>
      <c r="Y81" s="171"/>
      <c r="Z81" s="171"/>
      <c r="AA81" s="171"/>
      <c r="AB81" s="171"/>
      <c r="AC81" s="171"/>
    </row>
    <row r="82" spans="1:29" ht="15.75" customHeight="1" x14ac:dyDescent="0.25">
      <c r="A82" s="106" t="s">
        <v>581</v>
      </c>
      <c r="B82" s="249">
        <v>46244</v>
      </c>
      <c r="C82" s="246">
        <v>0.125</v>
      </c>
      <c r="D82" s="246">
        <v>0.16666666666666666</v>
      </c>
      <c r="E82" s="171">
        <v>41.633333333302289</v>
      </c>
      <c r="F82" s="171">
        <v>20.699999999953434</v>
      </c>
      <c r="G82" s="171">
        <v>0</v>
      </c>
      <c r="H82" s="171">
        <v>0</v>
      </c>
      <c r="I82" s="171">
        <v>0</v>
      </c>
      <c r="J82" s="171"/>
      <c r="K82" s="171"/>
      <c r="L82" s="171"/>
      <c r="M82" s="171"/>
      <c r="N82" s="171"/>
      <c r="O82" s="171"/>
      <c r="P82" s="171"/>
      <c r="Q82" s="171"/>
      <c r="R82" s="171"/>
      <c r="S82" s="171"/>
      <c r="T82" s="171"/>
      <c r="U82" s="171"/>
      <c r="V82" s="171"/>
      <c r="W82" s="171"/>
      <c r="X82" s="171"/>
      <c r="Y82" s="171"/>
      <c r="Z82" s="171"/>
      <c r="AA82" s="171"/>
      <c r="AB82" s="171"/>
      <c r="AC82" s="171"/>
    </row>
    <row r="83" spans="1:29" ht="15.75" customHeight="1" x14ac:dyDescent="0.25">
      <c r="A83" s="106" t="s">
        <v>582</v>
      </c>
      <c r="B83" s="249">
        <v>46244</v>
      </c>
      <c r="C83" s="246">
        <v>0.16666666666666666</v>
      </c>
      <c r="D83" s="246">
        <v>0.20833333333333334</v>
      </c>
      <c r="E83" s="171">
        <v>41.241666666697711</v>
      </c>
      <c r="F83" s="171">
        <v>15.950000000069849</v>
      </c>
      <c r="G83" s="171">
        <v>0</v>
      </c>
      <c r="H83" s="171">
        <v>0</v>
      </c>
      <c r="I83" s="171">
        <v>0</v>
      </c>
      <c r="J83" s="171"/>
      <c r="K83" s="171"/>
      <c r="L83" s="171"/>
      <c r="M83" s="171"/>
      <c r="N83" s="171"/>
      <c r="O83" s="171"/>
      <c r="P83" s="171"/>
      <c r="Q83" s="171"/>
      <c r="R83" s="171"/>
      <c r="S83" s="171"/>
      <c r="T83" s="171"/>
      <c r="U83" s="171"/>
      <c r="V83" s="171"/>
      <c r="W83" s="171"/>
      <c r="X83" s="171"/>
      <c r="Y83" s="171"/>
      <c r="Z83" s="171"/>
      <c r="AA83" s="171"/>
      <c r="AB83" s="171"/>
      <c r="AC83" s="171"/>
    </row>
    <row r="84" spans="1:29" ht="15.75" customHeight="1" x14ac:dyDescent="0.25">
      <c r="A84" s="106" t="s">
        <v>583</v>
      </c>
      <c r="B84" s="249">
        <v>46244</v>
      </c>
      <c r="C84" s="246">
        <v>0.20833333333333334</v>
      </c>
      <c r="D84" s="246">
        <v>0.25</v>
      </c>
      <c r="E84" s="171">
        <v>41.1875</v>
      </c>
      <c r="F84" s="171">
        <v>42.256249999976717</v>
      </c>
      <c r="G84" s="171">
        <v>0</v>
      </c>
      <c r="H84" s="171">
        <v>0</v>
      </c>
      <c r="I84" s="171">
        <v>0</v>
      </c>
      <c r="J84" s="171"/>
      <c r="K84" s="171"/>
      <c r="L84" s="171"/>
      <c r="M84" s="171"/>
      <c r="N84" s="171"/>
      <c r="O84" s="171"/>
      <c r="P84" s="171"/>
      <c r="Q84" s="171"/>
      <c r="R84" s="171"/>
      <c r="S84" s="171"/>
      <c r="T84" s="171"/>
      <c r="U84" s="171"/>
      <c r="V84" s="171"/>
      <c r="W84" s="171"/>
      <c r="X84" s="171"/>
      <c r="Y84" s="171"/>
      <c r="Z84" s="171"/>
      <c r="AA84" s="171"/>
      <c r="AB84" s="171"/>
      <c r="AC84" s="171"/>
    </row>
    <row r="85" spans="1:29" ht="15.75" customHeight="1" x14ac:dyDescent="0.25">
      <c r="A85" s="106" t="s">
        <v>600</v>
      </c>
      <c r="B85" s="249">
        <v>46245</v>
      </c>
      <c r="C85" s="246">
        <v>0.91666666666666663</v>
      </c>
      <c r="D85" s="246">
        <v>0.95833333333333337</v>
      </c>
      <c r="E85" s="171">
        <v>50.687499999534339</v>
      </c>
      <c r="F85" s="171">
        <v>19.131250000093132</v>
      </c>
      <c r="G85" s="171">
        <v>0</v>
      </c>
      <c r="H85" s="171">
        <v>0</v>
      </c>
      <c r="I85" s="171">
        <v>0</v>
      </c>
      <c r="J85" s="171"/>
      <c r="K85" s="171"/>
      <c r="L85" s="171"/>
      <c r="M85" s="171"/>
      <c r="N85" s="171"/>
      <c r="O85" s="171"/>
      <c r="P85" s="171"/>
      <c r="Q85" s="171"/>
      <c r="R85" s="171"/>
      <c r="S85" s="171"/>
      <c r="T85" s="171"/>
      <c r="U85" s="171"/>
      <c r="V85" s="171"/>
      <c r="W85" s="171"/>
      <c r="X85" s="171"/>
      <c r="Y85" s="171"/>
      <c r="Z85" s="171"/>
      <c r="AA85" s="171"/>
      <c r="AB85" s="171"/>
      <c r="AC85" s="171"/>
    </row>
    <row r="86" spans="1:29" ht="15.75" customHeight="1" x14ac:dyDescent="0.25">
      <c r="A86" s="106" t="s">
        <v>601</v>
      </c>
      <c r="B86" s="249">
        <v>46245</v>
      </c>
      <c r="C86" s="246">
        <v>0.95833333333333337</v>
      </c>
      <c r="D86" s="246">
        <v>0</v>
      </c>
      <c r="E86" s="171">
        <v>49.108333333395422</v>
      </c>
      <c r="F86" s="171">
        <v>29.522408536518924</v>
      </c>
      <c r="G86" s="171">
        <v>0</v>
      </c>
      <c r="H86" s="171">
        <v>0</v>
      </c>
      <c r="I86" s="171">
        <v>0</v>
      </c>
      <c r="J86" s="171"/>
      <c r="K86" s="171"/>
      <c r="L86" s="171"/>
      <c r="M86" s="171"/>
      <c r="N86" s="171"/>
      <c r="O86" s="171"/>
      <c r="P86" s="171"/>
      <c r="Q86" s="171"/>
      <c r="R86" s="171"/>
      <c r="S86" s="171"/>
      <c r="T86" s="171"/>
      <c r="U86" s="171"/>
      <c r="V86" s="171"/>
      <c r="W86" s="171"/>
      <c r="X86" s="171"/>
      <c r="Y86" s="171"/>
      <c r="Z86" s="171"/>
      <c r="AA86" s="171"/>
      <c r="AB86" s="171"/>
      <c r="AC86" s="171"/>
    </row>
    <row r="87" spans="1:29" ht="15.75" customHeight="1" x14ac:dyDescent="0.25">
      <c r="A87" s="106" t="s">
        <v>602</v>
      </c>
      <c r="B87" s="249">
        <v>46245</v>
      </c>
      <c r="C87" s="246">
        <v>0</v>
      </c>
      <c r="D87" s="246">
        <v>4.1666666666666664E-2</v>
      </c>
      <c r="E87" s="171">
        <v>47.906830601394176</v>
      </c>
      <c r="F87" s="171">
        <v>20.59165396343451</v>
      </c>
      <c r="G87" s="171">
        <v>0</v>
      </c>
      <c r="H87" s="171">
        <v>0</v>
      </c>
      <c r="I87" s="171">
        <v>0</v>
      </c>
      <c r="J87" s="171"/>
      <c r="K87" s="171"/>
      <c r="L87" s="171"/>
      <c r="M87" s="171"/>
      <c r="N87" s="171"/>
      <c r="O87" s="171"/>
      <c r="P87" s="171"/>
      <c r="Q87" s="171"/>
      <c r="R87" s="171"/>
      <c r="S87" s="171"/>
      <c r="T87" s="171"/>
      <c r="U87" s="171"/>
      <c r="V87" s="171"/>
      <c r="W87" s="171"/>
      <c r="X87" s="171"/>
      <c r="Y87" s="171"/>
      <c r="Z87" s="171"/>
      <c r="AA87" s="171"/>
      <c r="AB87" s="171"/>
      <c r="AC87" s="171"/>
    </row>
    <row r="88" spans="1:29" ht="15.75" customHeight="1" x14ac:dyDescent="0.25">
      <c r="A88" s="106" t="s">
        <v>603</v>
      </c>
      <c r="B88" s="249">
        <v>46245</v>
      </c>
      <c r="C88" s="246">
        <v>4.1666666666666664E-2</v>
      </c>
      <c r="D88" s="246">
        <v>8.3333333333333329E-2</v>
      </c>
      <c r="E88" s="171">
        <v>47.534836065489799</v>
      </c>
      <c r="F88" s="171">
        <v>23.5546875</v>
      </c>
      <c r="G88" s="171">
        <v>0</v>
      </c>
      <c r="H88" s="171">
        <v>0</v>
      </c>
      <c r="I88" s="171">
        <v>0</v>
      </c>
      <c r="J88" s="171"/>
      <c r="K88" s="171"/>
      <c r="L88" s="171"/>
      <c r="M88" s="171"/>
      <c r="N88" s="171"/>
      <c r="O88" s="171"/>
      <c r="P88" s="171"/>
      <c r="Q88" s="171"/>
      <c r="R88" s="171"/>
      <c r="S88" s="171"/>
      <c r="T88" s="171"/>
      <c r="U88" s="171"/>
      <c r="V88" s="171"/>
      <c r="W88" s="171"/>
      <c r="X88" s="171"/>
      <c r="Y88" s="171"/>
      <c r="Z88" s="171"/>
      <c r="AA88" s="171"/>
      <c r="AB88" s="171"/>
      <c r="AC88" s="171"/>
    </row>
    <row r="89" spans="1:29" ht="15.75" customHeight="1" x14ac:dyDescent="0.25">
      <c r="A89" s="106" t="s">
        <v>604</v>
      </c>
      <c r="B89" s="249">
        <v>46245</v>
      </c>
      <c r="C89" s="246">
        <v>8.3333333333333329E-2</v>
      </c>
      <c r="D89" s="246">
        <v>0.125</v>
      </c>
      <c r="E89" s="171">
        <v>45.4375</v>
      </c>
      <c r="F89" s="171">
        <v>22.1875</v>
      </c>
      <c r="G89" s="171">
        <v>0</v>
      </c>
      <c r="H89" s="171">
        <v>0</v>
      </c>
      <c r="I89" s="171">
        <v>0</v>
      </c>
      <c r="J89" s="171"/>
      <c r="K89" s="171"/>
      <c r="L89" s="171"/>
      <c r="M89" s="171"/>
      <c r="N89" s="171"/>
      <c r="O89" s="171"/>
      <c r="P89" s="171"/>
      <c r="Q89" s="171"/>
      <c r="R89" s="171"/>
      <c r="S89" s="171"/>
      <c r="T89" s="171"/>
      <c r="U89" s="171"/>
      <c r="V89" s="171"/>
      <c r="W89" s="171"/>
      <c r="X89" s="171"/>
      <c r="Y89" s="171"/>
      <c r="Z89" s="171"/>
      <c r="AA89" s="171"/>
      <c r="AB89" s="171"/>
      <c r="AC89" s="171"/>
    </row>
    <row r="90" spans="1:29" ht="15.75" customHeight="1" x14ac:dyDescent="0.25">
      <c r="A90" s="106" t="s">
        <v>605</v>
      </c>
      <c r="B90" s="249">
        <v>46245</v>
      </c>
      <c r="C90" s="246">
        <v>0.125</v>
      </c>
      <c r="D90" s="246">
        <v>0.16666666666666666</v>
      </c>
      <c r="E90" s="171">
        <v>45.354166666511446</v>
      </c>
      <c r="F90" s="171">
        <v>15.040625000023283</v>
      </c>
      <c r="G90" s="171">
        <v>0</v>
      </c>
      <c r="H90" s="171">
        <v>0</v>
      </c>
      <c r="I90" s="171">
        <v>0</v>
      </c>
      <c r="J90" s="171"/>
      <c r="K90" s="171"/>
      <c r="L90" s="171"/>
      <c r="M90" s="171"/>
      <c r="N90" s="171"/>
      <c r="O90" s="171"/>
      <c r="P90" s="171"/>
      <c r="Q90" s="171"/>
      <c r="R90" s="171"/>
      <c r="S90" s="171"/>
      <c r="T90" s="171"/>
      <c r="U90" s="171"/>
      <c r="V90" s="171"/>
      <c r="W90" s="171"/>
      <c r="X90" s="171"/>
      <c r="Y90" s="171"/>
      <c r="Z90" s="171"/>
      <c r="AA90" s="171"/>
      <c r="AB90" s="171"/>
      <c r="AC90" s="171"/>
    </row>
    <row r="91" spans="1:29" ht="15.75" customHeight="1" x14ac:dyDescent="0.25">
      <c r="A91" s="106" t="s">
        <v>606</v>
      </c>
      <c r="B91" s="249">
        <v>46245</v>
      </c>
      <c r="C91" s="246">
        <v>0.16666666666666666</v>
      </c>
      <c r="D91" s="246">
        <v>0.20833333333333334</v>
      </c>
      <c r="E91" s="171">
        <v>43.498587570618838</v>
      </c>
      <c r="F91" s="171">
        <v>27.196875000023283</v>
      </c>
      <c r="G91" s="171">
        <v>0</v>
      </c>
      <c r="H91" s="171">
        <v>0</v>
      </c>
      <c r="I91" s="171">
        <v>0</v>
      </c>
      <c r="J91" s="171"/>
      <c r="K91" s="171"/>
      <c r="L91" s="171"/>
      <c r="M91" s="171"/>
      <c r="N91" s="171"/>
      <c r="O91" s="171"/>
      <c r="P91" s="171"/>
      <c r="Q91" s="171"/>
      <c r="R91" s="171"/>
      <c r="S91" s="171"/>
      <c r="T91" s="171"/>
      <c r="U91" s="171"/>
      <c r="V91" s="171"/>
      <c r="W91" s="171"/>
      <c r="X91" s="171"/>
      <c r="Y91" s="171"/>
      <c r="Z91" s="171"/>
      <c r="AA91" s="171"/>
      <c r="AB91" s="171"/>
      <c r="AC91" s="171"/>
    </row>
    <row r="92" spans="1:29" ht="15.75" customHeight="1" x14ac:dyDescent="0.25">
      <c r="A92" s="106" t="s">
        <v>607</v>
      </c>
      <c r="B92" s="249">
        <v>46245</v>
      </c>
      <c r="C92" s="246">
        <v>0.20833333333333334</v>
      </c>
      <c r="D92" s="246">
        <v>0.25</v>
      </c>
      <c r="E92" s="171">
        <v>43.947245762683451</v>
      </c>
      <c r="F92" s="171">
        <v>39.987499999930151</v>
      </c>
      <c r="G92" s="171">
        <v>0</v>
      </c>
      <c r="H92" s="171">
        <v>0</v>
      </c>
      <c r="I92" s="171">
        <v>0</v>
      </c>
      <c r="J92" s="171"/>
      <c r="K92" s="171"/>
      <c r="L92" s="171"/>
      <c r="M92" s="171"/>
      <c r="N92" s="171"/>
      <c r="O92" s="171"/>
      <c r="P92" s="171"/>
      <c r="Q92" s="171"/>
      <c r="R92" s="171"/>
      <c r="S92" s="171"/>
      <c r="T92" s="171"/>
      <c r="U92" s="171"/>
      <c r="V92" s="171"/>
      <c r="W92" s="171"/>
      <c r="X92" s="171"/>
      <c r="Y92" s="171"/>
      <c r="Z92" s="171"/>
      <c r="AA92" s="171"/>
      <c r="AB92" s="171"/>
      <c r="AC92" s="171"/>
    </row>
    <row r="93" spans="1:29" ht="15.75" customHeight="1" x14ac:dyDescent="0.25">
      <c r="A93" s="106" t="s">
        <v>624</v>
      </c>
      <c r="B93" s="249">
        <v>46246</v>
      </c>
      <c r="C93" s="246">
        <v>0.91666666666666663</v>
      </c>
      <c r="D93" s="246">
        <v>0.95833333333333337</v>
      </c>
      <c r="E93" s="171">
        <v>46.6875</v>
      </c>
      <c r="F93" s="171">
        <v>28.793749999953434</v>
      </c>
      <c r="G93" s="171">
        <v>0</v>
      </c>
      <c r="H93" s="171">
        <v>0</v>
      </c>
      <c r="I93" s="171">
        <v>0</v>
      </c>
      <c r="J93" s="171"/>
      <c r="K93" s="171"/>
      <c r="L93" s="171"/>
      <c r="M93" s="171"/>
      <c r="N93" s="171"/>
      <c r="O93" s="171"/>
      <c r="P93" s="171"/>
      <c r="Q93" s="171"/>
      <c r="R93" s="171"/>
      <c r="S93" s="171"/>
      <c r="T93" s="171"/>
      <c r="U93" s="171"/>
      <c r="V93" s="171"/>
      <c r="W93" s="171"/>
      <c r="X93" s="171"/>
      <c r="Y93" s="171"/>
      <c r="Z93" s="171"/>
      <c r="AA93" s="171"/>
      <c r="AB93" s="171"/>
      <c r="AC93" s="171"/>
    </row>
    <row r="94" spans="1:29" ht="15.75" customHeight="1" x14ac:dyDescent="0.25">
      <c r="A94" s="106" t="s">
        <v>625</v>
      </c>
      <c r="B94" s="249">
        <v>46246</v>
      </c>
      <c r="C94" s="246">
        <v>0.95833333333333337</v>
      </c>
      <c r="D94" s="246">
        <v>0</v>
      </c>
      <c r="E94" s="171">
        <v>44.1875</v>
      </c>
      <c r="F94" s="171">
        <v>34.380952380946837</v>
      </c>
      <c r="G94" s="171">
        <v>0</v>
      </c>
      <c r="H94" s="171">
        <v>0</v>
      </c>
      <c r="I94" s="171">
        <v>0</v>
      </c>
      <c r="J94" s="171"/>
      <c r="K94" s="171"/>
      <c r="L94" s="171"/>
      <c r="M94" s="171"/>
      <c r="N94" s="171"/>
      <c r="O94" s="171"/>
      <c r="P94" s="171"/>
      <c r="Q94" s="171"/>
      <c r="R94" s="171"/>
      <c r="S94" s="171"/>
      <c r="T94" s="171"/>
      <c r="U94" s="171"/>
      <c r="V94" s="171"/>
      <c r="W94" s="171"/>
      <c r="X94" s="171"/>
      <c r="Y94" s="171"/>
      <c r="Z94" s="171"/>
      <c r="AA94" s="171"/>
      <c r="AB94" s="171"/>
      <c r="AC94" s="171"/>
    </row>
    <row r="95" spans="1:29" ht="15.75" customHeight="1" x14ac:dyDescent="0.25">
      <c r="A95" s="106" t="s">
        <v>626</v>
      </c>
      <c r="B95" s="249">
        <v>46246</v>
      </c>
      <c r="C95" s="246">
        <v>0</v>
      </c>
      <c r="D95" s="246">
        <v>4.1666666666666664E-2</v>
      </c>
      <c r="E95" s="171">
        <v>42.783686440903693</v>
      </c>
      <c r="F95" s="171">
        <v>25.421932234428823</v>
      </c>
      <c r="G95" s="171">
        <v>0</v>
      </c>
      <c r="H95" s="171">
        <v>0</v>
      </c>
      <c r="I95" s="171">
        <v>0</v>
      </c>
      <c r="J95" s="171"/>
      <c r="K95" s="171"/>
      <c r="L95" s="171"/>
      <c r="M95" s="171"/>
      <c r="N95" s="171"/>
      <c r="O95" s="171"/>
      <c r="P95" s="171"/>
      <c r="Q95" s="171"/>
      <c r="R95" s="171"/>
      <c r="S95" s="171"/>
      <c r="T95" s="171"/>
      <c r="U95" s="171"/>
      <c r="V95" s="171"/>
      <c r="W95" s="171"/>
      <c r="X95" s="171"/>
      <c r="Y95" s="171"/>
      <c r="Z95" s="171"/>
      <c r="AA95" s="171"/>
      <c r="AB95" s="171"/>
      <c r="AC95" s="171"/>
    </row>
    <row r="96" spans="1:29" ht="15.75" customHeight="1" x14ac:dyDescent="0.25">
      <c r="A96" s="106" t="s">
        <v>627</v>
      </c>
      <c r="B96" s="249">
        <v>46246</v>
      </c>
      <c r="C96" s="246">
        <v>4.1666666666666664E-2</v>
      </c>
      <c r="D96" s="246">
        <v>8.3333333333333329E-2</v>
      </c>
      <c r="E96" s="171">
        <v>41.622256182134151</v>
      </c>
      <c r="F96" s="171">
        <v>27.487740384647623</v>
      </c>
      <c r="G96" s="171">
        <v>0</v>
      </c>
      <c r="H96" s="171">
        <v>0</v>
      </c>
      <c r="I96" s="171">
        <v>0</v>
      </c>
      <c r="J96" s="171"/>
      <c r="K96" s="171"/>
      <c r="L96" s="171"/>
      <c r="M96" s="171"/>
      <c r="N96" s="171"/>
      <c r="O96" s="171"/>
      <c r="P96" s="171"/>
      <c r="Q96" s="171"/>
      <c r="R96" s="171"/>
      <c r="S96" s="171"/>
      <c r="T96" s="171"/>
      <c r="U96" s="171"/>
      <c r="V96" s="171"/>
      <c r="W96" s="171"/>
      <c r="X96" s="171"/>
      <c r="Y96" s="171"/>
      <c r="Z96" s="171"/>
      <c r="AA96" s="171"/>
      <c r="AB96" s="171"/>
      <c r="AC96" s="171"/>
    </row>
    <row r="97" spans="1:29" ht="15.75" customHeight="1" x14ac:dyDescent="0.25">
      <c r="A97" s="106" t="s">
        <v>628</v>
      </c>
      <c r="B97" s="249">
        <v>46246</v>
      </c>
      <c r="C97" s="246">
        <v>8.3333333333333329E-2</v>
      </c>
      <c r="D97" s="246">
        <v>0.125</v>
      </c>
      <c r="E97" s="171">
        <v>41.782786885276437</v>
      </c>
      <c r="F97" s="171">
        <v>34.899923780467361</v>
      </c>
      <c r="G97" s="171">
        <v>0</v>
      </c>
      <c r="H97" s="171">
        <v>0</v>
      </c>
      <c r="I97" s="171">
        <v>0</v>
      </c>
      <c r="J97" s="171"/>
      <c r="K97" s="171"/>
      <c r="L97" s="171"/>
      <c r="M97" s="171"/>
      <c r="N97" s="171"/>
      <c r="O97" s="171"/>
      <c r="P97" s="171"/>
      <c r="Q97" s="171"/>
      <c r="R97" s="171"/>
      <c r="S97" s="171"/>
      <c r="T97" s="171"/>
      <c r="U97" s="171"/>
      <c r="V97" s="171"/>
      <c r="W97" s="171"/>
      <c r="X97" s="171"/>
      <c r="Y97" s="171"/>
      <c r="Z97" s="171"/>
      <c r="AA97" s="171"/>
      <c r="AB97" s="171"/>
      <c r="AC97" s="171"/>
    </row>
    <row r="98" spans="1:29" ht="15.75" customHeight="1" x14ac:dyDescent="0.25">
      <c r="A98" s="106" t="s">
        <v>629</v>
      </c>
      <c r="B98" s="249">
        <v>46246</v>
      </c>
      <c r="C98" s="246">
        <v>0.125</v>
      </c>
      <c r="D98" s="246">
        <v>0.16666666666666666</v>
      </c>
      <c r="E98" s="171">
        <v>41.498770491685718</v>
      </c>
      <c r="F98" s="171">
        <v>33.840701219509356</v>
      </c>
      <c r="G98" s="171">
        <v>0</v>
      </c>
      <c r="H98" s="171">
        <v>0</v>
      </c>
      <c r="I98" s="171">
        <v>0</v>
      </c>
      <c r="J98" s="171"/>
      <c r="K98" s="171"/>
      <c r="L98" s="171"/>
      <c r="M98" s="171"/>
      <c r="N98" s="171"/>
      <c r="O98" s="171"/>
      <c r="P98" s="171"/>
      <c r="Q98" s="171"/>
      <c r="R98" s="171"/>
      <c r="S98" s="171"/>
      <c r="T98" s="171"/>
      <c r="U98" s="171"/>
      <c r="V98" s="171"/>
      <c r="W98" s="171"/>
      <c r="X98" s="171"/>
      <c r="Y98" s="171"/>
      <c r="Z98" s="171"/>
      <c r="AA98" s="171"/>
      <c r="AB98" s="171"/>
      <c r="AC98" s="171"/>
    </row>
    <row r="99" spans="1:29" ht="15.75" customHeight="1" x14ac:dyDescent="0.25">
      <c r="A99" s="106" t="s">
        <v>630</v>
      </c>
      <c r="B99" s="249">
        <v>46246</v>
      </c>
      <c r="C99" s="246">
        <v>0.16666666666666666</v>
      </c>
      <c r="D99" s="246">
        <v>0.20833333333333334</v>
      </c>
      <c r="E99" s="171">
        <v>39.775000000372529</v>
      </c>
      <c r="F99" s="171">
        <v>31.875</v>
      </c>
      <c r="G99" s="171">
        <v>0</v>
      </c>
      <c r="H99" s="171">
        <v>0</v>
      </c>
      <c r="I99" s="171">
        <v>0</v>
      </c>
      <c r="J99" s="171"/>
      <c r="K99" s="171"/>
      <c r="L99" s="171"/>
      <c r="M99" s="171"/>
      <c r="N99" s="171"/>
      <c r="O99" s="171"/>
      <c r="P99" s="171"/>
      <c r="Q99" s="171"/>
      <c r="R99" s="171"/>
      <c r="S99" s="171"/>
      <c r="T99" s="171"/>
      <c r="U99" s="171"/>
      <c r="V99" s="171"/>
      <c r="W99" s="171"/>
      <c r="X99" s="171"/>
      <c r="Y99" s="171"/>
      <c r="Z99" s="171"/>
      <c r="AA99" s="171"/>
      <c r="AB99" s="171"/>
      <c r="AC99" s="171"/>
    </row>
    <row r="100" spans="1:29" ht="15.75" customHeight="1" x14ac:dyDescent="0.25">
      <c r="A100" s="106" t="s">
        <v>631</v>
      </c>
      <c r="B100" s="249">
        <v>46246</v>
      </c>
      <c r="C100" s="246">
        <v>0.20833333333333334</v>
      </c>
      <c r="D100" s="246">
        <v>0.25</v>
      </c>
      <c r="E100" s="171">
        <v>39.391666666604578</v>
      </c>
      <c r="F100" s="171">
        <v>26.481249999953434</v>
      </c>
      <c r="G100" s="171">
        <v>0</v>
      </c>
      <c r="H100" s="171">
        <v>0</v>
      </c>
      <c r="I100" s="171">
        <v>0</v>
      </c>
      <c r="J100" s="171"/>
      <c r="K100" s="171"/>
      <c r="L100" s="171"/>
      <c r="M100" s="171"/>
      <c r="N100" s="171"/>
      <c r="O100" s="171"/>
      <c r="P100" s="171"/>
      <c r="Q100" s="171"/>
      <c r="R100" s="171"/>
      <c r="S100" s="171"/>
      <c r="T100" s="171"/>
      <c r="U100" s="171"/>
      <c r="V100" s="171"/>
      <c r="W100" s="171"/>
      <c r="X100" s="171"/>
      <c r="Y100" s="171"/>
      <c r="Z100" s="171"/>
      <c r="AA100" s="171"/>
      <c r="AB100" s="171"/>
      <c r="AC100" s="171"/>
    </row>
    <row r="101" spans="1:29" ht="15.75" customHeight="1" x14ac:dyDescent="0.25">
      <c r="A101" s="106" t="s">
        <v>648</v>
      </c>
      <c r="B101" s="249">
        <v>46247</v>
      </c>
      <c r="C101" s="246">
        <v>0.91666666666666663</v>
      </c>
      <c r="D101" s="246">
        <v>0.95833333333333337</v>
      </c>
      <c r="E101" s="171">
        <v>45.178688524290919</v>
      </c>
      <c r="F101" s="171">
        <v>0</v>
      </c>
      <c r="G101" s="171">
        <v>0</v>
      </c>
      <c r="H101" s="171">
        <v>0</v>
      </c>
      <c r="I101" s="171">
        <v>23.081502477129106</v>
      </c>
      <c r="J101" s="171"/>
      <c r="K101" s="171"/>
      <c r="L101" s="171"/>
      <c r="M101" s="171"/>
      <c r="N101" s="171"/>
      <c r="O101" s="171"/>
      <c r="P101" s="171"/>
      <c r="Q101" s="171"/>
      <c r="R101" s="171"/>
      <c r="S101" s="171"/>
      <c r="T101" s="171"/>
      <c r="U101" s="171"/>
      <c r="V101" s="171"/>
      <c r="W101" s="171"/>
      <c r="X101" s="171"/>
      <c r="Y101" s="171"/>
      <c r="Z101" s="171"/>
      <c r="AA101" s="171"/>
      <c r="AB101" s="171"/>
      <c r="AC101" s="171"/>
    </row>
    <row r="102" spans="1:29" ht="15.75" customHeight="1" x14ac:dyDescent="0.25">
      <c r="A102" s="106" t="s">
        <v>649</v>
      </c>
      <c r="B102" s="249">
        <v>46247</v>
      </c>
      <c r="C102" s="246">
        <v>0.95833333333333337</v>
      </c>
      <c r="D102" s="246">
        <v>0</v>
      </c>
      <c r="E102" s="171">
        <v>44.537978142499924</v>
      </c>
      <c r="F102" s="171">
        <v>18.890243902453221</v>
      </c>
      <c r="G102" s="171">
        <v>0</v>
      </c>
      <c r="H102" s="171">
        <v>0</v>
      </c>
      <c r="I102" s="171">
        <v>6.4962890625029104</v>
      </c>
      <c r="J102" s="171"/>
      <c r="K102" s="171"/>
      <c r="L102" s="171"/>
      <c r="M102" s="171"/>
      <c r="N102" s="171"/>
      <c r="O102" s="171"/>
      <c r="P102" s="171"/>
      <c r="Q102" s="171"/>
      <c r="R102" s="171"/>
      <c r="S102" s="171"/>
      <c r="T102" s="171"/>
      <c r="U102" s="171"/>
      <c r="V102" s="171"/>
      <c r="W102" s="171"/>
      <c r="X102" s="171"/>
      <c r="Y102" s="171"/>
      <c r="Z102" s="171"/>
      <c r="AA102" s="171"/>
      <c r="AB102" s="171"/>
      <c r="AC102" s="171"/>
    </row>
    <row r="103" spans="1:29" ht="15.75" customHeight="1" x14ac:dyDescent="0.25">
      <c r="A103" s="106" t="s">
        <v>650</v>
      </c>
      <c r="B103" s="249">
        <v>46247</v>
      </c>
      <c r="C103" s="246">
        <v>0</v>
      </c>
      <c r="D103" s="246">
        <v>4.1666666666666664E-2</v>
      </c>
      <c r="E103" s="171">
        <v>42.595833333209157</v>
      </c>
      <c r="F103" s="171">
        <v>32.819131097639911</v>
      </c>
      <c r="G103" s="171">
        <v>0</v>
      </c>
      <c r="H103" s="171">
        <v>0</v>
      </c>
      <c r="I103" s="171">
        <v>0</v>
      </c>
      <c r="J103" s="171"/>
      <c r="K103" s="171"/>
      <c r="L103" s="171"/>
      <c r="M103" s="171"/>
      <c r="N103" s="171"/>
      <c r="O103" s="171"/>
      <c r="P103" s="171"/>
      <c r="Q103" s="171"/>
      <c r="R103" s="171"/>
      <c r="S103" s="171"/>
      <c r="T103" s="171"/>
      <c r="U103" s="171"/>
      <c r="V103" s="171"/>
      <c r="W103" s="171"/>
      <c r="X103" s="171"/>
      <c r="Y103" s="171"/>
      <c r="Z103" s="171"/>
      <c r="AA103" s="171"/>
      <c r="AB103" s="171"/>
      <c r="AC103" s="171"/>
    </row>
    <row r="104" spans="1:29" ht="15.75" customHeight="1" x14ac:dyDescent="0.25">
      <c r="A104" s="106" t="s">
        <v>651</v>
      </c>
      <c r="B104" s="249">
        <v>46247</v>
      </c>
      <c r="C104" s="246">
        <v>4.1666666666666664E-2</v>
      </c>
      <c r="D104" s="246">
        <v>8.3333333333333329E-2</v>
      </c>
      <c r="E104" s="171">
        <v>41.4375</v>
      </c>
      <c r="F104" s="171">
        <v>34.390624999883585</v>
      </c>
      <c r="G104" s="171">
        <v>0</v>
      </c>
      <c r="H104" s="171">
        <v>0</v>
      </c>
      <c r="I104" s="171">
        <v>0</v>
      </c>
      <c r="J104" s="171"/>
      <c r="K104" s="171"/>
      <c r="L104" s="171"/>
      <c r="M104" s="171"/>
      <c r="N104" s="171"/>
      <c r="O104" s="171"/>
      <c r="P104" s="171"/>
      <c r="Q104" s="171"/>
      <c r="R104" s="171"/>
      <c r="S104" s="171"/>
      <c r="T104" s="171"/>
      <c r="U104" s="171"/>
      <c r="V104" s="171"/>
      <c r="W104" s="171"/>
      <c r="X104" s="171"/>
      <c r="Y104" s="171"/>
      <c r="Z104" s="171"/>
      <c r="AA104" s="171"/>
      <c r="AB104" s="171"/>
      <c r="AC104" s="171"/>
    </row>
    <row r="105" spans="1:29" ht="15.75" customHeight="1" x14ac:dyDescent="0.25">
      <c r="A105" s="106" t="s">
        <v>652</v>
      </c>
      <c r="B105" s="249">
        <v>46247</v>
      </c>
      <c r="C105" s="246">
        <v>8.3333333333333329E-2</v>
      </c>
      <c r="D105" s="246">
        <v>0.125</v>
      </c>
      <c r="E105" s="171">
        <v>43.081034482456744</v>
      </c>
      <c r="F105" s="171">
        <v>24.439473684295081</v>
      </c>
      <c r="G105" s="171">
        <v>0</v>
      </c>
      <c r="H105" s="171">
        <v>0</v>
      </c>
      <c r="I105" s="171">
        <v>0</v>
      </c>
      <c r="J105" s="171"/>
      <c r="K105" s="171"/>
      <c r="L105" s="171"/>
      <c r="M105" s="171"/>
      <c r="N105" s="171"/>
      <c r="O105" s="171"/>
      <c r="P105" s="171"/>
      <c r="Q105" s="171"/>
      <c r="R105" s="171"/>
      <c r="S105" s="171"/>
      <c r="T105" s="171"/>
      <c r="U105" s="171"/>
      <c r="V105" s="171"/>
      <c r="W105" s="171"/>
      <c r="X105" s="171"/>
      <c r="Y105" s="171"/>
      <c r="Z105" s="171"/>
      <c r="AA105" s="171"/>
      <c r="AB105" s="171"/>
      <c r="AC105" s="171"/>
    </row>
    <row r="106" spans="1:29" ht="15.75" customHeight="1" x14ac:dyDescent="0.25">
      <c r="A106" s="106" t="s">
        <v>653</v>
      </c>
      <c r="B106" s="249">
        <v>46247</v>
      </c>
      <c r="C106" s="246">
        <v>0.125</v>
      </c>
      <c r="D106" s="246">
        <v>0.16666666666666666</v>
      </c>
      <c r="E106" s="171">
        <v>39.718965517356992</v>
      </c>
      <c r="F106" s="171">
        <v>34.108963815728202</v>
      </c>
      <c r="G106" s="171">
        <v>0</v>
      </c>
      <c r="H106" s="171">
        <v>0</v>
      </c>
      <c r="I106" s="171">
        <v>0</v>
      </c>
      <c r="J106" s="171"/>
      <c r="K106" s="171"/>
      <c r="L106" s="171"/>
      <c r="M106" s="171"/>
      <c r="N106" s="171"/>
      <c r="O106" s="171"/>
      <c r="P106" s="171"/>
      <c r="Q106" s="171"/>
      <c r="R106" s="171"/>
      <c r="S106" s="171"/>
      <c r="T106" s="171"/>
      <c r="U106" s="171"/>
      <c r="V106" s="171"/>
      <c r="W106" s="171"/>
      <c r="X106" s="171"/>
      <c r="Y106" s="171"/>
      <c r="Z106" s="171"/>
      <c r="AA106" s="171"/>
      <c r="AB106" s="171"/>
      <c r="AC106" s="171"/>
    </row>
    <row r="107" spans="1:29" ht="15.75" customHeight="1" x14ac:dyDescent="0.25">
      <c r="A107" s="106" t="s">
        <v>654</v>
      </c>
      <c r="B107" s="249">
        <v>46247</v>
      </c>
      <c r="C107" s="246">
        <v>0.16666666666666666</v>
      </c>
      <c r="D107" s="246">
        <v>0.20833333333333334</v>
      </c>
      <c r="E107" s="171">
        <v>42.012500000186265</v>
      </c>
      <c r="F107" s="171">
        <v>43.329687500023283</v>
      </c>
      <c r="G107" s="171">
        <v>0</v>
      </c>
      <c r="H107" s="171">
        <v>0</v>
      </c>
      <c r="I107" s="171">
        <v>0</v>
      </c>
      <c r="J107" s="171"/>
      <c r="K107" s="171"/>
      <c r="L107" s="171"/>
      <c r="M107" s="171"/>
      <c r="N107" s="171"/>
      <c r="O107" s="171"/>
      <c r="P107" s="171"/>
      <c r="Q107" s="171"/>
      <c r="R107" s="171"/>
      <c r="S107" s="171"/>
      <c r="T107" s="171"/>
      <c r="U107" s="171"/>
      <c r="V107" s="171"/>
      <c r="W107" s="171"/>
      <c r="X107" s="171"/>
      <c r="Y107" s="171"/>
      <c r="Z107" s="171"/>
      <c r="AA107" s="171"/>
      <c r="AB107" s="171"/>
      <c r="AC107" s="171"/>
    </row>
    <row r="108" spans="1:29" ht="15.75" customHeight="1" x14ac:dyDescent="0.25">
      <c r="A108" s="106" t="s">
        <v>655</v>
      </c>
      <c r="B108" s="249">
        <v>46247</v>
      </c>
      <c r="C108" s="246">
        <v>0.20833333333333334</v>
      </c>
      <c r="D108" s="246">
        <v>0.25</v>
      </c>
      <c r="E108" s="171">
        <v>42.154166666790843</v>
      </c>
      <c r="F108" s="171">
        <v>34.326562499976717</v>
      </c>
      <c r="G108" s="171">
        <v>0</v>
      </c>
      <c r="H108" s="171">
        <v>0</v>
      </c>
      <c r="I108" s="171">
        <v>0</v>
      </c>
      <c r="J108" s="171"/>
      <c r="K108" s="171"/>
      <c r="L108" s="171"/>
      <c r="M108" s="171"/>
      <c r="N108" s="171"/>
      <c r="O108" s="171"/>
      <c r="P108" s="171"/>
      <c r="Q108" s="171"/>
      <c r="R108" s="171"/>
      <c r="S108" s="171"/>
      <c r="T108" s="171"/>
      <c r="U108" s="171"/>
      <c r="V108" s="171"/>
      <c r="W108" s="171"/>
      <c r="X108" s="171"/>
      <c r="Y108" s="171"/>
      <c r="Z108" s="171"/>
      <c r="AA108" s="171"/>
      <c r="AB108" s="171"/>
      <c r="AC108" s="171"/>
    </row>
    <row r="109" spans="1:29" ht="15.75" customHeight="1" x14ac:dyDescent="0.25">
      <c r="A109" s="106" t="s">
        <v>672</v>
      </c>
      <c r="B109" s="249">
        <v>46248</v>
      </c>
      <c r="C109" s="246">
        <v>0.91666666666666663</v>
      </c>
      <c r="D109" s="246">
        <v>0.95833333333333337</v>
      </c>
      <c r="E109" s="171">
        <v>44.9375</v>
      </c>
      <c r="F109" s="171">
        <v>29.880288461456075</v>
      </c>
      <c r="G109" s="171">
        <v>0</v>
      </c>
      <c r="H109" s="171">
        <v>0</v>
      </c>
      <c r="I109" s="171">
        <v>0</v>
      </c>
      <c r="J109" s="171"/>
      <c r="K109" s="171"/>
      <c r="L109" s="171"/>
      <c r="M109" s="171"/>
      <c r="N109" s="171"/>
      <c r="O109" s="171"/>
      <c r="P109" s="171"/>
      <c r="Q109" s="171"/>
      <c r="R109" s="171"/>
      <c r="S109" s="171"/>
      <c r="T109" s="171"/>
      <c r="U109" s="171"/>
      <c r="V109" s="171"/>
      <c r="W109" s="171"/>
      <c r="X109" s="171"/>
      <c r="Y109" s="171"/>
      <c r="Z109" s="171"/>
      <c r="AA109" s="171"/>
      <c r="AB109" s="171"/>
      <c r="AC109" s="171"/>
    </row>
    <row r="110" spans="1:29" ht="15.75" customHeight="1" x14ac:dyDescent="0.25">
      <c r="A110" s="106" t="s">
        <v>673</v>
      </c>
      <c r="B110" s="249">
        <v>46248</v>
      </c>
      <c r="C110" s="246">
        <v>0.95833333333333337</v>
      </c>
      <c r="D110" s="246">
        <v>0</v>
      </c>
      <c r="E110" s="171">
        <v>43.948516949079931</v>
      </c>
      <c r="F110" s="171">
        <v>28.804086538497359</v>
      </c>
      <c r="G110" s="171">
        <v>0</v>
      </c>
      <c r="H110" s="171">
        <v>0</v>
      </c>
      <c r="I110" s="171">
        <v>0</v>
      </c>
      <c r="J110" s="171"/>
      <c r="K110" s="171"/>
      <c r="L110" s="171"/>
      <c r="M110" s="171"/>
      <c r="N110" s="171"/>
      <c r="O110" s="171"/>
      <c r="P110" s="171"/>
      <c r="Q110" s="171"/>
      <c r="R110" s="171"/>
      <c r="S110" s="171"/>
      <c r="T110" s="171"/>
      <c r="U110" s="171"/>
      <c r="V110" s="171"/>
      <c r="W110" s="171"/>
      <c r="X110" s="171"/>
      <c r="Y110" s="171"/>
      <c r="Z110" s="171"/>
      <c r="AA110" s="171"/>
      <c r="AB110" s="171"/>
      <c r="AC110" s="171"/>
    </row>
    <row r="111" spans="1:29" ht="15.75" customHeight="1" x14ac:dyDescent="0.25">
      <c r="A111" s="106" t="s">
        <v>674</v>
      </c>
      <c r="B111" s="249">
        <v>46248</v>
      </c>
      <c r="C111" s="246">
        <v>0</v>
      </c>
      <c r="D111" s="246">
        <v>4.1666666666666664E-2</v>
      </c>
      <c r="E111" s="171">
        <v>41.530649717897177</v>
      </c>
      <c r="F111" s="171">
        <v>25.887499999953434</v>
      </c>
      <c r="G111" s="171">
        <v>0</v>
      </c>
      <c r="H111" s="171">
        <v>0</v>
      </c>
      <c r="I111" s="171">
        <v>0</v>
      </c>
      <c r="J111" s="171"/>
      <c r="K111" s="171"/>
      <c r="L111" s="171"/>
      <c r="M111" s="171"/>
      <c r="N111" s="171"/>
      <c r="O111" s="171"/>
      <c r="P111" s="171"/>
      <c r="Q111" s="171"/>
      <c r="R111" s="171"/>
      <c r="S111" s="171"/>
      <c r="T111" s="171"/>
      <c r="U111" s="171"/>
      <c r="V111" s="171"/>
      <c r="W111" s="171"/>
      <c r="X111" s="171"/>
      <c r="Y111" s="171"/>
      <c r="Z111" s="171"/>
      <c r="AA111" s="171"/>
      <c r="AB111" s="171"/>
      <c r="AC111" s="171"/>
    </row>
    <row r="112" spans="1:29" ht="15.75" customHeight="1" x14ac:dyDescent="0.25">
      <c r="A112" s="106" t="s">
        <v>675</v>
      </c>
      <c r="B112" s="249">
        <v>46248</v>
      </c>
      <c r="C112" s="246">
        <v>4.1666666666666664E-2</v>
      </c>
      <c r="D112" s="246">
        <v>8.3333333333333329E-2</v>
      </c>
      <c r="E112" s="171">
        <v>41.208333333022892</v>
      </c>
      <c r="F112" s="171">
        <v>24.689062500023283</v>
      </c>
      <c r="G112" s="171">
        <v>0</v>
      </c>
      <c r="H112" s="171">
        <v>0</v>
      </c>
      <c r="I112" s="171">
        <v>0</v>
      </c>
      <c r="J112" s="171"/>
      <c r="K112" s="171"/>
      <c r="L112" s="171"/>
      <c r="M112" s="171"/>
      <c r="N112" s="171"/>
      <c r="O112" s="171"/>
      <c r="P112" s="171"/>
      <c r="Q112" s="171"/>
      <c r="R112" s="171"/>
      <c r="S112" s="171"/>
      <c r="T112" s="171"/>
      <c r="U112" s="171"/>
      <c r="V112" s="171"/>
      <c r="W112" s="171"/>
      <c r="X112" s="171"/>
      <c r="Y112" s="171"/>
      <c r="Z112" s="171"/>
      <c r="AA112" s="171"/>
      <c r="AB112" s="171"/>
      <c r="AC112" s="171"/>
    </row>
    <row r="113" spans="1:29" ht="15.75" customHeight="1" x14ac:dyDescent="0.25">
      <c r="A113" s="106" t="s">
        <v>676</v>
      </c>
      <c r="B113" s="249">
        <v>46248</v>
      </c>
      <c r="C113" s="246">
        <v>8.3333333333333329E-2</v>
      </c>
      <c r="D113" s="246">
        <v>0.125</v>
      </c>
      <c r="E113" s="171">
        <v>40.887500000186265</v>
      </c>
      <c r="F113" s="171">
        <v>18.64866615855135</v>
      </c>
      <c r="G113" s="171">
        <v>0</v>
      </c>
      <c r="H113" s="171">
        <v>0</v>
      </c>
      <c r="I113" s="171">
        <v>0</v>
      </c>
      <c r="J113" s="171"/>
      <c r="K113" s="171"/>
      <c r="L113" s="171"/>
      <c r="M113" s="171"/>
      <c r="N113" s="171"/>
      <c r="O113" s="171"/>
      <c r="P113" s="171"/>
      <c r="Q113" s="171"/>
      <c r="R113" s="171"/>
      <c r="S113" s="171"/>
      <c r="T113" s="171"/>
      <c r="U113" s="171"/>
      <c r="V113" s="171"/>
      <c r="W113" s="171"/>
      <c r="X113" s="171"/>
      <c r="Y113" s="171"/>
      <c r="Z113" s="171"/>
      <c r="AA113" s="171"/>
      <c r="AB113" s="171"/>
      <c r="AC113" s="171"/>
    </row>
    <row r="114" spans="1:29" ht="15.75" customHeight="1" x14ac:dyDescent="0.25">
      <c r="A114" s="106" t="s">
        <v>677</v>
      </c>
      <c r="B114" s="249">
        <v>46248</v>
      </c>
      <c r="C114" s="246">
        <v>0.125</v>
      </c>
      <c r="D114" s="246">
        <v>0.16666666666666666</v>
      </c>
      <c r="E114" s="171">
        <v>41.4375</v>
      </c>
      <c r="F114" s="171">
        <v>32.047607879969291</v>
      </c>
      <c r="G114" s="171">
        <v>0</v>
      </c>
      <c r="H114" s="171">
        <v>0</v>
      </c>
      <c r="I114" s="171">
        <v>0</v>
      </c>
      <c r="J114" s="171"/>
      <c r="K114" s="171"/>
      <c r="L114" s="171"/>
      <c r="M114" s="171"/>
      <c r="N114" s="171"/>
      <c r="O114" s="171"/>
      <c r="P114" s="171"/>
      <c r="Q114" s="171"/>
      <c r="R114" s="171"/>
      <c r="S114" s="171"/>
      <c r="T114" s="171"/>
      <c r="U114" s="171"/>
      <c r="V114" s="171"/>
      <c r="W114" s="171"/>
      <c r="X114" s="171"/>
      <c r="Y114" s="171"/>
      <c r="Z114" s="171"/>
      <c r="AA114" s="171"/>
      <c r="AB114" s="171"/>
      <c r="AC114" s="171"/>
    </row>
    <row r="115" spans="1:29" ht="15.75" customHeight="1" x14ac:dyDescent="0.25">
      <c r="A115" s="106" t="s">
        <v>678</v>
      </c>
      <c r="B115" s="249">
        <v>46248</v>
      </c>
      <c r="C115" s="246">
        <v>0.16666666666666666</v>
      </c>
      <c r="D115" s="246">
        <v>0.20833333333333334</v>
      </c>
      <c r="E115" s="171">
        <v>40.291129032149911</v>
      </c>
      <c r="F115" s="171">
        <v>31.342788461479358</v>
      </c>
      <c r="G115" s="171">
        <v>0</v>
      </c>
      <c r="H115" s="171">
        <v>0</v>
      </c>
      <c r="I115" s="171">
        <v>0</v>
      </c>
      <c r="J115" s="171"/>
      <c r="K115" s="171"/>
      <c r="L115" s="171"/>
      <c r="M115" s="171"/>
      <c r="N115" s="171"/>
      <c r="O115" s="171"/>
      <c r="P115" s="171"/>
      <c r="Q115" s="171"/>
      <c r="R115" s="171"/>
      <c r="S115" s="171"/>
      <c r="T115" s="171"/>
      <c r="U115" s="171"/>
      <c r="V115" s="171"/>
      <c r="W115" s="171"/>
      <c r="X115" s="171"/>
      <c r="Y115" s="171"/>
      <c r="Z115" s="171"/>
      <c r="AA115" s="171"/>
      <c r="AB115" s="171"/>
      <c r="AC115" s="171"/>
    </row>
    <row r="116" spans="1:29" ht="15.75" customHeight="1" x14ac:dyDescent="0.25">
      <c r="A116" s="106" t="s">
        <v>679</v>
      </c>
      <c r="B116" s="249">
        <v>46248</v>
      </c>
      <c r="C116" s="246">
        <v>0.20833333333333334</v>
      </c>
      <c r="D116" s="246">
        <v>0.25</v>
      </c>
      <c r="E116" s="171">
        <v>40.7005376345478</v>
      </c>
      <c r="F116" s="171">
        <v>17.019664634135552</v>
      </c>
      <c r="G116" s="171">
        <v>0</v>
      </c>
      <c r="H116" s="171">
        <v>0</v>
      </c>
      <c r="I116" s="171">
        <v>0</v>
      </c>
      <c r="J116" s="171"/>
      <c r="K116" s="171"/>
      <c r="L116" s="171"/>
      <c r="M116" s="171"/>
      <c r="N116" s="171"/>
      <c r="O116" s="171"/>
      <c r="P116" s="171"/>
      <c r="Q116" s="171"/>
      <c r="R116" s="171"/>
      <c r="S116" s="171"/>
      <c r="T116" s="171"/>
      <c r="U116" s="171"/>
      <c r="V116" s="171"/>
      <c r="W116" s="171"/>
      <c r="X116" s="171"/>
      <c r="Y116" s="171"/>
      <c r="Z116" s="171"/>
      <c r="AA116" s="171"/>
      <c r="AB116" s="171"/>
      <c r="AC116" s="171"/>
    </row>
    <row r="117" spans="1:29" ht="15.75" customHeight="1" x14ac:dyDescent="0.25">
      <c r="A117" s="106" t="s">
        <v>696</v>
      </c>
      <c r="B117" s="249">
        <v>46249</v>
      </c>
      <c r="C117" s="246">
        <v>0.91666666666666663</v>
      </c>
      <c r="D117" s="246">
        <v>0.95833333333333337</v>
      </c>
      <c r="E117" s="171">
        <v>45.949576271232218</v>
      </c>
      <c r="F117" s="171">
        <v>5.1671874999301508</v>
      </c>
      <c r="G117" s="171">
        <v>0</v>
      </c>
      <c r="H117" s="171">
        <v>0</v>
      </c>
      <c r="I117" s="171">
        <v>0</v>
      </c>
      <c r="J117" s="171"/>
      <c r="K117" s="171"/>
      <c r="L117" s="171"/>
      <c r="M117" s="171"/>
      <c r="N117" s="171"/>
      <c r="O117" s="171"/>
      <c r="P117" s="171"/>
      <c r="Q117" s="171"/>
      <c r="R117" s="171"/>
      <c r="S117" s="171"/>
      <c r="T117" s="171"/>
      <c r="U117" s="171"/>
      <c r="V117" s="171"/>
      <c r="W117" s="171"/>
      <c r="X117" s="171"/>
      <c r="Y117" s="171"/>
      <c r="Z117" s="171"/>
      <c r="AA117" s="171"/>
      <c r="AB117" s="171"/>
      <c r="AC117" s="171"/>
    </row>
    <row r="118" spans="1:29" ht="15.75" customHeight="1" x14ac:dyDescent="0.25">
      <c r="A118" s="106" t="s">
        <v>697</v>
      </c>
      <c r="B118" s="249">
        <v>46249</v>
      </c>
      <c r="C118" s="246">
        <v>0.95833333333333337</v>
      </c>
      <c r="D118" s="246">
        <v>0</v>
      </c>
      <c r="E118" s="171">
        <v>45.437923728954047</v>
      </c>
      <c r="F118" s="171">
        <v>5.1656250000232831</v>
      </c>
      <c r="G118" s="171">
        <v>0</v>
      </c>
      <c r="H118" s="171">
        <v>0</v>
      </c>
      <c r="I118" s="171">
        <v>0</v>
      </c>
      <c r="J118" s="171"/>
      <c r="K118" s="171"/>
      <c r="L118" s="171"/>
      <c r="M118" s="171"/>
      <c r="N118" s="171"/>
      <c r="O118" s="171"/>
      <c r="P118" s="171"/>
      <c r="Q118" s="171"/>
      <c r="R118" s="171"/>
      <c r="S118" s="171"/>
      <c r="T118" s="171"/>
      <c r="U118" s="171"/>
      <c r="V118" s="171"/>
      <c r="W118" s="171"/>
      <c r="X118" s="171"/>
      <c r="Y118" s="171"/>
      <c r="Z118" s="171"/>
      <c r="AA118" s="171"/>
      <c r="AB118" s="171"/>
      <c r="AC118" s="171"/>
    </row>
    <row r="119" spans="1:29" ht="15.75" customHeight="1" x14ac:dyDescent="0.25">
      <c r="A119" s="106" t="s">
        <v>698</v>
      </c>
      <c r="B119" s="249">
        <v>46249</v>
      </c>
      <c r="C119" s="246">
        <v>0</v>
      </c>
      <c r="D119" s="246">
        <v>4.1666666666666664E-2</v>
      </c>
      <c r="E119" s="171">
        <v>42.487499999813735</v>
      </c>
      <c r="F119" s="171">
        <v>5.1046112804906443</v>
      </c>
      <c r="G119" s="171">
        <v>0</v>
      </c>
      <c r="H119" s="171">
        <v>0</v>
      </c>
      <c r="I119" s="171">
        <v>0</v>
      </c>
      <c r="J119" s="171"/>
      <c r="K119" s="171"/>
      <c r="L119" s="171"/>
      <c r="M119" s="171"/>
      <c r="N119" s="171"/>
      <c r="O119" s="171"/>
      <c r="P119" s="171"/>
      <c r="Q119" s="171"/>
      <c r="R119" s="171"/>
      <c r="S119" s="171"/>
      <c r="T119" s="171"/>
      <c r="U119" s="171"/>
      <c r="V119" s="171"/>
      <c r="W119" s="171"/>
      <c r="X119" s="171"/>
      <c r="Y119" s="171"/>
      <c r="Z119" s="171"/>
      <c r="AA119" s="171"/>
      <c r="AB119" s="171"/>
      <c r="AC119" s="171"/>
    </row>
    <row r="120" spans="1:29" ht="15.75" customHeight="1" x14ac:dyDescent="0.25">
      <c r="A120" s="106" t="s">
        <v>699</v>
      </c>
      <c r="B120" s="249">
        <v>46249</v>
      </c>
      <c r="C120" s="246">
        <v>4.1666666666666664E-2</v>
      </c>
      <c r="D120" s="246">
        <v>8.3333333333333329E-2</v>
      </c>
      <c r="E120" s="171">
        <v>41.149999999906868</v>
      </c>
      <c r="F120" s="171">
        <v>4.9146341463783756</v>
      </c>
      <c r="G120" s="171">
        <v>0</v>
      </c>
      <c r="H120" s="171">
        <v>0</v>
      </c>
      <c r="I120" s="171">
        <v>0</v>
      </c>
      <c r="J120" s="171"/>
      <c r="K120" s="171"/>
      <c r="L120" s="171"/>
      <c r="M120" s="171"/>
      <c r="N120" s="171"/>
      <c r="O120" s="171"/>
      <c r="P120" s="171"/>
      <c r="Q120" s="171"/>
      <c r="R120" s="171"/>
      <c r="S120" s="171"/>
      <c r="T120" s="171"/>
      <c r="U120" s="171"/>
      <c r="V120" s="171"/>
      <c r="W120" s="171"/>
      <c r="X120" s="171"/>
      <c r="Y120" s="171"/>
      <c r="Z120" s="171"/>
      <c r="AA120" s="171"/>
      <c r="AB120" s="171"/>
      <c r="AC120" s="171"/>
    </row>
    <row r="121" spans="1:29" ht="15.75" customHeight="1" x14ac:dyDescent="0.25">
      <c r="A121" s="106" t="s">
        <v>700</v>
      </c>
      <c r="B121" s="249">
        <v>46249</v>
      </c>
      <c r="C121" s="246">
        <v>8.3333333333333329E-2</v>
      </c>
      <c r="D121" s="246">
        <v>0.125</v>
      </c>
      <c r="E121" s="171">
        <v>40.275000000372529</v>
      </c>
      <c r="F121" s="171">
        <v>4.6036585365654901</v>
      </c>
      <c r="G121" s="171">
        <v>0</v>
      </c>
      <c r="H121" s="171">
        <v>0</v>
      </c>
      <c r="I121" s="171">
        <v>0</v>
      </c>
      <c r="J121" s="171"/>
      <c r="K121" s="171"/>
      <c r="L121" s="171"/>
      <c r="M121" s="171"/>
      <c r="N121" s="171"/>
      <c r="O121" s="171"/>
      <c r="P121" s="171"/>
      <c r="Q121" s="171"/>
      <c r="R121" s="171"/>
      <c r="S121" s="171"/>
      <c r="T121" s="171"/>
      <c r="U121" s="171"/>
      <c r="V121" s="171"/>
      <c r="W121" s="171"/>
      <c r="X121" s="171"/>
      <c r="Y121" s="171"/>
      <c r="Z121" s="171"/>
      <c r="AA121" s="171"/>
      <c r="AB121" s="171"/>
      <c r="AC121" s="171"/>
    </row>
    <row r="122" spans="1:29" ht="15.75" customHeight="1" x14ac:dyDescent="0.25">
      <c r="A122" s="106" t="s">
        <v>701</v>
      </c>
      <c r="B122" s="249">
        <v>46249</v>
      </c>
      <c r="C122" s="246">
        <v>0.125</v>
      </c>
      <c r="D122" s="246">
        <v>0.16666666666666666</v>
      </c>
      <c r="E122" s="171">
        <v>41.458333333022892</v>
      </c>
      <c r="F122" s="171">
        <v>4.5411585365654901</v>
      </c>
      <c r="G122" s="171">
        <v>0</v>
      </c>
      <c r="H122" s="171">
        <v>0</v>
      </c>
      <c r="I122" s="171">
        <v>0</v>
      </c>
      <c r="J122" s="171"/>
      <c r="K122" s="171"/>
      <c r="L122" s="171"/>
      <c r="M122" s="171"/>
      <c r="N122" s="171"/>
      <c r="O122" s="171"/>
      <c r="P122" s="171"/>
      <c r="Q122" s="171"/>
      <c r="R122" s="171"/>
      <c r="S122" s="171"/>
      <c r="T122" s="171"/>
      <c r="U122" s="171"/>
      <c r="V122" s="171"/>
      <c r="W122" s="171"/>
      <c r="X122" s="171"/>
      <c r="Y122" s="171"/>
      <c r="Z122" s="171"/>
      <c r="AA122" s="171"/>
      <c r="AB122" s="171"/>
      <c r="AC122" s="171"/>
    </row>
    <row r="123" spans="1:29" ht="15.75" customHeight="1" x14ac:dyDescent="0.25">
      <c r="A123" s="106" t="s">
        <v>702</v>
      </c>
      <c r="B123" s="249">
        <v>46249</v>
      </c>
      <c r="C123" s="246">
        <v>0.16666666666666666</v>
      </c>
      <c r="D123" s="246">
        <v>0.20833333333333334</v>
      </c>
      <c r="E123" s="171">
        <v>43.079166666604578</v>
      </c>
      <c r="F123" s="171">
        <v>4.6021341462619603</v>
      </c>
      <c r="G123" s="171">
        <v>0</v>
      </c>
      <c r="H123" s="171">
        <v>0</v>
      </c>
      <c r="I123" s="171">
        <v>0</v>
      </c>
      <c r="J123" s="171"/>
      <c r="K123" s="171"/>
      <c r="L123" s="171"/>
      <c r="M123" s="171"/>
      <c r="N123" s="171"/>
      <c r="O123" s="171"/>
      <c r="P123" s="171"/>
      <c r="Q123" s="171"/>
      <c r="R123" s="171"/>
      <c r="S123" s="171"/>
      <c r="T123" s="171"/>
      <c r="U123" s="171"/>
      <c r="V123" s="171"/>
      <c r="W123" s="171"/>
      <c r="X123" s="171"/>
      <c r="Y123" s="171"/>
      <c r="Z123" s="171"/>
      <c r="AA123" s="171"/>
      <c r="AB123" s="171"/>
      <c r="AC123" s="171"/>
    </row>
    <row r="124" spans="1:29" ht="15.75" customHeight="1" x14ac:dyDescent="0.25">
      <c r="A124" s="106" t="s">
        <v>703</v>
      </c>
      <c r="B124" s="249">
        <v>46249</v>
      </c>
      <c r="C124" s="246">
        <v>0.20833333333333334</v>
      </c>
      <c r="D124" s="246">
        <v>0.25</v>
      </c>
      <c r="E124" s="171">
        <v>42.1875</v>
      </c>
      <c r="F124" s="171">
        <v>4.2267349013127387</v>
      </c>
      <c r="G124" s="171">
        <v>0</v>
      </c>
      <c r="H124" s="171">
        <v>0</v>
      </c>
      <c r="I124" s="171">
        <v>0</v>
      </c>
      <c r="J124" s="171"/>
      <c r="K124" s="171"/>
      <c r="L124" s="171"/>
      <c r="M124" s="171"/>
      <c r="N124" s="171"/>
      <c r="O124" s="171"/>
      <c r="P124" s="171"/>
      <c r="Q124" s="171"/>
      <c r="R124" s="171"/>
      <c r="S124" s="171"/>
      <c r="T124" s="171"/>
      <c r="U124" s="171"/>
      <c r="V124" s="171"/>
      <c r="W124" s="171"/>
      <c r="X124" s="171"/>
      <c r="Y124" s="171"/>
      <c r="Z124" s="171"/>
      <c r="AA124" s="171"/>
      <c r="AB124" s="171"/>
      <c r="AC124" s="171"/>
    </row>
    <row r="125" spans="1:29" ht="15.75" customHeight="1" x14ac:dyDescent="0.25">
      <c r="A125" s="106" t="s">
        <v>720</v>
      </c>
      <c r="B125" s="249">
        <v>46250</v>
      </c>
      <c r="C125" s="246">
        <v>0.91666666666666663</v>
      </c>
      <c r="D125" s="246">
        <v>0.95833333333333337</v>
      </c>
      <c r="E125" s="171">
        <v>45.237499999813735</v>
      </c>
      <c r="F125" s="171">
        <v>4.9253048780374229</v>
      </c>
      <c r="G125" s="171">
        <v>0</v>
      </c>
      <c r="H125" s="171">
        <v>0</v>
      </c>
      <c r="I125" s="171">
        <v>0</v>
      </c>
      <c r="J125" s="171"/>
      <c r="K125" s="171"/>
      <c r="L125" s="171"/>
      <c r="M125" s="171"/>
      <c r="N125" s="171"/>
      <c r="O125" s="171"/>
      <c r="P125" s="171"/>
      <c r="Q125" s="171"/>
      <c r="R125" s="171"/>
      <c r="S125" s="171"/>
      <c r="T125" s="171"/>
      <c r="U125" s="171"/>
      <c r="V125" s="171"/>
      <c r="W125" s="171"/>
      <c r="X125" s="171"/>
      <c r="Y125" s="171"/>
      <c r="Z125" s="171"/>
      <c r="AA125" s="171"/>
      <c r="AB125" s="171"/>
      <c r="AC125" s="171"/>
    </row>
    <row r="126" spans="1:29" ht="15.75" customHeight="1" x14ac:dyDescent="0.25">
      <c r="A126" s="106" t="s">
        <v>721</v>
      </c>
      <c r="B126" s="249">
        <v>46250</v>
      </c>
      <c r="C126" s="246">
        <v>0.95833333333333337</v>
      </c>
      <c r="D126" s="246">
        <v>0</v>
      </c>
      <c r="E126" s="171">
        <v>45.888135593384504</v>
      </c>
      <c r="F126" s="171">
        <v>4.9100609755842015</v>
      </c>
      <c r="G126" s="171">
        <v>0</v>
      </c>
      <c r="H126" s="171">
        <v>0</v>
      </c>
      <c r="I126" s="171">
        <v>0</v>
      </c>
      <c r="J126" s="171"/>
      <c r="K126" s="171"/>
      <c r="L126" s="171"/>
      <c r="M126" s="171"/>
      <c r="N126" s="171"/>
      <c r="O126" s="171"/>
      <c r="P126" s="171"/>
      <c r="Q126" s="171"/>
      <c r="R126" s="171"/>
      <c r="S126" s="171"/>
      <c r="T126" s="171"/>
      <c r="U126" s="171"/>
      <c r="V126" s="171"/>
      <c r="W126" s="171"/>
      <c r="X126" s="171"/>
      <c r="Y126" s="171"/>
      <c r="Z126" s="171"/>
      <c r="AA126" s="171"/>
      <c r="AB126" s="171"/>
      <c r="AC126" s="171"/>
    </row>
    <row r="127" spans="1:29" ht="15.75" customHeight="1" x14ac:dyDescent="0.25">
      <c r="A127" s="106" t="s">
        <v>722</v>
      </c>
      <c r="B127" s="249">
        <v>46250</v>
      </c>
      <c r="C127" s="246">
        <v>0</v>
      </c>
      <c r="D127" s="246">
        <v>4.1666666666666664E-2</v>
      </c>
      <c r="E127" s="171">
        <v>44.211864406708628</v>
      </c>
      <c r="F127" s="171">
        <v>4.9180640244157985</v>
      </c>
      <c r="G127" s="171">
        <v>0</v>
      </c>
      <c r="H127" s="171">
        <v>0</v>
      </c>
      <c r="I127" s="171">
        <v>0</v>
      </c>
      <c r="J127" s="171"/>
      <c r="K127" s="171"/>
      <c r="L127" s="171"/>
      <c r="M127" s="171"/>
      <c r="N127" s="171"/>
      <c r="O127" s="171"/>
      <c r="P127" s="171"/>
      <c r="Q127" s="171"/>
      <c r="R127" s="171"/>
      <c r="S127" s="171"/>
      <c r="T127" s="171"/>
      <c r="U127" s="171"/>
      <c r="V127" s="171"/>
      <c r="W127" s="171"/>
      <c r="X127" s="171"/>
      <c r="Y127" s="171"/>
      <c r="Z127" s="171"/>
      <c r="AA127" s="171"/>
      <c r="AB127" s="171"/>
      <c r="AC127" s="171"/>
    </row>
    <row r="128" spans="1:29" ht="15.75" customHeight="1" x14ac:dyDescent="0.25">
      <c r="A128" s="106" t="s">
        <v>723</v>
      </c>
      <c r="B128" s="249">
        <v>46250</v>
      </c>
      <c r="C128" s="246">
        <v>4.1666666666666664E-2</v>
      </c>
      <c r="D128" s="246">
        <v>8.3333333333333329E-2</v>
      </c>
      <c r="E128" s="171">
        <v>41.700000000186265</v>
      </c>
      <c r="F128" s="171">
        <v>5.2282774390187114</v>
      </c>
      <c r="G128" s="171">
        <v>0</v>
      </c>
      <c r="H128" s="171">
        <v>0</v>
      </c>
      <c r="I128" s="171">
        <v>0</v>
      </c>
      <c r="J128" s="171"/>
      <c r="K128" s="171"/>
      <c r="L128" s="171"/>
      <c r="M128" s="171"/>
      <c r="N128" s="171"/>
      <c r="O128" s="171"/>
      <c r="P128" s="171"/>
      <c r="Q128" s="171"/>
      <c r="R128" s="171"/>
      <c r="S128" s="171"/>
      <c r="T128" s="171"/>
      <c r="U128" s="171"/>
      <c r="V128" s="171"/>
      <c r="W128" s="171"/>
      <c r="X128" s="171"/>
      <c r="Y128" s="171"/>
      <c r="Z128" s="171"/>
      <c r="AA128" s="171"/>
      <c r="AB128" s="171"/>
      <c r="AC128" s="171"/>
    </row>
    <row r="129" spans="1:29" ht="15.75" customHeight="1" x14ac:dyDescent="0.25">
      <c r="A129" s="106" t="s">
        <v>724</v>
      </c>
      <c r="B129" s="249">
        <v>46250</v>
      </c>
      <c r="C129" s="246">
        <v>8.3333333333333329E-2</v>
      </c>
      <c r="D129" s="246">
        <v>0.125</v>
      </c>
      <c r="E129" s="171">
        <v>41.224999999627471</v>
      </c>
      <c r="F129" s="171">
        <v>4.7295350609347224</v>
      </c>
      <c r="G129" s="171">
        <v>0</v>
      </c>
      <c r="H129" s="171">
        <v>0</v>
      </c>
      <c r="I129" s="171">
        <v>0</v>
      </c>
      <c r="J129" s="171"/>
      <c r="K129" s="171"/>
      <c r="L129" s="171"/>
      <c r="M129" s="171"/>
      <c r="N129" s="171"/>
      <c r="O129" s="171"/>
      <c r="P129" s="171"/>
      <c r="Q129" s="171"/>
      <c r="R129" s="171"/>
      <c r="S129" s="171"/>
      <c r="T129" s="171"/>
      <c r="U129" s="171"/>
      <c r="V129" s="171"/>
      <c r="W129" s="171"/>
      <c r="X129" s="171"/>
      <c r="Y129" s="171"/>
      <c r="Z129" s="171"/>
      <c r="AA129" s="171"/>
      <c r="AB129" s="171"/>
      <c r="AC129" s="171"/>
    </row>
    <row r="130" spans="1:29" ht="15.75" customHeight="1" x14ac:dyDescent="0.25">
      <c r="A130" s="106" t="s">
        <v>725</v>
      </c>
      <c r="B130" s="249">
        <v>46250</v>
      </c>
      <c r="C130" s="246">
        <v>0.125</v>
      </c>
      <c r="D130" s="246">
        <v>0.16666666666666666</v>
      </c>
      <c r="E130" s="171">
        <v>42.643548387102783</v>
      </c>
      <c r="F130" s="171">
        <v>4.5421875000465661</v>
      </c>
      <c r="G130" s="171">
        <v>0</v>
      </c>
      <c r="H130" s="171">
        <v>0</v>
      </c>
      <c r="I130" s="171">
        <v>0</v>
      </c>
      <c r="J130" s="171"/>
      <c r="K130" s="171"/>
      <c r="L130" s="171"/>
      <c r="M130" s="171"/>
      <c r="N130" s="171"/>
      <c r="O130" s="171"/>
      <c r="P130" s="171"/>
      <c r="Q130" s="171"/>
      <c r="R130" s="171"/>
      <c r="S130" s="171"/>
      <c r="T130" s="171"/>
      <c r="U130" s="171"/>
      <c r="V130" s="171"/>
      <c r="W130" s="171"/>
      <c r="X130" s="171"/>
      <c r="Y130" s="171"/>
      <c r="Z130" s="171"/>
      <c r="AA130" s="171"/>
      <c r="AB130" s="171"/>
      <c r="AC130" s="171"/>
    </row>
    <row r="131" spans="1:29" ht="15.75" customHeight="1" x14ac:dyDescent="0.25">
      <c r="A131" s="106" t="s">
        <v>726</v>
      </c>
      <c r="B131" s="249">
        <v>46250</v>
      </c>
      <c r="C131" s="246">
        <v>0.16666666666666666</v>
      </c>
      <c r="D131" s="246">
        <v>0.20833333333333334</v>
      </c>
      <c r="E131" s="171">
        <v>41.281451613176614</v>
      </c>
      <c r="F131" s="171">
        <v>4.421875</v>
      </c>
      <c r="G131" s="171">
        <v>0</v>
      </c>
      <c r="H131" s="171">
        <v>0</v>
      </c>
      <c r="I131" s="171">
        <v>0</v>
      </c>
      <c r="J131" s="171"/>
      <c r="K131" s="171"/>
      <c r="L131" s="171"/>
      <c r="M131" s="171"/>
      <c r="N131" s="171"/>
      <c r="O131" s="171"/>
      <c r="P131" s="171"/>
      <c r="Q131" s="171"/>
      <c r="R131" s="171"/>
      <c r="S131" s="171"/>
      <c r="T131" s="171"/>
      <c r="U131" s="171"/>
      <c r="V131" s="171"/>
      <c r="W131" s="171"/>
      <c r="X131" s="171"/>
      <c r="Y131" s="171"/>
      <c r="Z131" s="171"/>
      <c r="AA131" s="171"/>
      <c r="AB131" s="171"/>
      <c r="AC131" s="171"/>
    </row>
    <row r="132" spans="1:29" ht="15.75" customHeight="1" x14ac:dyDescent="0.25">
      <c r="A132" s="106" t="s">
        <v>727</v>
      </c>
      <c r="B132" s="249">
        <v>46250</v>
      </c>
      <c r="C132" s="246">
        <v>0.20833333333333334</v>
      </c>
      <c r="D132" s="246">
        <v>0.25</v>
      </c>
      <c r="E132" s="171">
        <v>43.617213114630431</v>
      </c>
      <c r="F132" s="171">
        <v>6.0046874999534339</v>
      </c>
      <c r="G132" s="171">
        <v>0</v>
      </c>
      <c r="H132" s="171">
        <v>0</v>
      </c>
      <c r="I132" s="171">
        <v>0</v>
      </c>
      <c r="J132" s="171"/>
      <c r="K132" s="171"/>
      <c r="L132" s="171"/>
      <c r="M132" s="171"/>
      <c r="N132" s="171"/>
      <c r="O132" s="171"/>
      <c r="P132" s="171"/>
      <c r="Q132" s="171"/>
      <c r="R132" s="171"/>
      <c r="S132" s="171"/>
      <c r="T132" s="171"/>
      <c r="U132" s="171"/>
      <c r="V132" s="171"/>
      <c r="W132" s="171"/>
      <c r="X132" s="171"/>
      <c r="Y132" s="171"/>
      <c r="Z132" s="171"/>
      <c r="AA132" s="171"/>
      <c r="AB132" s="171"/>
      <c r="AC132" s="171"/>
    </row>
    <row r="133" spans="1:29" ht="15.75" customHeight="1" x14ac:dyDescent="0.25">
      <c r="A133" s="106" t="s">
        <v>744</v>
      </c>
      <c r="B133" s="249">
        <v>46251</v>
      </c>
      <c r="C133" s="246">
        <v>0.91666666666666663</v>
      </c>
      <c r="D133" s="246">
        <v>0.95833333333333337</v>
      </c>
      <c r="E133" s="171">
        <v>44.4375</v>
      </c>
      <c r="F133" s="171">
        <v>17.697713414556347</v>
      </c>
      <c r="G133" s="171">
        <v>0</v>
      </c>
      <c r="H133" s="171">
        <v>0</v>
      </c>
      <c r="I133" s="171">
        <v>0</v>
      </c>
      <c r="J133" s="171"/>
      <c r="K133" s="171"/>
      <c r="L133" s="171"/>
      <c r="M133" s="171"/>
      <c r="N133" s="171"/>
      <c r="O133" s="171"/>
      <c r="P133" s="171"/>
      <c r="Q133" s="171"/>
      <c r="R133" s="171"/>
      <c r="S133" s="171"/>
      <c r="T133" s="171"/>
      <c r="U133" s="171"/>
      <c r="V133" s="171"/>
      <c r="W133" s="171"/>
      <c r="X133" s="171"/>
      <c r="Y133" s="171"/>
      <c r="Z133" s="171"/>
      <c r="AA133" s="171"/>
      <c r="AB133" s="171"/>
      <c r="AC133" s="171"/>
    </row>
    <row r="134" spans="1:29" ht="15.75" customHeight="1" x14ac:dyDescent="0.25">
      <c r="A134" s="106" t="s">
        <v>745</v>
      </c>
      <c r="B134" s="249">
        <v>46251</v>
      </c>
      <c r="C134" s="246">
        <v>0.95833333333333337</v>
      </c>
      <c r="D134" s="246">
        <v>0</v>
      </c>
      <c r="E134" s="171">
        <v>44.199999999720603</v>
      </c>
      <c r="F134" s="171">
        <v>18.936661585350521</v>
      </c>
      <c r="G134" s="171">
        <v>0</v>
      </c>
      <c r="H134" s="171">
        <v>0</v>
      </c>
      <c r="I134" s="171">
        <v>0</v>
      </c>
      <c r="J134" s="171"/>
      <c r="K134" s="171"/>
      <c r="L134" s="171"/>
      <c r="M134" s="171"/>
      <c r="N134" s="171"/>
      <c r="O134" s="171"/>
      <c r="P134" s="171"/>
      <c r="Q134" s="171"/>
      <c r="R134" s="171"/>
      <c r="S134" s="171"/>
      <c r="T134" s="171"/>
      <c r="U134" s="171"/>
      <c r="V134" s="171"/>
      <c r="W134" s="171"/>
      <c r="X134" s="171"/>
      <c r="Y134" s="171"/>
      <c r="Z134" s="171"/>
      <c r="AA134" s="171"/>
      <c r="AB134" s="171"/>
      <c r="AC134" s="171"/>
    </row>
    <row r="135" spans="1:29" ht="15.75" customHeight="1" x14ac:dyDescent="0.25">
      <c r="A135" s="106" t="s">
        <v>746</v>
      </c>
      <c r="B135" s="249">
        <v>46251</v>
      </c>
      <c r="C135" s="246">
        <v>0</v>
      </c>
      <c r="D135" s="246">
        <v>4.1666666666666664E-2</v>
      </c>
      <c r="E135" s="171">
        <v>44.054166666697711</v>
      </c>
      <c r="F135" s="171">
        <v>16.184375000069849</v>
      </c>
      <c r="G135" s="171">
        <v>0</v>
      </c>
      <c r="H135" s="171">
        <v>0</v>
      </c>
      <c r="I135" s="171">
        <v>0</v>
      </c>
      <c r="J135" s="171"/>
      <c r="K135" s="171"/>
      <c r="L135" s="171"/>
      <c r="M135" s="171"/>
      <c r="N135" s="171"/>
      <c r="O135" s="171"/>
      <c r="P135" s="171"/>
      <c r="Q135" s="171"/>
      <c r="R135" s="171"/>
      <c r="S135" s="171"/>
      <c r="T135" s="171"/>
      <c r="U135" s="171"/>
      <c r="V135" s="171"/>
      <c r="W135" s="171"/>
      <c r="X135" s="171"/>
      <c r="Y135" s="171"/>
      <c r="Z135" s="171"/>
      <c r="AA135" s="171"/>
      <c r="AB135" s="171"/>
      <c r="AC135" s="171"/>
    </row>
    <row r="136" spans="1:29" ht="15.75" customHeight="1" x14ac:dyDescent="0.25">
      <c r="A136" s="106" t="s">
        <v>747</v>
      </c>
      <c r="B136" s="249">
        <v>46251</v>
      </c>
      <c r="C136" s="246">
        <v>4.1666666666666664E-2</v>
      </c>
      <c r="D136" s="246">
        <v>8.3333333333333329E-2</v>
      </c>
      <c r="E136" s="171">
        <v>41.333333333488554</v>
      </c>
      <c r="F136" s="171">
        <v>17.689062500023283</v>
      </c>
      <c r="G136" s="171">
        <v>0</v>
      </c>
      <c r="H136" s="171">
        <v>0</v>
      </c>
      <c r="I136" s="171">
        <v>0</v>
      </c>
      <c r="J136" s="171"/>
      <c r="K136" s="171"/>
      <c r="L136" s="171"/>
      <c r="M136" s="171"/>
      <c r="N136" s="171"/>
      <c r="O136" s="171"/>
      <c r="P136" s="171"/>
      <c r="Q136" s="171"/>
      <c r="R136" s="171"/>
      <c r="S136" s="171"/>
      <c r="T136" s="171"/>
      <c r="U136" s="171"/>
      <c r="V136" s="171"/>
      <c r="W136" s="171"/>
      <c r="X136" s="171"/>
      <c r="Y136" s="171"/>
      <c r="Z136" s="171"/>
      <c r="AA136" s="171"/>
      <c r="AB136" s="171"/>
      <c r="AC136" s="171"/>
    </row>
    <row r="137" spans="1:29" ht="15.75" customHeight="1" x14ac:dyDescent="0.25">
      <c r="A137" s="106" t="s">
        <v>748</v>
      </c>
      <c r="B137" s="249">
        <v>46251</v>
      </c>
      <c r="C137" s="246">
        <v>8.3333333333333329E-2</v>
      </c>
      <c r="D137" s="246">
        <v>0.125</v>
      </c>
      <c r="E137" s="171">
        <v>39.836440677754581</v>
      </c>
      <c r="F137" s="171">
        <v>23.588020833325572</v>
      </c>
      <c r="G137" s="171">
        <v>0</v>
      </c>
      <c r="H137" s="171">
        <v>0</v>
      </c>
      <c r="I137" s="171">
        <v>0</v>
      </c>
      <c r="J137" s="171"/>
      <c r="K137" s="171"/>
      <c r="L137" s="171"/>
      <c r="M137" s="171"/>
      <c r="N137" s="171"/>
      <c r="O137" s="171"/>
      <c r="P137" s="171"/>
      <c r="Q137" s="171"/>
      <c r="R137" s="171"/>
      <c r="S137" s="171"/>
      <c r="T137" s="171"/>
      <c r="U137" s="171"/>
      <c r="V137" s="171"/>
      <c r="W137" s="171"/>
      <c r="X137" s="171"/>
      <c r="Y137" s="171"/>
      <c r="Z137" s="171"/>
      <c r="AA137" s="171"/>
      <c r="AB137" s="171"/>
      <c r="AC137" s="171"/>
    </row>
    <row r="138" spans="1:29" ht="15.75" customHeight="1" x14ac:dyDescent="0.25">
      <c r="A138" s="106" t="s">
        <v>749</v>
      </c>
      <c r="B138" s="249">
        <v>46251</v>
      </c>
      <c r="C138" s="246">
        <v>0.125</v>
      </c>
      <c r="D138" s="246">
        <v>0.16666666666666666</v>
      </c>
      <c r="E138" s="171">
        <v>41.375034731812775</v>
      </c>
      <c r="F138" s="171">
        <v>37.091209349571727</v>
      </c>
      <c r="G138" s="171">
        <v>0</v>
      </c>
      <c r="H138" s="171">
        <v>0</v>
      </c>
      <c r="I138" s="171">
        <v>0</v>
      </c>
      <c r="J138" s="171"/>
      <c r="K138" s="171"/>
      <c r="L138" s="171"/>
      <c r="M138" s="171"/>
      <c r="N138" s="171"/>
      <c r="O138" s="171"/>
      <c r="P138" s="171"/>
      <c r="Q138" s="171"/>
      <c r="R138" s="171"/>
      <c r="S138" s="171"/>
      <c r="T138" s="171"/>
      <c r="U138" s="171"/>
      <c r="V138" s="171"/>
      <c r="W138" s="171"/>
      <c r="X138" s="171"/>
      <c r="Y138" s="171"/>
      <c r="Z138" s="171"/>
      <c r="AA138" s="171"/>
      <c r="AB138" s="171"/>
      <c r="AC138" s="171"/>
    </row>
    <row r="139" spans="1:29" ht="15.75" customHeight="1" x14ac:dyDescent="0.25">
      <c r="A139" s="106" t="s">
        <v>750</v>
      </c>
      <c r="B139" s="249">
        <v>46251</v>
      </c>
      <c r="C139" s="246">
        <v>0.16666666666666666</v>
      </c>
      <c r="D139" s="246">
        <v>0.20833333333333334</v>
      </c>
      <c r="E139" s="171">
        <v>39.613524590153247</v>
      </c>
      <c r="F139" s="171">
        <v>20.587957317009568</v>
      </c>
      <c r="G139" s="171">
        <v>0</v>
      </c>
      <c r="H139" s="171">
        <v>0</v>
      </c>
      <c r="I139" s="171">
        <v>0</v>
      </c>
      <c r="J139" s="171"/>
      <c r="K139" s="171"/>
      <c r="L139" s="171"/>
      <c r="M139" s="171"/>
      <c r="N139" s="171"/>
      <c r="O139" s="171"/>
      <c r="P139" s="171"/>
      <c r="Q139" s="171"/>
      <c r="R139" s="171"/>
      <c r="S139" s="171"/>
      <c r="T139" s="171"/>
      <c r="U139" s="171"/>
      <c r="V139" s="171"/>
      <c r="W139" s="171"/>
      <c r="X139" s="171"/>
      <c r="Y139" s="171"/>
      <c r="Z139" s="171"/>
      <c r="AA139" s="171"/>
      <c r="AB139" s="171"/>
      <c r="AC139" s="171"/>
    </row>
    <row r="140" spans="1:29" ht="15.75" customHeight="1" x14ac:dyDescent="0.25">
      <c r="A140" s="106" t="s">
        <v>751</v>
      </c>
      <c r="B140" s="249">
        <v>46251</v>
      </c>
      <c r="C140" s="246">
        <v>0.20833333333333334</v>
      </c>
      <c r="D140" s="246">
        <v>0.25</v>
      </c>
      <c r="E140" s="171">
        <v>40.4375</v>
      </c>
      <c r="F140" s="171">
        <v>27.921875</v>
      </c>
      <c r="G140" s="171">
        <v>0</v>
      </c>
      <c r="H140" s="171">
        <v>0</v>
      </c>
      <c r="I140" s="171">
        <v>0</v>
      </c>
      <c r="J140" s="171"/>
      <c r="K140" s="171"/>
      <c r="L140" s="171"/>
      <c r="M140" s="171"/>
      <c r="N140" s="171"/>
      <c r="O140" s="171"/>
      <c r="P140" s="171"/>
      <c r="Q140" s="171"/>
      <c r="R140" s="171"/>
      <c r="S140" s="171"/>
      <c r="T140" s="171"/>
      <c r="U140" s="171"/>
      <c r="V140" s="171"/>
      <c r="W140" s="171"/>
      <c r="X140" s="171"/>
      <c r="Y140" s="171"/>
      <c r="Z140" s="171"/>
      <c r="AA140" s="171"/>
      <c r="AB140" s="171"/>
      <c r="AC140" s="171"/>
    </row>
    <row r="141" spans="1:29" ht="15.75" customHeight="1" x14ac:dyDescent="0.25">
      <c r="A141" s="106" t="s">
        <v>768</v>
      </c>
      <c r="B141" s="249">
        <v>46252</v>
      </c>
      <c r="C141" s="246">
        <v>0.91666666666666663</v>
      </c>
      <c r="D141" s="246">
        <v>0.95833333333333337</v>
      </c>
      <c r="E141" s="171">
        <v>0</v>
      </c>
      <c r="F141" s="171">
        <v>0</v>
      </c>
      <c r="G141" s="171">
        <v>0</v>
      </c>
      <c r="H141" s="171">
        <v>0</v>
      </c>
      <c r="I141" s="171">
        <v>0</v>
      </c>
      <c r="J141" s="171"/>
      <c r="K141" s="171"/>
      <c r="L141" s="171"/>
      <c r="M141" s="171"/>
      <c r="N141" s="171"/>
      <c r="O141" s="171"/>
      <c r="P141" s="171"/>
      <c r="Q141" s="171"/>
      <c r="R141" s="171"/>
      <c r="S141" s="171"/>
      <c r="T141" s="171"/>
      <c r="U141" s="171"/>
      <c r="V141" s="171"/>
      <c r="W141" s="171"/>
      <c r="X141" s="171"/>
      <c r="Y141" s="171"/>
      <c r="Z141" s="171"/>
      <c r="AA141" s="171"/>
      <c r="AB141" s="171"/>
      <c r="AC141" s="171"/>
    </row>
    <row r="142" spans="1:29" ht="15.75" customHeight="1" x14ac:dyDescent="0.25">
      <c r="A142" s="106" t="s">
        <v>769</v>
      </c>
      <c r="B142" s="249">
        <v>46252</v>
      </c>
      <c r="C142" s="246">
        <v>0.95833333333333337</v>
      </c>
      <c r="D142" s="246">
        <v>0</v>
      </c>
      <c r="E142" s="171">
        <v>0</v>
      </c>
      <c r="F142" s="171">
        <v>0</v>
      </c>
      <c r="G142" s="171">
        <v>0</v>
      </c>
      <c r="H142" s="171">
        <v>0</v>
      </c>
      <c r="I142" s="171">
        <v>0</v>
      </c>
      <c r="J142" s="171"/>
      <c r="K142" s="171"/>
      <c r="L142" s="171"/>
      <c r="M142" s="171"/>
      <c r="N142" s="171"/>
      <c r="O142" s="171"/>
      <c r="P142" s="171"/>
      <c r="Q142" s="171"/>
      <c r="R142" s="171"/>
      <c r="S142" s="171"/>
      <c r="T142" s="171"/>
      <c r="U142" s="171"/>
      <c r="V142" s="171"/>
      <c r="W142" s="171"/>
      <c r="X142" s="171"/>
      <c r="Y142" s="171"/>
      <c r="Z142" s="171"/>
      <c r="AA142" s="171"/>
      <c r="AB142" s="171"/>
      <c r="AC142" s="171"/>
    </row>
    <row r="143" spans="1:29" ht="15.75" customHeight="1" x14ac:dyDescent="0.25">
      <c r="A143" s="106" t="s">
        <v>770</v>
      </c>
      <c r="B143" s="249">
        <v>46252</v>
      </c>
      <c r="C143" s="246">
        <v>0</v>
      </c>
      <c r="D143" s="246">
        <v>4.1666666666666664E-2</v>
      </c>
      <c r="E143" s="171">
        <v>0</v>
      </c>
      <c r="F143" s="171">
        <v>0</v>
      </c>
      <c r="G143" s="171">
        <v>0</v>
      </c>
      <c r="H143" s="171">
        <v>0</v>
      </c>
      <c r="I143" s="171">
        <v>0</v>
      </c>
      <c r="J143" s="171"/>
      <c r="K143" s="171"/>
      <c r="L143" s="171"/>
      <c r="M143" s="171"/>
      <c r="N143" s="171"/>
      <c r="O143" s="171"/>
      <c r="P143" s="171"/>
      <c r="Q143" s="171"/>
      <c r="R143" s="171"/>
      <c r="S143" s="171"/>
      <c r="T143" s="171"/>
      <c r="U143" s="171"/>
      <c r="V143" s="171"/>
      <c r="W143" s="171"/>
      <c r="X143" s="171"/>
      <c r="Y143" s="171"/>
      <c r="Z143" s="171"/>
      <c r="AA143" s="171"/>
      <c r="AB143" s="171"/>
      <c r="AC143" s="171"/>
    </row>
    <row r="144" spans="1:29" ht="15.75" customHeight="1" x14ac:dyDescent="0.25">
      <c r="A144" s="106" t="s">
        <v>771</v>
      </c>
      <c r="B144" s="249">
        <v>46252</v>
      </c>
      <c r="C144" s="246">
        <v>4.1666666666666664E-2</v>
      </c>
      <c r="D144" s="246">
        <v>8.3333333333333329E-2</v>
      </c>
      <c r="E144" s="171">
        <v>0</v>
      </c>
      <c r="F144" s="171">
        <v>0</v>
      </c>
      <c r="G144" s="171">
        <v>0</v>
      </c>
      <c r="H144" s="171">
        <v>0</v>
      </c>
      <c r="I144" s="171">
        <v>0</v>
      </c>
      <c r="J144" s="171"/>
      <c r="K144" s="171"/>
      <c r="L144" s="171"/>
      <c r="M144" s="171"/>
      <c r="N144" s="171"/>
      <c r="O144" s="171"/>
      <c r="P144" s="171"/>
      <c r="Q144" s="171"/>
      <c r="R144" s="171"/>
      <c r="S144" s="171"/>
      <c r="T144" s="171"/>
      <c r="U144" s="171"/>
      <c r="V144" s="171"/>
      <c r="W144" s="171"/>
      <c r="X144" s="171"/>
      <c r="Y144" s="171"/>
      <c r="Z144" s="171"/>
      <c r="AA144" s="171"/>
      <c r="AB144" s="171"/>
      <c r="AC144" s="171"/>
    </row>
    <row r="145" spans="1:29" ht="15.75" customHeight="1" x14ac:dyDescent="0.25">
      <c r="A145" s="106" t="s">
        <v>772</v>
      </c>
      <c r="B145" s="249">
        <v>46252</v>
      </c>
      <c r="C145" s="246">
        <v>8.3333333333333329E-2</v>
      </c>
      <c r="D145" s="246">
        <v>0.125</v>
      </c>
      <c r="E145" s="171">
        <v>0</v>
      </c>
      <c r="F145" s="171">
        <v>0</v>
      </c>
      <c r="G145" s="171">
        <v>0</v>
      </c>
      <c r="H145" s="171">
        <v>0</v>
      </c>
      <c r="I145" s="171">
        <v>0</v>
      </c>
      <c r="J145" s="171"/>
      <c r="K145" s="171"/>
      <c r="L145" s="171"/>
      <c r="M145" s="171"/>
      <c r="N145" s="171"/>
      <c r="O145" s="171"/>
      <c r="P145" s="171"/>
      <c r="Q145" s="171"/>
      <c r="R145" s="171"/>
      <c r="S145" s="171"/>
      <c r="T145" s="171"/>
      <c r="U145" s="171"/>
      <c r="V145" s="171"/>
      <c r="W145" s="171"/>
      <c r="X145" s="171"/>
      <c r="Y145" s="171"/>
      <c r="Z145" s="171"/>
      <c r="AA145" s="171"/>
      <c r="AB145" s="171"/>
      <c r="AC145" s="171"/>
    </row>
    <row r="146" spans="1:29" ht="15.75" customHeight="1" x14ac:dyDescent="0.25">
      <c r="A146" s="106" t="s">
        <v>773</v>
      </c>
      <c r="B146" s="249">
        <v>46252</v>
      </c>
      <c r="C146" s="246">
        <v>0.125</v>
      </c>
      <c r="D146" s="246">
        <v>0.16666666666666666</v>
      </c>
      <c r="E146" s="171">
        <v>0</v>
      </c>
      <c r="F146" s="171">
        <v>0</v>
      </c>
      <c r="G146" s="171">
        <v>0</v>
      </c>
      <c r="H146" s="171">
        <v>0</v>
      </c>
      <c r="I146" s="171">
        <v>0</v>
      </c>
      <c r="J146" s="171"/>
      <c r="K146" s="171"/>
      <c r="L146" s="171"/>
      <c r="M146" s="171"/>
      <c r="N146" s="171"/>
      <c r="O146" s="171"/>
      <c r="P146" s="171"/>
      <c r="Q146" s="171"/>
      <c r="R146" s="171"/>
      <c r="S146" s="171"/>
      <c r="T146" s="171"/>
      <c r="U146" s="171"/>
      <c r="V146" s="171"/>
      <c r="W146" s="171"/>
      <c r="X146" s="171"/>
      <c r="Y146" s="171"/>
      <c r="Z146" s="171"/>
      <c r="AA146" s="171"/>
      <c r="AB146" s="171"/>
      <c r="AC146" s="171"/>
    </row>
    <row r="147" spans="1:29" ht="15.75" customHeight="1" x14ac:dyDescent="0.25">
      <c r="A147" s="106" t="s">
        <v>774</v>
      </c>
      <c r="B147" s="249">
        <v>46252</v>
      </c>
      <c r="C147" s="246">
        <v>0.16666666666666666</v>
      </c>
      <c r="D147" s="246">
        <v>0.20833333333333334</v>
      </c>
      <c r="E147" s="171">
        <v>0</v>
      </c>
      <c r="F147" s="171">
        <v>0</v>
      </c>
      <c r="G147" s="171">
        <v>0</v>
      </c>
      <c r="H147" s="171">
        <v>0</v>
      </c>
      <c r="I147" s="171">
        <v>0</v>
      </c>
      <c r="J147" s="171"/>
      <c r="K147" s="171"/>
      <c r="L147" s="171"/>
      <c r="M147" s="171"/>
      <c r="N147" s="171"/>
      <c r="O147" s="171"/>
      <c r="P147" s="171"/>
      <c r="Q147" s="171"/>
      <c r="R147" s="171"/>
      <c r="S147" s="171"/>
      <c r="T147" s="171"/>
      <c r="U147" s="171"/>
      <c r="V147" s="171"/>
      <c r="W147" s="171"/>
      <c r="X147" s="171"/>
      <c r="Y147" s="171"/>
      <c r="Z147" s="171"/>
      <c r="AA147" s="171"/>
      <c r="AB147" s="171"/>
      <c r="AC147" s="171"/>
    </row>
    <row r="148" spans="1:29" ht="15.75" customHeight="1" x14ac:dyDescent="0.25">
      <c r="A148" s="106" t="s">
        <v>775</v>
      </c>
      <c r="B148" s="249">
        <v>46252</v>
      </c>
      <c r="C148" s="246">
        <v>0.20833333333333334</v>
      </c>
      <c r="D148" s="246">
        <v>0.25</v>
      </c>
      <c r="E148" s="171">
        <v>0</v>
      </c>
      <c r="F148" s="171">
        <v>0</v>
      </c>
      <c r="G148" s="171">
        <v>0</v>
      </c>
      <c r="H148" s="171">
        <v>0</v>
      </c>
      <c r="I148" s="171">
        <v>0</v>
      </c>
      <c r="J148" s="171"/>
      <c r="K148" s="171"/>
      <c r="L148" s="171"/>
      <c r="M148" s="171"/>
      <c r="N148" s="171"/>
      <c r="O148" s="171"/>
      <c r="P148" s="171"/>
      <c r="Q148" s="171"/>
      <c r="R148" s="171"/>
      <c r="S148" s="171"/>
      <c r="T148" s="171"/>
      <c r="U148" s="171"/>
      <c r="V148" s="171"/>
      <c r="W148" s="171"/>
      <c r="X148" s="171"/>
      <c r="Y148" s="171"/>
      <c r="Z148" s="171"/>
      <c r="AA148" s="171"/>
      <c r="AB148" s="171"/>
      <c r="AC148" s="171"/>
    </row>
    <row r="149" spans="1:29" ht="15.75" customHeight="1" x14ac:dyDescent="0.25">
      <c r="A149" s="106" t="s">
        <v>792</v>
      </c>
      <c r="B149" s="249">
        <v>46253</v>
      </c>
      <c r="C149" s="246">
        <v>0.91666666666666663</v>
      </c>
      <c r="D149" s="246">
        <v>0.95833333333333337</v>
      </c>
      <c r="E149" s="171">
        <v>0</v>
      </c>
      <c r="F149" s="171">
        <v>0</v>
      </c>
      <c r="G149" s="171">
        <v>0</v>
      </c>
      <c r="H149" s="171">
        <v>0</v>
      </c>
      <c r="I149" s="171">
        <v>0</v>
      </c>
      <c r="J149" s="171"/>
      <c r="K149" s="171"/>
      <c r="L149" s="171"/>
      <c r="M149" s="171"/>
      <c r="N149" s="171"/>
      <c r="O149" s="171"/>
      <c r="P149" s="171"/>
      <c r="Q149" s="171"/>
      <c r="R149" s="171"/>
      <c r="S149" s="171"/>
      <c r="T149" s="171"/>
      <c r="U149" s="171"/>
      <c r="V149" s="171"/>
      <c r="W149" s="171"/>
      <c r="X149" s="171"/>
      <c r="Y149" s="171"/>
      <c r="Z149" s="171"/>
      <c r="AA149" s="171"/>
      <c r="AB149" s="171"/>
      <c r="AC149" s="171"/>
    </row>
    <row r="150" spans="1:29" ht="15.75" customHeight="1" x14ac:dyDescent="0.25">
      <c r="A150" s="106" t="s">
        <v>793</v>
      </c>
      <c r="B150" s="249">
        <v>46253</v>
      </c>
      <c r="C150" s="246">
        <v>0.95833333333333337</v>
      </c>
      <c r="D150" s="246">
        <v>0</v>
      </c>
      <c r="E150" s="171">
        <v>0</v>
      </c>
      <c r="F150" s="171">
        <v>0</v>
      </c>
      <c r="G150" s="171">
        <v>0</v>
      </c>
      <c r="H150" s="171">
        <v>0</v>
      </c>
      <c r="I150" s="171">
        <v>0</v>
      </c>
      <c r="J150" s="171"/>
      <c r="K150" s="171"/>
      <c r="L150" s="171"/>
      <c r="M150" s="171"/>
      <c r="N150" s="171"/>
      <c r="O150" s="171"/>
      <c r="P150" s="171"/>
      <c r="Q150" s="171"/>
      <c r="R150" s="171"/>
      <c r="S150" s="171"/>
      <c r="T150" s="171"/>
      <c r="U150" s="171"/>
      <c r="V150" s="171"/>
      <c r="W150" s="171"/>
      <c r="X150" s="171"/>
      <c r="Y150" s="171"/>
      <c r="Z150" s="171"/>
      <c r="AA150" s="171"/>
      <c r="AB150" s="171"/>
      <c r="AC150" s="171"/>
    </row>
    <row r="151" spans="1:29" ht="15.75" customHeight="1" x14ac:dyDescent="0.25">
      <c r="A151" s="106" t="s">
        <v>794</v>
      </c>
      <c r="B151" s="249">
        <v>46253</v>
      </c>
      <c r="C151" s="246">
        <v>0</v>
      </c>
      <c r="D151" s="246">
        <v>4.1666666666666664E-2</v>
      </c>
      <c r="E151" s="171">
        <v>0</v>
      </c>
      <c r="F151" s="171">
        <v>0</v>
      </c>
      <c r="G151" s="171">
        <v>0</v>
      </c>
      <c r="H151" s="171">
        <v>0</v>
      </c>
      <c r="I151" s="171">
        <v>0</v>
      </c>
      <c r="J151" s="171"/>
      <c r="K151" s="171"/>
      <c r="L151" s="171"/>
      <c r="M151" s="171"/>
      <c r="N151" s="171"/>
      <c r="O151" s="171"/>
      <c r="P151" s="171"/>
      <c r="Q151" s="171"/>
      <c r="R151" s="171"/>
      <c r="S151" s="171"/>
      <c r="T151" s="171"/>
      <c r="U151" s="171"/>
      <c r="V151" s="171"/>
      <c r="W151" s="171"/>
      <c r="X151" s="171"/>
      <c r="Y151" s="171"/>
      <c r="Z151" s="171"/>
      <c r="AA151" s="171"/>
      <c r="AB151" s="171"/>
      <c r="AC151" s="171"/>
    </row>
    <row r="152" spans="1:29" ht="15.75" customHeight="1" x14ac:dyDescent="0.25">
      <c r="A152" s="106" t="s">
        <v>795</v>
      </c>
      <c r="B152" s="249">
        <v>46253</v>
      </c>
      <c r="C152" s="246">
        <v>4.1666666666666664E-2</v>
      </c>
      <c r="D152" s="246">
        <v>8.3333333333333329E-2</v>
      </c>
      <c r="E152" s="171">
        <v>0</v>
      </c>
      <c r="F152" s="171">
        <v>0</v>
      </c>
      <c r="G152" s="171">
        <v>0</v>
      </c>
      <c r="H152" s="171">
        <v>0</v>
      </c>
      <c r="I152" s="171">
        <v>0</v>
      </c>
      <c r="J152" s="171"/>
      <c r="K152" s="171"/>
      <c r="L152" s="171"/>
      <c r="M152" s="171"/>
      <c r="N152" s="171"/>
      <c r="O152" s="171"/>
      <c r="P152" s="171"/>
      <c r="Q152" s="171"/>
      <c r="R152" s="171"/>
      <c r="S152" s="171"/>
      <c r="T152" s="171"/>
      <c r="U152" s="171"/>
      <c r="V152" s="171"/>
      <c r="W152" s="171"/>
      <c r="X152" s="171"/>
      <c r="Y152" s="171"/>
      <c r="Z152" s="171"/>
      <c r="AA152" s="171"/>
      <c r="AB152" s="171"/>
      <c r="AC152" s="171"/>
    </row>
    <row r="153" spans="1:29" ht="15.75" customHeight="1" x14ac:dyDescent="0.25">
      <c r="A153" s="106" t="s">
        <v>796</v>
      </c>
      <c r="B153" s="249">
        <v>46253</v>
      </c>
      <c r="C153" s="246">
        <v>8.3333333333333329E-2</v>
      </c>
      <c r="D153" s="246">
        <v>0.125</v>
      </c>
      <c r="E153" s="171">
        <v>0</v>
      </c>
      <c r="F153" s="171">
        <v>0</v>
      </c>
      <c r="G153" s="171">
        <v>0</v>
      </c>
      <c r="H153" s="171">
        <v>0</v>
      </c>
      <c r="I153" s="171">
        <v>0</v>
      </c>
      <c r="J153" s="171"/>
      <c r="K153" s="171"/>
      <c r="L153" s="171"/>
      <c r="M153" s="171"/>
      <c r="N153" s="171"/>
      <c r="O153" s="171"/>
      <c r="P153" s="171"/>
      <c r="Q153" s="171"/>
      <c r="R153" s="171"/>
      <c r="S153" s="171"/>
      <c r="T153" s="171"/>
      <c r="U153" s="171"/>
      <c r="V153" s="171"/>
      <c r="W153" s="171"/>
      <c r="X153" s="171"/>
      <c r="Y153" s="171"/>
      <c r="Z153" s="171"/>
      <c r="AA153" s="171"/>
      <c r="AB153" s="171"/>
      <c r="AC153" s="171"/>
    </row>
    <row r="154" spans="1:29" ht="15.75" customHeight="1" x14ac:dyDescent="0.25">
      <c r="A154" s="106" t="s">
        <v>797</v>
      </c>
      <c r="B154" s="249">
        <v>46253</v>
      </c>
      <c r="C154" s="246">
        <v>0.125</v>
      </c>
      <c r="D154" s="246">
        <v>0.16666666666666666</v>
      </c>
      <c r="E154" s="171">
        <v>0</v>
      </c>
      <c r="F154" s="171">
        <v>0</v>
      </c>
      <c r="G154" s="171">
        <v>0</v>
      </c>
      <c r="H154" s="171">
        <v>0</v>
      </c>
      <c r="I154" s="171">
        <v>0</v>
      </c>
      <c r="J154" s="171"/>
      <c r="K154" s="171"/>
      <c r="L154" s="171"/>
      <c r="M154" s="171"/>
      <c r="N154" s="171"/>
      <c r="O154" s="171"/>
      <c r="P154" s="171"/>
      <c r="Q154" s="171"/>
      <c r="R154" s="171"/>
      <c r="S154" s="171"/>
      <c r="T154" s="171"/>
      <c r="U154" s="171"/>
      <c r="V154" s="171"/>
      <c r="W154" s="171"/>
      <c r="X154" s="171"/>
      <c r="Y154" s="171"/>
      <c r="Z154" s="171"/>
      <c r="AA154" s="171"/>
      <c r="AB154" s="171"/>
      <c r="AC154" s="171"/>
    </row>
    <row r="155" spans="1:29" ht="15.75" customHeight="1" x14ac:dyDescent="0.25">
      <c r="A155" s="106" t="s">
        <v>798</v>
      </c>
      <c r="B155" s="249">
        <v>46253</v>
      </c>
      <c r="C155" s="246">
        <v>0.16666666666666666</v>
      </c>
      <c r="D155" s="246">
        <v>0.20833333333333334</v>
      </c>
      <c r="E155" s="171">
        <v>0</v>
      </c>
      <c r="F155" s="171">
        <v>0</v>
      </c>
      <c r="G155" s="171">
        <v>0</v>
      </c>
      <c r="H155" s="171">
        <v>0</v>
      </c>
      <c r="I155" s="171">
        <v>0</v>
      </c>
      <c r="J155" s="171"/>
      <c r="K155" s="171"/>
      <c r="L155" s="171"/>
      <c r="M155" s="171"/>
      <c r="N155" s="171"/>
      <c r="O155" s="171"/>
      <c r="P155" s="171"/>
      <c r="Q155" s="171"/>
      <c r="R155" s="171"/>
      <c r="S155" s="171"/>
      <c r="T155" s="171"/>
      <c r="U155" s="171"/>
      <c r="V155" s="171"/>
      <c r="W155" s="171"/>
      <c r="X155" s="171"/>
      <c r="Y155" s="171"/>
      <c r="Z155" s="171"/>
      <c r="AA155" s="171"/>
      <c r="AB155" s="171"/>
      <c r="AC155" s="171"/>
    </row>
    <row r="156" spans="1:29" ht="15.75" customHeight="1" x14ac:dyDescent="0.25">
      <c r="A156" s="106" t="s">
        <v>799</v>
      </c>
      <c r="B156" s="249">
        <v>46253</v>
      </c>
      <c r="C156" s="246">
        <v>0.20833333333333334</v>
      </c>
      <c r="D156" s="246">
        <v>0.25</v>
      </c>
      <c r="E156" s="171">
        <v>0</v>
      </c>
      <c r="F156" s="171">
        <v>0</v>
      </c>
      <c r="G156" s="171">
        <v>0</v>
      </c>
      <c r="H156" s="171">
        <v>0</v>
      </c>
      <c r="I156" s="171">
        <v>0</v>
      </c>
      <c r="J156" s="171"/>
      <c r="K156" s="171"/>
      <c r="L156" s="171"/>
      <c r="M156" s="171"/>
      <c r="N156" s="171"/>
      <c r="O156" s="171"/>
      <c r="P156" s="171"/>
      <c r="Q156" s="171"/>
      <c r="R156" s="171"/>
      <c r="S156" s="171"/>
      <c r="T156" s="171"/>
      <c r="U156" s="171"/>
      <c r="V156" s="171"/>
      <c r="W156" s="171"/>
      <c r="X156" s="171"/>
      <c r="Y156" s="171"/>
      <c r="Z156" s="171"/>
      <c r="AA156" s="171"/>
      <c r="AB156" s="171"/>
      <c r="AC156" s="171"/>
    </row>
    <row r="157" spans="1:29" ht="15.75" customHeight="1" x14ac:dyDescent="0.25">
      <c r="A157" s="106" t="s">
        <v>816</v>
      </c>
      <c r="B157" s="249">
        <v>46254</v>
      </c>
      <c r="C157" s="246">
        <v>0.91666666666666663</v>
      </c>
      <c r="D157" s="246">
        <v>0.95833333333333337</v>
      </c>
      <c r="E157" s="171">
        <v>0</v>
      </c>
      <c r="F157" s="171">
        <v>0</v>
      </c>
      <c r="G157" s="171">
        <v>0</v>
      </c>
      <c r="H157" s="171">
        <v>0</v>
      </c>
      <c r="I157" s="171">
        <v>0</v>
      </c>
      <c r="J157" s="171"/>
      <c r="K157" s="171"/>
      <c r="L157" s="171"/>
      <c r="M157" s="171"/>
      <c r="N157" s="171"/>
      <c r="O157" s="171"/>
      <c r="P157" s="171"/>
      <c r="Q157" s="171"/>
      <c r="R157" s="171"/>
      <c r="S157" s="171"/>
      <c r="T157" s="171"/>
      <c r="U157" s="171"/>
      <c r="V157" s="171"/>
      <c r="W157" s="171"/>
      <c r="X157" s="171"/>
      <c r="Y157" s="171"/>
      <c r="Z157" s="171"/>
      <c r="AA157" s="171"/>
      <c r="AB157" s="171"/>
      <c r="AC157" s="171"/>
    </row>
    <row r="158" spans="1:29" ht="15.75" customHeight="1" x14ac:dyDescent="0.25">
      <c r="A158" s="106" t="s">
        <v>817</v>
      </c>
      <c r="B158" s="249">
        <v>46254</v>
      </c>
      <c r="C158" s="246">
        <v>0.95833333333333337</v>
      </c>
      <c r="D158" s="246">
        <v>0</v>
      </c>
      <c r="E158" s="171">
        <v>0</v>
      </c>
      <c r="F158" s="171">
        <v>0</v>
      </c>
      <c r="G158" s="171">
        <v>0</v>
      </c>
      <c r="H158" s="171">
        <v>0</v>
      </c>
      <c r="I158" s="171">
        <v>0</v>
      </c>
      <c r="J158" s="171"/>
      <c r="K158" s="171"/>
      <c r="L158" s="171"/>
      <c r="M158" s="171"/>
      <c r="N158" s="171"/>
      <c r="O158" s="171"/>
      <c r="P158" s="171"/>
      <c r="Q158" s="171"/>
      <c r="R158" s="171"/>
      <c r="S158" s="171"/>
      <c r="T158" s="171"/>
      <c r="U158" s="171"/>
      <c r="V158" s="171"/>
      <c r="W158" s="171"/>
      <c r="X158" s="171"/>
      <c r="Y158" s="171"/>
      <c r="Z158" s="171"/>
      <c r="AA158" s="171"/>
      <c r="AB158" s="171"/>
      <c r="AC158" s="171"/>
    </row>
    <row r="159" spans="1:29" ht="15.75" customHeight="1" x14ac:dyDescent="0.25">
      <c r="A159" s="106" t="s">
        <v>818</v>
      </c>
      <c r="B159" s="249">
        <v>46254</v>
      </c>
      <c r="C159" s="246">
        <v>0</v>
      </c>
      <c r="D159" s="246">
        <v>4.1666666666666664E-2</v>
      </c>
      <c r="E159" s="171">
        <v>0</v>
      </c>
      <c r="F159" s="171">
        <v>0</v>
      </c>
      <c r="G159" s="171">
        <v>0</v>
      </c>
      <c r="H159" s="171">
        <v>0</v>
      </c>
      <c r="I159" s="171">
        <v>0</v>
      </c>
      <c r="J159" s="171"/>
      <c r="K159" s="171"/>
      <c r="L159" s="171"/>
      <c r="M159" s="171"/>
      <c r="N159" s="171"/>
      <c r="O159" s="171"/>
      <c r="P159" s="171"/>
      <c r="Q159" s="171"/>
      <c r="R159" s="171"/>
      <c r="S159" s="171"/>
      <c r="T159" s="171"/>
      <c r="U159" s="171"/>
      <c r="V159" s="171"/>
      <c r="W159" s="171"/>
      <c r="X159" s="171"/>
      <c r="Y159" s="171"/>
      <c r="Z159" s="171"/>
      <c r="AA159" s="171"/>
      <c r="AB159" s="171"/>
      <c r="AC159" s="171"/>
    </row>
    <row r="160" spans="1:29" ht="15.75" customHeight="1" x14ac:dyDescent="0.25">
      <c r="A160" s="106" t="s">
        <v>819</v>
      </c>
      <c r="B160" s="249">
        <v>46254</v>
      </c>
      <c r="C160" s="246">
        <v>4.1666666666666664E-2</v>
      </c>
      <c r="D160" s="246">
        <v>8.3333333333333329E-2</v>
      </c>
      <c r="E160" s="171">
        <v>0</v>
      </c>
      <c r="F160" s="171">
        <v>0</v>
      </c>
      <c r="G160" s="171">
        <v>0</v>
      </c>
      <c r="H160" s="171">
        <v>0</v>
      </c>
      <c r="I160" s="171">
        <v>0</v>
      </c>
      <c r="J160" s="171"/>
      <c r="K160" s="171"/>
      <c r="L160" s="171"/>
      <c r="M160" s="171"/>
      <c r="N160" s="171"/>
      <c r="O160" s="171"/>
      <c r="P160" s="171"/>
      <c r="Q160" s="171"/>
      <c r="R160" s="171"/>
      <c r="S160" s="171"/>
      <c r="T160" s="171"/>
      <c r="U160" s="171"/>
      <c r="V160" s="171"/>
      <c r="W160" s="171"/>
      <c r="X160" s="171"/>
      <c r="Y160" s="171"/>
      <c r="Z160" s="171"/>
      <c r="AA160" s="171"/>
      <c r="AB160" s="171"/>
      <c r="AC160" s="171"/>
    </row>
    <row r="161" spans="1:29" ht="15.75" customHeight="1" x14ac:dyDescent="0.25">
      <c r="A161" s="106" t="s">
        <v>820</v>
      </c>
      <c r="B161" s="249">
        <v>46254</v>
      </c>
      <c r="C161" s="246">
        <v>8.3333333333333329E-2</v>
      </c>
      <c r="D161" s="246">
        <v>0.125</v>
      </c>
      <c r="E161" s="171">
        <v>0</v>
      </c>
      <c r="F161" s="171">
        <v>0</v>
      </c>
      <c r="G161" s="171">
        <v>0</v>
      </c>
      <c r="H161" s="171">
        <v>0</v>
      </c>
      <c r="I161" s="171">
        <v>0</v>
      </c>
      <c r="J161" s="171"/>
      <c r="K161" s="171"/>
      <c r="L161" s="171"/>
      <c r="M161" s="171"/>
      <c r="N161" s="171"/>
      <c r="O161" s="171"/>
      <c r="P161" s="171"/>
      <c r="Q161" s="171"/>
      <c r="R161" s="171"/>
      <c r="S161" s="171"/>
      <c r="T161" s="171"/>
      <c r="U161" s="171"/>
      <c r="V161" s="171"/>
      <c r="W161" s="171"/>
      <c r="X161" s="171"/>
      <c r="Y161" s="171"/>
      <c r="Z161" s="171"/>
      <c r="AA161" s="171"/>
      <c r="AB161" s="171"/>
      <c r="AC161" s="171"/>
    </row>
    <row r="162" spans="1:29" ht="15.75" customHeight="1" x14ac:dyDescent="0.25">
      <c r="A162" s="106" t="s">
        <v>821</v>
      </c>
      <c r="B162" s="249">
        <v>46254</v>
      </c>
      <c r="C162" s="246">
        <v>0.125</v>
      </c>
      <c r="D162" s="246">
        <v>0.16666666666666666</v>
      </c>
      <c r="E162" s="171">
        <v>0</v>
      </c>
      <c r="F162" s="171">
        <v>0</v>
      </c>
      <c r="G162" s="171">
        <v>0</v>
      </c>
      <c r="H162" s="171">
        <v>0</v>
      </c>
      <c r="I162" s="171">
        <v>0</v>
      </c>
      <c r="J162" s="171"/>
      <c r="K162" s="171"/>
      <c r="L162" s="171"/>
      <c r="M162" s="171"/>
      <c r="N162" s="171"/>
      <c r="O162" s="171"/>
      <c r="P162" s="171"/>
      <c r="Q162" s="171"/>
      <c r="R162" s="171"/>
      <c r="S162" s="171"/>
      <c r="T162" s="171"/>
      <c r="U162" s="171"/>
      <c r="V162" s="171"/>
      <c r="W162" s="171"/>
      <c r="X162" s="171"/>
      <c r="Y162" s="171"/>
      <c r="Z162" s="171"/>
      <c r="AA162" s="171"/>
      <c r="AB162" s="171"/>
      <c r="AC162" s="171"/>
    </row>
    <row r="163" spans="1:29" ht="15.75" customHeight="1" x14ac:dyDescent="0.25">
      <c r="A163" s="106" t="s">
        <v>822</v>
      </c>
      <c r="B163" s="249">
        <v>46254</v>
      </c>
      <c r="C163" s="246">
        <v>0.16666666666666666</v>
      </c>
      <c r="D163" s="246">
        <v>0.20833333333333334</v>
      </c>
      <c r="E163" s="171">
        <v>0</v>
      </c>
      <c r="F163" s="171">
        <v>0</v>
      </c>
      <c r="G163" s="171">
        <v>0</v>
      </c>
      <c r="H163" s="171">
        <v>0</v>
      </c>
      <c r="I163" s="171">
        <v>0</v>
      </c>
      <c r="J163" s="171"/>
      <c r="K163" s="171"/>
      <c r="L163" s="171"/>
      <c r="M163" s="171"/>
      <c r="N163" s="171"/>
      <c r="O163" s="171"/>
      <c r="P163" s="171"/>
      <c r="Q163" s="171"/>
      <c r="R163" s="171"/>
      <c r="S163" s="171"/>
      <c r="T163" s="171"/>
      <c r="U163" s="171"/>
      <c r="V163" s="171"/>
      <c r="W163" s="171"/>
      <c r="X163" s="171"/>
      <c r="Y163" s="171"/>
      <c r="Z163" s="171"/>
      <c r="AA163" s="171"/>
      <c r="AB163" s="171"/>
      <c r="AC163" s="171"/>
    </row>
    <row r="164" spans="1:29" ht="15.75" customHeight="1" x14ac:dyDescent="0.25">
      <c r="A164" s="106" t="s">
        <v>823</v>
      </c>
      <c r="B164" s="249">
        <v>46254</v>
      </c>
      <c r="C164" s="246">
        <v>0.20833333333333334</v>
      </c>
      <c r="D164" s="246">
        <v>0.25</v>
      </c>
      <c r="E164" s="171">
        <v>0</v>
      </c>
      <c r="F164" s="171">
        <v>0</v>
      </c>
      <c r="G164" s="171">
        <v>0</v>
      </c>
      <c r="H164" s="171">
        <v>0</v>
      </c>
      <c r="I164" s="171">
        <v>0</v>
      </c>
      <c r="J164" s="171"/>
      <c r="K164" s="171"/>
      <c r="L164" s="171"/>
      <c r="M164" s="171"/>
      <c r="N164" s="171"/>
      <c r="O164" s="171"/>
      <c r="P164" s="171"/>
      <c r="Q164" s="171"/>
      <c r="R164" s="171"/>
      <c r="S164" s="171"/>
      <c r="T164" s="171"/>
      <c r="U164" s="171"/>
      <c r="V164" s="171"/>
      <c r="W164" s="171"/>
      <c r="X164" s="171"/>
      <c r="Y164" s="171"/>
      <c r="Z164" s="171"/>
      <c r="AA164" s="171"/>
      <c r="AB164" s="171"/>
      <c r="AC164" s="171"/>
    </row>
    <row r="165" spans="1:29" ht="15.75" customHeight="1" x14ac:dyDescent="0.25">
      <c r="A165" s="106" t="s">
        <v>840</v>
      </c>
      <c r="B165" s="249">
        <v>46255</v>
      </c>
      <c r="C165" s="246">
        <v>0.91666666666666663</v>
      </c>
      <c r="D165" s="246">
        <v>0.95833333333333337</v>
      </c>
      <c r="E165" s="171">
        <v>0</v>
      </c>
      <c r="F165" s="171">
        <v>0</v>
      </c>
      <c r="G165" s="171">
        <v>0</v>
      </c>
      <c r="H165" s="171">
        <v>0</v>
      </c>
      <c r="I165" s="171">
        <v>0</v>
      </c>
      <c r="J165" s="171"/>
      <c r="K165" s="171"/>
      <c r="L165" s="171"/>
      <c r="M165" s="171"/>
      <c r="N165" s="171"/>
      <c r="O165" s="171"/>
      <c r="P165" s="171"/>
      <c r="Q165" s="171"/>
      <c r="R165" s="171"/>
      <c r="S165" s="171"/>
      <c r="T165" s="171"/>
      <c r="U165" s="171"/>
      <c r="V165" s="171"/>
      <c r="W165" s="171"/>
      <c r="X165" s="171"/>
      <c r="Y165" s="171"/>
      <c r="Z165" s="171"/>
      <c r="AA165" s="171"/>
      <c r="AB165" s="171"/>
      <c r="AC165" s="171"/>
    </row>
    <row r="166" spans="1:29" ht="15.75" customHeight="1" x14ac:dyDescent="0.25">
      <c r="A166" s="106" t="s">
        <v>841</v>
      </c>
      <c r="B166" s="249">
        <v>46255</v>
      </c>
      <c r="C166" s="246">
        <v>0.95833333333333337</v>
      </c>
      <c r="D166" s="246">
        <v>0</v>
      </c>
      <c r="E166" s="171">
        <v>0</v>
      </c>
      <c r="F166" s="171">
        <v>0</v>
      </c>
      <c r="G166" s="171">
        <v>0</v>
      </c>
      <c r="H166" s="171">
        <v>0</v>
      </c>
      <c r="I166" s="171">
        <v>0</v>
      </c>
      <c r="J166" s="171"/>
      <c r="K166" s="171"/>
      <c r="L166" s="171"/>
      <c r="M166" s="171"/>
      <c r="N166" s="171"/>
      <c r="O166" s="171"/>
      <c r="P166" s="171"/>
      <c r="Q166" s="171"/>
      <c r="R166" s="171"/>
      <c r="S166" s="171"/>
      <c r="T166" s="171"/>
      <c r="U166" s="171"/>
      <c r="V166" s="171"/>
      <c r="W166" s="171"/>
      <c r="X166" s="171"/>
      <c r="Y166" s="171"/>
      <c r="Z166" s="171"/>
      <c r="AA166" s="171"/>
      <c r="AB166" s="171"/>
      <c r="AC166" s="171"/>
    </row>
    <row r="167" spans="1:29" ht="15.75" customHeight="1" x14ac:dyDescent="0.25">
      <c r="A167" s="106" t="s">
        <v>842</v>
      </c>
      <c r="B167" s="249">
        <v>46255</v>
      </c>
      <c r="C167" s="246">
        <v>0</v>
      </c>
      <c r="D167" s="246">
        <v>4.1666666666666664E-2</v>
      </c>
      <c r="E167" s="171">
        <v>0</v>
      </c>
      <c r="F167" s="171">
        <v>0</v>
      </c>
      <c r="G167" s="171">
        <v>0</v>
      </c>
      <c r="H167" s="171">
        <v>0</v>
      </c>
      <c r="I167" s="171">
        <v>0</v>
      </c>
      <c r="J167" s="171"/>
      <c r="K167" s="171"/>
      <c r="L167" s="171"/>
      <c r="M167" s="171"/>
      <c r="N167" s="171"/>
      <c r="O167" s="171"/>
      <c r="P167" s="171"/>
      <c r="Q167" s="171"/>
      <c r="R167" s="171"/>
      <c r="S167" s="171"/>
      <c r="T167" s="171"/>
      <c r="U167" s="171"/>
      <c r="V167" s="171"/>
      <c r="W167" s="171"/>
      <c r="X167" s="171"/>
      <c r="Y167" s="171"/>
      <c r="Z167" s="171"/>
      <c r="AA167" s="171"/>
      <c r="AB167" s="171"/>
      <c r="AC167" s="171"/>
    </row>
    <row r="168" spans="1:29" ht="15.75" customHeight="1" x14ac:dyDescent="0.25">
      <c r="A168" s="106" t="s">
        <v>843</v>
      </c>
      <c r="B168" s="249">
        <v>46255</v>
      </c>
      <c r="C168" s="246">
        <v>4.1666666666666664E-2</v>
      </c>
      <c r="D168" s="246">
        <v>8.3333333333333329E-2</v>
      </c>
      <c r="E168" s="171">
        <v>0</v>
      </c>
      <c r="F168" s="171">
        <v>0</v>
      </c>
      <c r="G168" s="171">
        <v>0</v>
      </c>
      <c r="H168" s="171">
        <v>0</v>
      </c>
      <c r="I168" s="171">
        <v>0</v>
      </c>
      <c r="J168" s="171"/>
      <c r="K168" s="171"/>
      <c r="L168" s="171"/>
      <c r="M168" s="171"/>
      <c r="N168" s="171"/>
      <c r="O168" s="171"/>
      <c r="P168" s="171"/>
      <c r="Q168" s="171"/>
      <c r="R168" s="171"/>
      <c r="S168" s="171"/>
      <c r="T168" s="171"/>
      <c r="U168" s="171"/>
      <c r="V168" s="171"/>
      <c r="W168" s="171"/>
      <c r="X168" s="171"/>
      <c r="Y168" s="171"/>
      <c r="Z168" s="171"/>
      <c r="AA168" s="171"/>
      <c r="AB168" s="171"/>
      <c r="AC168" s="171"/>
    </row>
    <row r="169" spans="1:29" ht="15.75" customHeight="1" x14ac:dyDescent="0.25">
      <c r="A169" s="106" t="s">
        <v>844</v>
      </c>
      <c r="B169" s="249">
        <v>46255</v>
      </c>
      <c r="C169" s="246">
        <v>8.3333333333333329E-2</v>
      </c>
      <c r="D169" s="246">
        <v>0.125</v>
      </c>
      <c r="E169" s="171">
        <v>0</v>
      </c>
      <c r="F169" s="171">
        <v>0</v>
      </c>
      <c r="G169" s="171">
        <v>0</v>
      </c>
      <c r="H169" s="171">
        <v>0</v>
      </c>
      <c r="I169" s="171">
        <v>0</v>
      </c>
      <c r="J169" s="171"/>
      <c r="K169" s="171"/>
      <c r="L169" s="171"/>
      <c r="M169" s="171"/>
      <c r="N169" s="171"/>
      <c r="O169" s="171"/>
      <c r="P169" s="171"/>
      <c r="Q169" s="171"/>
      <c r="R169" s="171"/>
      <c r="S169" s="171"/>
      <c r="T169" s="171"/>
      <c r="U169" s="171"/>
      <c r="V169" s="171"/>
      <c r="W169" s="171"/>
      <c r="X169" s="171"/>
      <c r="Y169" s="171"/>
      <c r="Z169" s="171"/>
      <c r="AA169" s="171"/>
      <c r="AB169" s="171"/>
      <c r="AC169" s="171"/>
    </row>
    <row r="170" spans="1:29" ht="15.75" customHeight="1" x14ac:dyDescent="0.25">
      <c r="A170" s="106" t="s">
        <v>845</v>
      </c>
      <c r="B170" s="249">
        <v>46255</v>
      </c>
      <c r="C170" s="246">
        <v>0.125</v>
      </c>
      <c r="D170" s="246">
        <v>0.16666666666666666</v>
      </c>
      <c r="E170" s="171">
        <v>0</v>
      </c>
      <c r="F170" s="171">
        <v>0</v>
      </c>
      <c r="G170" s="171">
        <v>0</v>
      </c>
      <c r="H170" s="171">
        <v>0</v>
      </c>
      <c r="I170" s="171">
        <v>0</v>
      </c>
      <c r="J170" s="171"/>
      <c r="K170" s="171"/>
      <c r="L170" s="171"/>
      <c r="M170" s="171"/>
      <c r="N170" s="171"/>
      <c r="O170" s="171"/>
      <c r="P170" s="171"/>
      <c r="Q170" s="171"/>
      <c r="R170" s="171"/>
      <c r="S170" s="171"/>
      <c r="T170" s="171"/>
      <c r="U170" s="171"/>
      <c r="V170" s="171"/>
      <c r="W170" s="171"/>
      <c r="X170" s="171"/>
      <c r="Y170" s="171"/>
      <c r="Z170" s="171"/>
      <c r="AA170" s="171"/>
      <c r="AB170" s="171"/>
      <c r="AC170" s="171"/>
    </row>
    <row r="171" spans="1:29" ht="15.75" customHeight="1" x14ac:dyDescent="0.25">
      <c r="A171" s="106" t="s">
        <v>846</v>
      </c>
      <c r="B171" s="249">
        <v>46255</v>
      </c>
      <c r="C171" s="246">
        <v>0.16666666666666666</v>
      </c>
      <c r="D171" s="246">
        <v>0.20833333333333334</v>
      </c>
      <c r="E171" s="171">
        <v>0</v>
      </c>
      <c r="F171" s="171">
        <v>0</v>
      </c>
      <c r="G171" s="171">
        <v>0</v>
      </c>
      <c r="H171" s="171">
        <v>0</v>
      </c>
      <c r="I171" s="171">
        <v>0</v>
      </c>
      <c r="J171" s="171"/>
      <c r="K171" s="171"/>
      <c r="L171" s="171"/>
      <c r="M171" s="171"/>
      <c r="N171" s="171"/>
      <c r="O171" s="171"/>
      <c r="P171" s="171"/>
      <c r="Q171" s="171"/>
      <c r="R171" s="171"/>
      <c r="S171" s="171"/>
      <c r="T171" s="171"/>
      <c r="U171" s="171"/>
      <c r="V171" s="171"/>
      <c r="W171" s="171"/>
      <c r="X171" s="171"/>
      <c r="Y171" s="171"/>
      <c r="Z171" s="171"/>
      <c r="AA171" s="171"/>
      <c r="AB171" s="171"/>
      <c r="AC171" s="171"/>
    </row>
    <row r="172" spans="1:29" ht="15.75" customHeight="1" x14ac:dyDescent="0.25">
      <c r="A172" s="106" t="s">
        <v>847</v>
      </c>
      <c r="B172" s="249">
        <v>46255</v>
      </c>
      <c r="C172" s="246">
        <v>0.20833333333333334</v>
      </c>
      <c r="D172" s="246">
        <v>0.25</v>
      </c>
      <c r="E172" s="171">
        <v>0</v>
      </c>
      <c r="F172" s="171">
        <v>0</v>
      </c>
      <c r="G172" s="171">
        <v>0</v>
      </c>
      <c r="H172" s="171">
        <v>0</v>
      </c>
      <c r="I172" s="171">
        <v>0</v>
      </c>
      <c r="J172" s="171"/>
      <c r="K172" s="171"/>
      <c r="L172" s="171"/>
      <c r="M172" s="171"/>
      <c r="N172" s="171"/>
      <c r="O172" s="171"/>
      <c r="P172" s="171"/>
      <c r="Q172" s="171"/>
      <c r="R172" s="171"/>
      <c r="S172" s="171"/>
      <c r="T172" s="171"/>
      <c r="U172" s="171"/>
      <c r="V172" s="171"/>
      <c r="W172" s="171"/>
      <c r="X172" s="171"/>
      <c r="Y172" s="171"/>
      <c r="Z172" s="171"/>
      <c r="AA172" s="171"/>
      <c r="AB172" s="171"/>
      <c r="AC172" s="171"/>
    </row>
    <row r="173" spans="1:29" ht="15.75" customHeight="1" x14ac:dyDescent="0.25">
      <c r="A173" s="106" t="s">
        <v>864</v>
      </c>
      <c r="B173" s="249">
        <v>46256</v>
      </c>
      <c r="C173" s="246">
        <v>0.91666666666666663</v>
      </c>
      <c r="D173" s="246">
        <v>0.95833333333333337</v>
      </c>
      <c r="E173" s="171">
        <v>0</v>
      </c>
      <c r="F173" s="171">
        <v>0</v>
      </c>
      <c r="G173" s="171">
        <v>0</v>
      </c>
      <c r="H173" s="171">
        <v>0</v>
      </c>
      <c r="I173" s="171">
        <v>0</v>
      </c>
      <c r="J173" s="171"/>
      <c r="K173" s="171"/>
      <c r="L173" s="171"/>
      <c r="M173" s="171"/>
      <c r="N173" s="171"/>
      <c r="O173" s="171"/>
      <c r="P173" s="171"/>
      <c r="Q173" s="171"/>
      <c r="R173" s="171"/>
      <c r="S173" s="171"/>
      <c r="T173" s="171"/>
      <c r="U173" s="171"/>
      <c r="V173" s="171"/>
      <c r="W173" s="171"/>
      <c r="X173" s="171"/>
      <c r="Y173" s="171"/>
      <c r="Z173" s="171"/>
      <c r="AA173" s="171"/>
      <c r="AB173" s="171"/>
      <c r="AC173" s="171"/>
    </row>
    <row r="174" spans="1:29" ht="15.75" customHeight="1" x14ac:dyDescent="0.25">
      <c r="A174" s="106" t="s">
        <v>865</v>
      </c>
      <c r="B174" s="249">
        <v>46256</v>
      </c>
      <c r="C174" s="246">
        <v>0.95833333333333337</v>
      </c>
      <c r="D174" s="246">
        <v>0</v>
      </c>
      <c r="E174" s="171">
        <v>0</v>
      </c>
      <c r="F174" s="171">
        <v>0</v>
      </c>
      <c r="G174" s="171">
        <v>0</v>
      </c>
      <c r="H174" s="171">
        <v>0</v>
      </c>
      <c r="I174" s="171">
        <v>0</v>
      </c>
      <c r="J174" s="171"/>
      <c r="K174" s="171"/>
      <c r="L174" s="171"/>
      <c r="M174" s="171"/>
      <c r="N174" s="171"/>
      <c r="O174" s="171"/>
      <c r="P174" s="171"/>
      <c r="Q174" s="171"/>
      <c r="R174" s="171"/>
      <c r="S174" s="171"/>
      <c r="T174" s="171"/>
      <c r="U174" s="171"/>
      <c r="V174" s="171"/>
      <c r="W174" s="171"/>
      <c r="X174" s="171"/>
      <c r="Y174" s="171"/>
      <c r="Z174" s="171"/>
      <c r="AA174" s="171"/>
      <c r="AB174" s="171"/>
      <c r="AC174" s="171"/>
    </row>
    <row r="175" spans="1:29" ht="15.75" customHeight="1" x14ac:dyDescent="0.25">
      <c r="A175" s="106" t="s">
        <v>866</v>
      </c>
      <c r="B175" s="249">
        <v>46256</v>
      </c>
      <c r="C175" s="246">
        <v>0</v>
      </c>
      <c r="D175" s="246">
        <v>4.1666666666666664E-2</v>
      </c>
      <c r="E175" s="171">
        <v>0</v>
      </c>
      <c r="F175" s="171">
        <v>0</v>
      </c>
      <c r="G175" s="171">
        <v>0</v>
      </c>
      <c r="H175" s="171">
        <v>0</v>
      </c>
      <c r="I175" s="171">
        <v>0</v>
      </c>
      <c r="J175" s="171"/>
      <c r="K175" s="171"/>
      <c r="L175" s="171"/>
      <c r="M175" s="171"/>
      <c r="N175" s="171"/>
      <c r="O175" s="171"/>
      <c r="P175" s="171"/>
      <c r="Q175" s="171"/>
      <c r="R175" s="171"/>
      <c r="S175" s="171"/>
      <c r="T175" s="171"/>
      <c r="U175" s="171"/>
      <c r="V175" s="171"/>
      <c r="W175" s="171"/>
      <c r="X175" s="171"/>
      <c r="Y175" s="171"/>
      <c r="Z175" s="171"/>
      <c r="AA175" s="171"/>
      <c r="AB175" s="171"/>
      <c r="AC175" s="171"/>
    </row>
    <row r="176" spans="1:29" ht="15.75" customHeight="1" x14ac:dyDescent="0.25">
      <c r="A176" s="106" t="s">
        <v>867</v>
      </c>
      <c r="B176" s="249">
        <v>46256</v>
      </c>
      <c r="C176" s="246">
        <v>4.1666666666666664E-2</v>
      </c>
      <c r="D176" s="246">
        <v>8.3333333333333329E-2</v>
      </c>
      <c r="E176" s="171">
        <v>0</v>
      </c>
      <c r="F176" s="171">
        <v>0</v>
      </c>
      <c r="G176" s="171">
        <v>0</v>
      </c>
      <c r="H176" s="171">
        <v>0</v>
      </c>
      <c r="I176" s="171">
        <v>0</v>
      </c>
      <c r="J176" s="171"/>
      <c r="K176" s="171"/>
      <c r="L176" s="171"/>
      <c r="M176" s="171"/>
      <c r="N176" s="171"/>
      <c r="O176" s="171"/>
      <c r="P176" s="171"/>
      <c r="Q176" s="171"/>
      <c r="R176" s="171"/>
      <c r="S176" s="171"/>
      <c r="T176" s="171"/>
      <c r="U176" s="171"/>
      <c r="V176" s="171"/>
      <c r="W176" s="171"/>
      <c r="X176" s="171"/>
      <c r="Y176" s="171"/>
      <c r="Z176" s="171"/>
      <c r="AA176" s="171"/>
      <c r="AB176" s="171"/>
      <c r="AC176" s="171"/>
    </row>
    <row r="177" spans="1:29" ht="15.75" customHeight="1" x14ac:dyDescent="0.25">
      <c r="A177" s="106" t="s">
        <v>868</v>
      </c>
      <c r="B177" s="249">
        <v>46256</v>
      </c>
      <c r="C177" s="246">
        <v>8.3333333333333329E-2</v>
      </c>
      <c r="D177" s="246">
        <v>0.125</v>
      </c>
      <c r="E177" s="171">
        <v>0</v>
      </c>
      <c r="F177" s="171">
        <v>0</v>
      </c>
      <c r="G177" s="171">
        <v>0</v>
      </c>
      <c r="H177" s="171">
        <v>0</v>
      </c>
      <c r="I177" s="171">
        <v>0</v>
      </c>
      <c r="J177" s="171"/>
      <c r="K177" s="171"/>
      <c r="L177" s="171"/>
      <c r="M177" s="171"/>
      <c r="N177" s="171"/>
      <c r="O177" s="171"/>
      <c r="P177" s="171"/>
      <c r="Q177" s="171"/>
      <c r="R177" s="171"/>
      <c r="S177" s="171"/>
      <c r="T177" s="171"/>
      <c r="U177" s="171"/>
      <c r="V177" s="171"/>
      <c r="W177" s="171"/>
      <c r="X177" s="171"/>
      <c r="Y177" s="171"/>
      <c r="Z177" s="171"/>
      <c r="AA177" s="171"/>
      <c r="AB177" s="171"/>
      <c r="AC177" s="171"/>
    </row>
    <row r="178" spans="1:29" ht="15.75" customHeight="1" x14ac:dyDescent="0.25">
      <c r="A178" s="106" t="s">
        <v>869</v>
      </c>
      <c r="B178" s="249">
        <v>46256</v>
      </c>
      <c r="C178" s="246">
        <v>0.125</v>
      </c>
      <c r="D178" s="246">
        <v>0.16666666666666666</v>
      </c>
      <c r="E178" s="171">
        <v>0</v>
      </c>
      <c r="F178" s="171">
        <v>0</v>
      </c>
      <c r="G178" s="171">
        <v>0</v>
      </c>
      <c r="H178" s="171">
        <v>0</v>
      </c>
      <c r="I178" s="171">
        <v>0</v>
      </c>
      <c r="J178" s="171"/>
      <c r="K178" s="171"/>
      <c r="L178" s="171"/>
      <c r="M178" s="171"/>
      <c r="N178" s="171"/>
      <c r="O178" s="171"/>
      <c r="P178" s="171"/>
      <c r="Q178" s="171"/>
      <c r="R178" s="171"/>
      <c r="S178" s="171"/>
      <c r="T178" s="171"/>
      <c r="U178" s="171"/>
      <c r="V178" s="171"/>
      <c r="W178" s="171"/>
      <c r="X178" s="171"/>
      <c r="Y178" s="171"/>
      <c r="Z178" s="171"/>
      <c r="AA178" s="171"/>
      <c r="AB178" s="171"/>
      <c r="AC178" s="171"/>
    </row>
    <row r="179" spans="1:29" ht="15.75" customHeight="1" x14ac:dyDescent="0.25">
      <c r="A179" s="106" t="s">
        <v>870</v>
      </c>
      <c r="B179" s="249">
        <v>46256</v>
      </c>
      <c r="C179" s="246">
        <v>0.16666666666666666</v>
      </c>
      <c r="D179" s="246">
        <v>0.20833333333333334</v>
      </c>
      <c r="E179" s="171">
        <v>0</v>
      </c>
      <c r="F179" s="171">
        <v>0</v>
      </c>
      <c r="G179" s="171">
        <v>0</v>
      </c>
      <c r="H179" s="171">
        <v>0</v>
      </c>
      <c r="I179" s="171">
        <v>0</v>
      </c>
      <c r="J179" s="171"/>
      <c r="K179" s="171"/>
      <c r="L179" s="171"/>
      <c r="M179" s="171"/>
      <c r="N179" s="171"/>
      <c r="O179" s="171"/>
      <c r="P179" s="171"/>
      <c r="Q179" s="171"/>
      <c r="R179" s="171"/>
      <c r="S179" s="171"/>
      <c r="T179" s="171"/>
      <c r="U179" s="171"/>
      <c r="V179" s="171"/>
      <c r="W179" s="171"/>
      <c r="X179" s="171"/>
      <c r="Y179" s="171"/>
      <c r="Z179" s="171"/>
      <c r="AA179" s="171"/>
      <c r="AB179" s="171"/>
      <c r="AC179" s="171"/>
    </row>
    <row r="180" spans="1:29" ht="15.75" customHeight="1" x14ac:dyDescent="0.25">
      <c r="A180" s="106" t="s">
        <v>871</v>
      </c>
      <c r="B180" s="249">
        <v>46256</v>
      </c>
      <c r="C180" s="246">
        <v>0.20833333333333334</v>
      </c>
      <c r="D180" s="246">
        <v>0.25</v>
      </c>
      <c r="E180" s="171">
        <v>0</v>
      </c>
      <c r="F180" s="171">
        <v>0</v>
      </c>
      <c r="G180" s="171">
        <v>0</v>
      </c>
      <c r="H180" s="171">
        <v>0</v>
      </c>
      <c r="I180" s="171">
        <v>0</v>
      </c>
      <c r="J180" s="171"/>
      <c r="K180" s="171"/>
      <c r="L180" s="171"/>
      <c r="M180" s="171"/>
      <c r="N180" s="171"/>
      <c r="O180" s="171"/>
      <c r="P180" s="171"/>
      <c r="Q180" s="171"/>
      <c r="R180" s="171"/>
      <c r="S180" s="171"/>
      <c r="T180" s="171"/>
      <c r="U180" s="171"/>
      <c r="V180" s="171"/>
      <c r="W180" s="171"/>
      <c r="X180" s="171"/>
      <c r="Y180" s="171"/>
      <c r="Z180" s="171"/>
      <c r="AA180" s="171"/>
      <c r="AB180" s="171"/>
      <c r="AC180" s="171"/>
    </row>
    <row r="181" spans="1:29" ht="15.75" customHeight="1" x14ac:dyDescent="0.25">
      <c r="A181" s="106" t="s">
        <v>888</v>
      </c>
      <c r="B181" s="249">
        <v>46257</v>
      </c>
      <c r="C181" s="246">
        <v>0.91666666666666663</v>
      </c>
      <c r="D181" s="246">
        <v>0.95833333333333337</v>
      </c>
      <c r="E181" s="171">
        <v>0</v>
      </c>
      <c r="F181" s="171">
        <v>0</v>
      </c>
      <c r="G181" s="171">
        <v>0</v>
      </c>
      <c r="H181" s="171">
        <v>0</v>
      </c>
      <c r="I181" s="171">
        <v>0</v>
      </c>
      <c r="J181" s="171"/>
      <c r="K181" s="171"/>
      <c r="L181" s="171"/>
      <c r="M181" s="171"/>
      <c r="N181" s="171"/>
      <c r="O181" s="171"/>
      <c r="P181" s="171"/>
      <c r="Q181" s="171"/>
      <c r="R181" s="171"/>
      <c r="S181" s="171"/>
      <c r="T181" s="171"/>
      <c r="U181" s="171"/>
      <c r="V181" s="171"/>
      <c r="W181" s="171"/>
      <c r="X181" s="171"/>
      <c r="Y181" s="171"/>
      <c r="Z181" s="171"/>
      <c r="AA181" s="171"/>
      <c r="AB181" s="171"/>
      <c r="AC181" s="171"/>
    </row>
    <row r="182" spans="1:29" ht="15.75" customHeight="1" x14ac:dyDescent="0.25">
      <c r="A182" s="106" t="s">
        <v>889</v>
      </c>
      <c r="B182" s="249">
        <v>46257</v>
      </c>
      <c r="C182" s="246">
        <v>0.95833333333333337</v>
      </c>
      <c r="D182" s="246">
        <v>0</v>
      </c>
      <c r="E182" s="171">
        <v>0</v>
      </c>
      <c r="F182" s="171">
        <v>0</v>
      </c>
      <c r="G182" s="171">
        <v>0</v>
      </c>
      <c r="H182" s="171">
        <v>0</v>
      </c>
      <c r="I182" s="171">
        <v>0</v>
      </c>
      <c r="J182" s="171"/>
      <c r="K182" s="171"/>
      <c r="L182" s="171"/>
      <c r="M182" s="171"/>
      <c r="N182" s="171"/>
      <c r="O182" s="171"/>
      <c r="P182" s="171"/>
      <c r="Q182" s="171"/>
      <c r="R182" s="171"/>
      <c r="S182" s="171"/>
      <c r="T182" s="171"/>
      <c r="U182" s="171"/>
      <c r="V182" s="171"/>
      <c r="W182" s="171"/>
      <c r="X182" s="171"/>
      <c r="Y182" s="171"/>
      <c r="Z182" s="171"/>
      <c r="AA182" s="171"/>
      <c r="AB182" s="171"/>
      <c r="AC182" s="171"/>
    </row>
    <row r="183" spans="1:29" ht="15.75" customHeight="1" x14ac:dyDescent="0.25">
      <c r="A183" s="106" t="s">
        <v>890</v>
      </c>
      <c r="B183" s="249">
        <v>46257</v>
      </c>
      <c r="C183" s="246">
        <v>0</v>
      </c>
      <c r="D183" s="246">
        <v>4.1666666666666664E-2</v>
      </c>
      <c r="E183" s="171">
        <v>0</v>
      </c>
      <c r="F183" s="171">
        <v>0</v>
      </c>
      <c r="G183" s="171">
        <v>0</v>
      </c>
      <c r="H183" s="171">
        <v>0</v>
      </c>
      <c r="I183" s="171">
        <v>0</v>
      </c>
      <c r="J183" s="171"/>
      <c r="K183" s="171"/>
      <c r="L183" s="171"/>
      <c r="M183" s="171"/>
      <c r="N183" s="171"/>
      <c r="O183" s="171"/>
      <c r="P183" s="171"/>
      <c r="Q183" s="171"/>
      <c r="R183" s="171"/>
      <c r="S183" s="171"/>
      <c r="T183" s="171"/>
      <c r="U183" s="171"/>
      <c r="V183" s="171"/>
      <c r="W183" s="171"/>
      <c r="X183" s="171"/>
      <c r="Y183" s="171"/>
      <c r="Z183" s="171"/>
      <c r="AA183" s="171"/>
      <c r="AB183" s="171"/>
      <c r="AC183" s="171"/>
    </row>
    <row r="184" spans="1:29" ht="15.75" customHeight="1" x14ac:dyDescent="0.25">
      <c r="A184" s="106" t="s">
        <v>891</v>
      </c>
      <c r="B184" s="249">
        <v>46257</v>
      </c>
      <c r="C184" s="246">
        <v>4.1666666666666664E-2</v>
      </c>
      <c r="D184" s="246">
        <v>8.3333333333333329E-2</v>
      </c>
      <c r="E184" s="171">
        <v>0</v>
      </c>
      <c r="F184" s="171">
        <v>0</v>
      </c>
      <c r="G184" s="171">
        <v>0</v>
      </c>
      <c r="H184" s="171">
        <v>0</v>
      </c>
      <c r="I184" s="171">
        <v>0</v>
      </c>
      <c r="J184" s="171"/>
      <c r="K184" s="171"/>
      <c r="L184" s="171"/>
      <c r="M184" s="171"/>
      <c r="N184" s="171"/>
      <c r="O184" s="171"/>
      <c r="P184" s="171"/>
      <c r="Q184" s="171"/>
      <c r="R184" s="171"/>
      <c r="S184" s="171"/>
      <c r="T184" s="171"/>
      <c r="U184" s="171"/>
      <c r="V184" s="171"/>
      <c r="W184" s="171"/>
      <c r="X184" s="171"/>
      <c r="Y184" s="171"/>
      <c r="Z184" s="171"/>
      <c r="AA184" s="171"/>
      <c r="AB184" s="171"/>
      <c r="AC184" s="171"/>
    </row>
    <row r="185" spans="1:29" ht="15.75" customHeight="1" x14ac:dyDescent="0.25">
      <c r="A185" s="106" t="s">
        <v>892</v>
      </c>
      <c r="B185" s="249">
        <v>46257</v>
      </c>
      <c r="C185" s="246">
        <v>8.3333333333333329E-2</v>
      </c>
      <c r="D185" s="246">
        <v>0.125</v>
      </c>
      <c r="E185" s="171">
        <v>0</v>
      </c>
      <c r="F185" s="171">
        <v>0</v>
      </c>
      <c r="G185" s="171">
        <v>0</v>
      </c>
      <c r="H185" s="171">
        <v>0</v>
      </c>
      <c r="I185" s="171">
        <v>0</v>
      </c>
      <c r="J185" s="171"/>
      <c r="K185" s="171"/>
      <c r="L185" s="171"/>
      <c r="M185" s="171"/>
      <c r="N185" s="171"/>
      <c r="O185" s="171"/>
      <c r="P185" s="171"/>
      <c r="Q185" s="171"/>
      <c r="R185" s="171"/>
      <c r="S185" s="171"/>
      <c r="T185" s="171"/>
      <c r="U185" s="171"/>
      <c r="V185" s="171"/>
      <c r="W185" s="171"/>
      <c r="X185" s="171"/>
      <c r="Y185" s="171"/>
      <c r="Z185" s="171"/>
      <c r="AA185" s="171"/>
      <c r="AB185" s="171"/>
      <c r="AC185" s="171"/>
    </row>
    <row r="186" spans="1:29" ht="15.75" customHeight="1" x14ac:dyDescent="0.25">
      <c r="A186" s="106" t="s">
        <v>893</v>
      </c>
      <c r="B186" s="249">
        <v>46257</v>
      </c>
      <c r="C186" s="246">
        <v>0.125</v>
      </c>
      <c r="D186" s="246">
        <v>0.16666666666666666</v>
      </c>
      <c r="E186" s="171">
        <v>0</v>
      </c>
      <c r="F186" s="171">
        <v>0</v>
      </c>
      <c r="G186" s="171">
        <v>0</v>
      </c>
      <c r="H186" s="171">
        <v>0</v>
      </c>
      <c r="I186" s="171">
        <v>0</v>
      </c>
      <c r="J186" s="171"/>
      <c r="K186" s="171"/>
      <c r="L186" s="171"/>
      <c r="M186" s="171"/>
      <c r="N186" s="171"/>
      <c r="O186" s="171"/>
      <c r="P186" s="171"/>
      <c r="Q186" s="171"/>
      <c r="R186" s="171"/>
      <c r="S186" s="171"/>
      <c r="T186" s="171"/>
      <c r="U186" s="171"/>
      <c r="V186" s="171"/>
      <c r="W186" s="171"/>
      <c r="X186" s="171"/>
      <c r="Y186" s="171"/>
      <c r="Z186" s="171"/>
      <c r="AA186" s="171"/>
      <c r="AB186" s="171"/>
      <c r="AC186" s="171"/>
    </row>
    <row r="187" spans="1:29" ht="15.75" customHeight="1" x14ac:dyDescent="0.25">
      <c r="A187" s="106" t="s">
        <v>894</v>
      </c>
      <c r="B187" s="249">
        <v>46257</v>
      </c>
      <c r="C187" s="246">
        <v>0.16666666666666666</v>
      </c>
      <c r="D187" s="246">
        <v>0.20833333333333334</v>
      </c>
      <c r="E187" s="171">
        <v>0</v>
      </c>
      <c r="F187" s="171">
        <v>0</v>
      </c>
      <c r="G187" s="171">
        <v>0</v>
      </c>
      <c r="H187" s="171">
        <v>0</v>
      </c>
      <c r="I187" s="171">
        <v>0</v>
      </c>
      <c r="J187" s="171"/>
      <c r="K187" s="171"/>
      <c r="L187" s="171"/>
      <c r="M187" s="171"/>
      <c r="N187" s="171"/>
      <c r="O187" s="171"/>
      <c r="P187" s="171"/>
      <c r="Q187" s="171"/>
      <c r="R187" s="171"/>
      <c r="S187" s="171"/>
      <c r="T187" s="171"/>
      <c r="U187" s="171"/>
      <c r="V187" s="171"/>
      <c r="W187" s="171"/>
      <c r="X187" s="171"/>
      <c r="Y187" s="171"/>
      <c r="Z187" s="171"/>
      <c r="AA187" s="171"/>
      <c r="AB187" s="171"/>
      <c r="AC187" s="171"/>
    </row>
    <row r="188" spans="1:29" ht="15.75" customHeight="1" x14ac:dyDescent="0.25">
      <c r="A188" s="106" t="s">
        <v>895</v>
      </c>
      <c r="B188" s="249">
        <v>46257</v>
      </c>
      <c r="C188" s="246">
        <v>0.20833333333333334</v>
      </c>
      <c r="D188" s="246">
        <v>0.25</v>
      </c>
      <c r="E188" s="171">
        <v>0</v>
      </c>
      <c r="F188" s="171">
        <v>0</v>
      </c>
      <c r="G188" s="171">
        <v>0</v>
      </c>
      <c r="H188" s="171">
        <v>0</v>
      </c>
      <c r="I188" s="171">
        <v>0</v>
      </c>
      <c r="J188" s="171"/>
      <c r="K188" s="171"/>
      <c r="L188" s="171"/>
      <c r="M188" s="171"/>
      <c r="N188" s="171"/>
      <c r="O188" s="171"/>
      <c r="P188" s="171"/>
      <c r="Q188" s="171"/>
      <c r="R188" s="171"/>
      <c r="S188" s="171"/>
      <c r="T188" s="171"/>
      <c r="U188" s="171"/>
      <c r="V188" s="171"/>
      <c r="W188" s="171"/>
      <c r="X188" s="171"/>
      <c r="Y188" s="171"/>
      <c r="Z188" s="171"/>
      <c r="AA188" s="171"/>
      <c r="AB188" s="171"/>
      <c r="AC188" s="171"/>
    </row>
    <row r="189" spans="1:29" ht="15.75" customHeight="1" x14ac:dyDescent="0.25">
      <c r="A189" s="106" t="s">
        <v>912</v>
      </c>
      <c r="B189" s="249">
        <v>46258</v>
      </c>
      <c r="C189" s="246">
        <v>0.91666666666666663</v>
      </c>
      <c r="D189" s="246">
        <v>0.95833333333333337</v>
      </c>
      <c r="E189" s="171">
        <v>0</v>
      </c>
      <c r="F189" s="171">
        <v>0</v>
      </c>
      <c r="G189" s="171">
        <v>0</v>
      </c>
      <c r="H189" s="171">
        <v>0</v>
      </c>
      <c r="I189" s="171">
        <v>0</v>
      </c>
      <c r="J189" s="171"/>
      <c r="K189" s="171"/>
      <c r="L189" s="171"/>
      <c r="M189" s="171"/>
      <c r="N189" s="171"/>
      <c r="O189" s="171"/>
      <c r="P189" s="171"/>
      <c r="Q189" s="171"/>
      <c r="R189" s="171"/>
      <c r="S189" s="171"/>
      <c r="T189" s="171"/>
      <c r="U189" s="171"/>
      <c r="V189" s="171"/>
      <c r="W189" s="171"/>
      <c r="X189" s="171"/>
      <c r="Y189" s="171"/>
      <c r="Z189" s="171"/>
      <c r="AA189" s="171"/>
      <c r="AB189" s="171"/>
      <c r="AC189" s="171"/>
    </row>
    <row r="190" spans="1:29" ht="15.75" customHeight="1" x14ac:dyDescent="0.25">
      <c r="A190" s="106" t="s">
        <v>913</v>
      </c>
      <c r="B190" s="249">
        <v>46258</v>
      </c>
      <c r="C190" s="246">
        <v>0.95833333333333337</v>
      </c>
      <c r="D190" s="246">
        <v>0</v>
      </c>
      <c r="E190" s="171">
        <v>0</v>
      </c>
      <c r="F190" s="171">
        <v>0</v>
      </c>
      <c r="G190" s="171">
        <v>0</v>
      </c>
      <c r="H190" s="171">
        <v>0</v>
      </c>
      <c r="I190" s="171">
        <v>0</v>
      </c>
      <c r="J190" s="171"/>
      <c r="K190" s="171"/>
      <c r="L190" s="171"/>
      <c r="M190" s="171"/>
      <c r="N190" s="171"/>
      <c r="O190" s="171"/>
      <c r="P190" s="171"/>
      <c r="Q190" s="171"/>
      <c r="R190" s="171"/>
      <c r="S190" s="171"/>
      <c r="T190" s="171"/>
      <c r="U190" s="171"/>
      <c r="V190" s="171"/>
      <c r="W190" s="171"/>
      <c r="X190" s="171"/>
      <c r="Y190" s="171"/>
      <c r="Z190" s="171"/>
      <c r="AA190" s="171"/>
      <c r="AB190" s="171"/>
      <c r="AC190" s="171"/>
    </row>
    <row r="191" spans="1:29" ht="15.75" customHeight="1" x14ac:dyDescent="0.25">
      <c r="A191" s="106" t="s">
        <v>914</v>
      </c>
      <c r="B191" s="249">
        <v>46258</v>
      </c>
      <c r="C191" s="246">
        <v>0</v>
      </c>
      <c r="D191" s="246">
        <v>4.1666666666666664E-2</v>
      </c>
      <c r="E191" s="171">
        <v>0</v>
      </c>
      <c r="F191" s="171">
        <v>0</v>
      </c>
      <c r="G191" s="171">
        <v>0</v>
      </c>
      <c r="H191" s="171">
        <v>0</v>
      </c>
      <c r="I191" s="171">
        <v>0</v>
      </c>
      <c r="J191" s="171"/>
      <c r="K191" s="171"/>
      <c r="L191" s="171"/>
      <c r="M191" s="171"/>
      <c r="N191" s="171"/>
      <c r="O191" s="171"/>
      <c r="P191" s="171"/>
      <c r="Q191" s="171"/>
      <c r="R191" s="171"/>
      <c r="S191" s="171"/>
      <c r="T191" s="171"/>
      <c r="U191" s="171"/>
      <c r="V191" s="171"/>
      <c r="W191" s="171"/>
      <c r="X191" s="171"/>
      <c r="Y191" s="171"/>
      <c r="Z191" s="171"/>
      <c r="AA191" s="171"/>
      <c r="AB191" s="171"/>
      <c r="AC191" s="171"/>
    </row>
    <row r="192" spans="1:29" ht="15.75" customHeight="1" x14ac:dyDescent="0.25">
      <c r="A192" s="106" t="s">
        <v>915</v>
      </c>
      <c r="B192" s="249">
        <v>46258</v>
      </c>
      <c r="C192" s="246">
        <v>4.1666666666666664E-2</v>
      </c>
      <c r="D192" s="246">
        <v>8.3333333333333329E-2</v>
      </c>
      <c r="E192" s="171">
        <v>0</v>
      </c>
      <c r="F192" s="171">
        <v>0</v>
      </c>
      <c r="G192" s="171">
        <v>0</v>
      </c>
      <c r="H192" s="171">
        <v>0</v>
      </c>
      <c r="I192" s="171">
        <v>0</v>
      </c>
      <c r="J192" s="171"/>
      <c r="K192" s="171"/>
      <c r="L192" s="171"/>
      <c r="M192" s="171"/>
      <c r="N192" s="171"/>
      <c r="O192" s="171"/>
      <c r="P192" s="171"/>
      <c r="Q192" s="171"/>
      <c r="R192" s="171"/>
      <c r="S192" s="171"/>
      <c r="T192" s="171"/>
      <c r="U192" s="171"/>
      <c r="V192" s="171"/>
      <c r="W192" s="171"/>
      <c r="X192" s="171"/>
      <c r="Y192" s="171"/>
      <c r="Z192" s="171"/>
      <c r="AA192" s="171"/>
      <c r="AB192" s="171"/>
      <c r="AC192" s="171"/>
    </row>
    <row r="193" spans="1:29" ht="15.75" customHeight="1" x14ac:dyDescent="0.25">
      <c r="A193" s="106" t="s">
        <v>916</v>
      </c>
      <c r="B193" s="249">
        <v>46258</v>
      </c>
      <c r="C193" s="246">
        <v>8.3333333333333329E-2</v>
      </c>
      <c r="D193" s="246">
        <v>0.125</v>
      </c>
      <c r="E193" s="171">
        <v>0</v>
      </c>
      <c r="F193" s="171">
        <v>0</v>
      </c>
      <c r="G193" s="171">
        <v>0</v>
      </c>
      <c r="H193" s="171">
        <v>0</v>
      </c>
      <c r="I193" s="171">
        <v>0</v>
      </c>
      <c r="J193" s="171"/>
      <c r="K193" s="171"/>
      <c r="L193" s="171"/>
      <c r="M193" s="171"/>
      <c r="N193" s="171"/>
      <c r="O193" s="171"/>
      <c r="P193" s="171"/>
      <c r="Q193" s="171"/>
      <c r="R193" s="171"/>
      <c r="S193" s="171"/>
      <c r="T193" s="171"/>
      <c r="U193" s="171"/>
      <c r="V193" s="171"/>
      <c r="W193" s="171"/>
      <c r="X193" s="171"/>
      <c r="Y193" s="171"/>
      <c r="Z193" s="171"/>
      <c r="AA193" s="171"/>
      <c r="AB193" s="171"/>
      <c r="AC193" s="171"/>
    </row>
    <row r="194" spans="1:29" ht="15.75" customHeight="1" x14ac:dyDescent="0.25">
      <c r="A194" s="106" t="s">
        <v>917</v>
      </c>
      <c r="B194" s="249">
        <v>46258</v>
      </c>
      <c r="C194" s="246">
        <v>0.125</v>
      </c>
      <c r="D194" s="246">
        <v>0.16666666666666666</v>
      </c>
      <c r="E194" s="171">
        <v>0</v>
      </c>
      <c r="F194" s="171">
        <v>0</v>
      </c>
      <c r="G194" s="171">
        <v>0</v>
      </c>
      <c r="H194" s="171">
        <v>0</v>
      </c>
      <c r="I194" s="171">
        <v>0</v>
      </c>
      <c r="J194" s="171"/>
      <c r="K194" s="171"/>
      <c r="L194" s="171"/>
      <c r="M194" s="171"/>
      <c r="N194" s="171"/>
      <c r="O194" s="171"/>
      <c r="P194" s="171"/>
      <c r="Q194" s="171"/>
      <c r="R194" s="171"/>
      <c r="S194" s="171"/>
      <c r="T194" s="171"/>
      <c r="U194" s="171"/>
      <c r="V194" s="171"/>
      <c r="W194" s="171"/>
      <c r="X194" s="171"/>
      <c r="Y194" s="171"/>
      <c r="Z194" s="171"/>
      <c r="AA194" s="171"/>
      <c r="AB194" s="171"/>
      <c r="AC194" s="171"/>
    </row>
    <row r="195" spans="1:29" ht="15.75" customHeight="1" x14ac:dyDescent="0.25">
      <c r="A195" s="106" t="s">
        <v>918</v>
      </c>
      <c r="B195" s="249">
        <v>46258</v>
      </c>
      <c r="C195" s="246">
        <v>0.16666666666666666</v>
      </c>
      <c r="D195" s="246">
        <v>0.20833333333333334</v>
      </c>
      <c r="E195" s="171">
        <v>0</v>
      </c>
      <c r="F195" s="171">
        <v>0</v>
      </c>
      <c r="G195" s="171">
        <v>0</v>
      </c>
      <c r="H195" s="171">
        <v>0</v>
      </c>
      <c r="I195" s="171">
        <v>0</v>
      </c>
      <c r="J195" s="171"/>
      <c r="K195" s="171"/>
      <c r="L195" s="171"/>
      <c r="M195" s="171"/>
      <c r="N195" s="171"/>
      <c r="O195" s="171"/>
      <c r="P195" s="171"/>
      <c r="Q195" s="171"/>
      <c r="R195" s="171"/>
      <c r="S195" s="171"/>
      <c r="T195" s="171"/>
      <c r="U195" s="171"/>
      <c r="V195" s="171"/>
      <c r="W195" s="171"/>
      <c r="X195" s="171"/>
      <c r="Y195" s="171"/>
      <c r="Z195" s="171"/>
      <c r="AA195" s="171"/>
      <c r="AB195" s="171"/>
      <c r="AC195" s="171"/>
    </row>
    <row r="196" spans="1:29" ht="15.75" customHeight="1" x14ac:dyDescent="0.25">
      <c r="A196" s="106" t="s">
        <v>919</v>
      </c>
      <c r="B196" s="249">
        <v>46258</v>
      </c>
      <c r="C196" s="246">
        <v>0.20833333333333334</v>
      </c>
      <c r="D196" s="246">
        <v>0.25</v>
      </c>
      <c r="E196" s="171">
        <v>0</v>
      </c>
      <c r="F196" s="171">
        <v>0</v>
      </c>
      <c r="G196" s="171">
        <v>0</v>
      </c>
      <c r="H196" s="171">
        <v>0</v>
      </c>
      <c r="I196" s="171">
        <v>0</v>
      </c>
      <c r="J196" s="171"/>
      <c r="K196" s="171"/>
      <c r="L196" s="171"/>
      <c r="M196" s="171"/>
      <c r="N196" s="171"/>
      <c r="O196" s="171"/>
      <c r="P196" s="171"/>
      <c r="Q196" s="171"/>
      <c r="R196" s="171"/>
      <c r="S196" s="171"/>
      <c r="T196" s="171"/>
      <c r="U196" s="171"/>
      <c r="V196" s="171"/>
      <c r="W196" s="171"/>
      <c r="X196" s="171"/>
      <c r="Y196" s="171"/>
      <c r="Z196" s="171"/>
      <c r="AA196" s="171"/>
      <c r="AB196" s="171"/>
      <c r="AC196" s="171"/>
    </row>
    <row r="197" spans="1:29" ht="15.75" customHeight="1" x14ac:dyDescent="0.25">
      <c r="A197" s="106" t="s">
        <v>936</v>
      </c>
      <c r="B197" s="249">
        <v>46259</v>
      </c>
      <c r="C197" s="246">
        <v>0.91666666666666663</v>
      </c>
      <c r="D197" s="246">
        <v>0.95833333333333337</v>
      </c>
      <c r="E197" s="171">
        <v>0</v>
      </c>
      <c r="F197" s="171">
        <v>0</v>
      </c>
      <c r="G197" s="171">
        <v>0</v>
      </c>
      <c r="H197" s="171">
        <v>0</v>
      </c>
      <c r="I197" s="171">
        <v>0</v>
      </c>
      <c r="J197" s="171"/>
      <c r="K197" s="171"/>
      <c r="L197" s="171"/>
      <c r="M197" s="171"/>
      <c r="N197" s="171"/>
      <c r="O197" s="171"/>
      <c r="P197" s="171"/>
      <c r="Q197" s="171"/>
      <c r="R197" s="171"/>
      <c r="S197" s="171"/>
      <c r="T197" s="171"/>
      <c r="U197" s="171"/>
      <c r="V197" s="171"/>
      <c r="W197" s="171"/>
      <c r="X197" s="171"/>
      <c r="Y197" s="171"/>
      <c r="Z197" s="171"/>
      <c r="AA197" s="171"/>
      <c r="AB197" s="171"/>
      <c r="AC197" s="171"/>
    </row>
    <row r="198" spans="1:29" ht="15.75" customHeight="1" x14ac:dyDescent="0.25">
      <c r="A198" s="106" t="s">
        <v>937</v>
      </c>
      <c r="B198" s="249">
        <v>46259</v>
      </c>
      <c r="C198" s="246">
        <v>0.95833333333333337</v>
      </c>
      <c r="D198" s="246">
        <v>0</v>
      </c>
      <c r="E198" s="171">
        <v>0</v>
      </c>
      <c r="F198" s="171">
        <v>0</v>
      </c>
      <c r="G198" s="171">
        <v>0</v>
      </c>
      <c r="H198" s="171">
        <v>0</v>
      </c>
      <c r="I198" s="171">
        <v>0</v>
      </c>
      <c r="J198" s="171"/>
      <c r="K198" s="171"/>
      <c r="L198" s="171"/>
      <c r="M198" s="171"/>
      <c r="N198" s="171"/>
      <c r="O198" s="171"/>
      <c r="P198" s="171"/>
      <c r="Q198" s="171"/>
      <c r="R198" s="171"/>
      <c r="S198" s="171"/>
      <c r="T198" s="171"/>
      <c r="U198" s="171"/>
      <c r="V198" s="171"/>
      <c r="W198" s="171"/>
      <c r="X198" s="171"/>
      <c r="Y198" s="171"/>
      <c r="Z198" s="171"/>
      <c r="AA198" s="171"/>
      <c r="AB198" s="171"/>
      <c r="AC198" s="171"/>
    </row>
    <row r="199" spans="1:29" ht="15.75" customHeight="1" x14ac:dyDescent="0.25">
      <c r="A199" s="106" t="s">
        <v>938</v>
      </c>
      <c r="B199" s="249">
        <v>46259</v>
      </c>
      <c r="C199" s="246">
        <v>0</v>
      </c>
      <c r="D199" s="246">
        <v>4.1666666666666664E-2</v>
      </c>
      <c r="E199" s="171">
        <v>0</v>
      </c>
      <c r="F199" s="171">
        <v>0</v>
      </c>
      <c r="G199" s="171">
        <v>0</v>
      </c>
      <c r="H199" s="171">
        <v>0</v>
      </c>
      <c r="I199" s="171">
        <v>0</v>
      </c>
      <c r="J199" s="171"/>
      <c r="K199" s="171"/>
      <c r="L199" s="171"/>
      <c r="M199" s="171"/>
      <c r="N199" s="171"/>
      <c r="O199" s="171"/>
      <c r="P199" s="171"/>
      <c r="Q199" s="171"/>
      <c r="R199" s="171"/>
      <c r="S199" s="171"/>
      <c r="T199" s="171"/>
      <c r="U199" s="171"/>
      <c r="V199" s="171"/>
      <c r="W199" s="171"/>
      <c r="X199" s="171"/>
      <c r="Y199" s="171"/>
      <c r="Z199" s="171"/>
      <c r="AA199" s="171"/>
      <c r="AB199" s="171"/>
      <c r="AC199" s="171"/>
    </row>
    <row r="200" spans="1:29" ht="15.75" customHeight="1" x14ac:dyDescent="0.25">
      <c r="A200" s="106" t="s">
        <v>939</v>
      </c>
      <c r="B200" s="249">
        <v>46259</v>
      </c>
      <c r="C200" s="246">
        <v>4.1666666666666664E-2</v>
      </c>
      <c r="D200" s="246">
        <v>8.3333333333333329E-2</v>
      </c>
      <c r="E200" s="171">
        <v>0</v>
      </c>
      <c r="F200" s="171">
        <v>0</v>
      </c>
      <c r="G200" s="171">
        <v>0</v>
      </c>
      <c r="H200" s="171">
        <v>0</v>
      </c>
      <c r="I200" s="171">
        <v>0</v>
      </c>
      <c r="J200" s="171"/>
      <c r="K200" s="171"/>
      <c r="L200" s="171"/>
      <c r="M200" s="171"/>
      <c r="N200" s="171"/>
      <c r="O200" s="171"/>
      <c r="P200" s="171"/>
      <c r="Q200" s="171"/>
      <c r="R200" s="171"/>
      <c r="S200" s="171"/>
      <c r="T200" s="171"/>
      <c r="U200" s="171"/>
      <c r="V200" s="171"/>
      <c r="W200" s="171"/>
      <c r="X200" s="171"/>
      <c r="Y200" s="171"/>
      <c r="Z200" s="171"/>
      <c r="AA200" s="171"/>
      <c r="AB200" s="171"/>
      <c r="AC200" s="171"/>
    </row>
    <row r="201" spans="1:29" ht="15.75" customHeight="1" x14ac:dyDescent="0.25">
      <c r="A201" s="106" t="s">
        <v>940</v>
      </c>
      <c r="B201" s="249">
        <v>46259</v>
      </c>
      <c r="C201" s="246">
        <v>8.3333333333333329E-2</v>
      </c>
      <c r="D201" s="246">
        <v>0.125</v>
      </c>
      <c r="E201" s="171">
        <v>0</v>
      </c>
      <c r="F201" s="171">
        <v>0</v>
      </c>
      <c r="G201" s="171">
        <v>0</v>
      </c>
      <c r="H201" s="171">
        <v>0</v>
      </c>
      <c r="I201" s="171">
        <v>0</v>
      </c>
      <c r="J201" s="171"/>
      <c r="K201" s="171"/>
      <c r="L201" s="171"/>
      <c r="M201" s="171"/>
      <c r="N201" s="171"/>
      <c r="O201" s="171"/>
      <c r="P201" s="171"/>
      <c r="Q201" s="171"/>
      <c r="R201" s="171"/>
      <c r="S201" s="171"/>
      <c r="T201" s="171"/>
      <c r="U201" s="171"/>
      <c r="V201" s="171"/>
      <c r="W201" s="171"/>
      <c r="X201" s="171"/>
      <c r="Y201" s="171"/>
      <c r="Z201" s="171"/>
      <c r="AA201" s="171"/>
      <c r="AB201" s="171"/>
      <c r="AC201" s="171"/>
    </row>
    <row r="202" spans="1:29" ht="15.75" customHeight="1" x14ac:dyDescent="0.25">
      <c r="A202" s="106" t="s">
        <v>941</v>
      </c>
      <c r="B202" s="249">
        <v>46259</v>
      </c>
      <c r="C202" s="246">
        <v>0.125</v>
      </c>
      <c r="D202" s="246">
        <v>0.16666666666666666</v>
      </c>
      <c r="E202" s="171">
        <v>0</v>
      </c>
      <c r="F202" s="171">
        <v>0</v>
      </c>
      <c r="G202" s="171">
        <v>0</v>
      </c>
      <c r="H202" s="171">
        <v>0</v>
      </c>
      <c r="I202" s="171">
        <v>0</v>
      </c>
      <c r="J202" s="171"/>
      <c r="K202" s="171"/>
      <c r="L202" s="171"/>
      <c r="M202" s="171"/>
      <c r="N202" s="171"/>
      <c r="O202" s="171"/>
      <c r="P202" s="171"/>
      <c r="Q202" s="171"/>
      <c r="R202" s="171"/>
      <c r="S202" s="171"/>
      <c r="T202" s="171"/>
      <c r="U202" s="171"/>
      <c r="V202" s="171"/>
      <c r="W202" s="171"/>
      <c r="X202" s="171"/>
      <c r="Y202" s="171"/>
      <c r="Z202" s="171"/>
      <c r="AA202" s="171"/>
      <c r="AB202" s="171"/>
      <c r="AC202" s="171"/>
    </row>
    <row r="203" spans="1:29" ht="15.75" customHeight="1" x14ac:dyDescent="0.25">
      <c r="A203" s="106" t="s">
        <v>942</v>
      </c>
      <c r="B203" s="249">
        <v>46259</v>
      </c>
      <c r="C203" s="246">
        <v>0.16666666666666666</v>
      </c>
      <c r="D203" s="246">
        <v>0.20833333333333334</v>
      </c>
      <c r="E203" s="171">
        <v>0</v>
      </c>
      <c r="F203" s="171">
        <v>0</v>
      </c>
      <c r="G203" s="171">
        <v>0</v>
      </c>
      <c r="H203" s="171">
        <v>0</v>
      </c>
      <c r="I203" s="171">
        <v>0</v>
      </c>
      <c r="J203" s="171"/>
      <c r="K203" s="171"/>
      <c r="L203" s="171"/>
      <c r="M203" s="171"/>
      <c r="N203" s="171"/>
      <c r="O203" s="171"/>
      <c r="P203" s="171"/>
      <c r="Q203" s="171"/>
      <c r="R203" s="171"/>
      <c r="S203" s="171"/>
      <c r="T203" s="171"/>
      <c r="U203" s="171"/>
      <c r="V203" s="171"/>
      <c r="W203" s="171"/>
      <c r="X203" s="171"/>
      <c r="Y203" s="171"/>
      <c r="Z203" s="171"/>
      <c r="AA203" s="171"/>
      <c r="AB203" s="171"/>
      <c r="AC203" s="171"/>
    </row>
    <row r="204" spans="1:29" ht="15.75" customHeight="1" x14ac:dyDescent="0.25">
      <c r="A204" s="106" t="s">
        <v>943</v>
      </c>
      <c r="B204" s="249">
        <v>46259</v>
      </c>
      <c r="C204" s="246">
        <v>0.20833333333333334</v>
      </c>
      <c r="D204" s="246">
        <v>0.25</v>
      </c>
      <c r="E204" s="171">
        <v>0</v>
      </c>
      <c r="F204" s="171">
        <v>0</v>
      </c>
      <c r="G204" s="171">
        <v>0</v>
      </c>
      <c r="H204" s="171">
        <v>0</v>
      </c>
      <c r="I204" s="171">
        <v>0</v>
      </c>
      <c r="J204" s="171"/>
      <c r="K204" s="171"/>
      <c r="L204" s="171"/>
      <c r="M204" s="171"/>
      <c r="N204" s="171"/>
      <c r="O204" s="171"/>
      <c r="P204" s="171"/>
      <c r="Q204" s="171"/>
      <c r="R204" s="171"/>
      <c r="S204" s="171"/>
      <c r="T204" s="171"/>
      <c r="U204" s="171"/>
      <c r="V204" s="171"/>
      <c r="W204" s="171"/>
      <c r="X204" s="171"/>
      <c r="Y204" s="171"/>
      <c r="Z204" s="171"/>
      <c r="AA204" s="171"/>
      <c r="AB204" s="171"/>
      <c r="AC204" s="171"/>
    </row>
    <row r="205" spans="1:29" ht="15.75" customHeight="1" x14ac:dyDescent="0.25">
      <c r="A205" s="106" t="s">
        <v>960</v>
      </c>
      <c r="B205" s="249">
        <v>46260</v>
      </c>
      <c r="C205" s="246">
        <v>0.91666666666666663</v>
      </c>
      <c r="D205" s="246">
        <v>0.95833333333333337</v>
      </c>
      <c r="E205" s="171">
        <v>0</v>
      </c>
      <c r="F205" s="171">
        <v>0</v>
      </c>
      <c r="G205" s="171">
        <v>0</v>
      </c>
      <c r="H205" s="171">
        <v>0</v>
      </c>
      <c r="I205" s="171">
        <v>0</v>
      </c>
      <c r="J205" s="171"/>
      <c r="K205" s="171"/>
      <c r="L205" s="171"/>
      <c r="M205" s="171"/>
      <c r="N205" s="171"/>
      <c r="O205" s="171"/>
      <c r="P205" s="171"/>
      <c r="Q205" s="171"/>
      <c r="R205" s="171"/>
      <c r="S205" s="171"/>
      <c r="T205" s="171"/>
      <c r="U205" s="171"/>
      <c r="V205" s="171"/>
      <c r="W205" s="171"/>
      <c r="X205" s="171"/>
      <c r="Y205" s="171"/>
      <c r="Z205" s="171"/>
      <c r="AA205" s="171"/>
      <c r="AB205" s="171"/>
      <c r="AC205" s="171"/>
    </row>
    <row r="206" spans="1:29" ht="15.75" customHeight="1" x14ac:dyDescent="0.25">
      <c r="A206" s="106" t="s">
        <v>961</v>
      </c>
      <c r="B206" s="249">
        <v>46260</v>
      </c>
      <c r="C206" s="246">
        <v>0.95833333333333337</v>
      </c>
      <c r="D206" s="246">
        <v>0</v>
      </c>
      <c r="E206" s="171">
        <v>0</v>
      </c>
      <c r="F206" s="171">
        <v>0</v>
      </c>
      <c r="G206" s="171">
        <v>0</v>
      </c>
      <c r="H206" s="171">
        <v>0</v>
      </c>
      <c r="I206" s="171">
        <v>0</v>
      </c>
      <c r="J206" s="171"/>
      <c r="K206" s="171"/>
      <c r="L206" s="171"/>
      <c r="M206" s="171"/>
      <c r="N206" s="171"/>
      <c r="O206" s="171"/>
      <c r="P206" s="171"/>
      <c r="Q206" s="171"/>
      <c r="R206" s="171"/>
      <c r="S206" s="171"/>
      <c r="T206" s="171"/>
      <c r="U206" s="171"/>
      <c r="V206" s="171"/>
      <c r="W206" s="171"/>
      <c r="X206" s="171"/>
      <c r="Y206" s="171"/>
      <c r="Z206" s="171"/>
      <c r="AA206" s="171"/>
      <c r="AB206" s="171"/>
      <c r="AC206" s="171"/>
    </row>
    <row r="207" spans="1:29" ht="15.75" customHeight="1" x14ac:dyDescent="0.25">
      <c r="A207" s="106" t="s">
        <v>962</v>
      </c>
      <c r="B207" s="249">
        <v>46260</v>
      </c>
      <c r="C207" s="246">
        <v>0</v>
      </c>
      <c r="D207" s="246">
        <v>4.1666666666666664E-2</v>
      </c>
      <c r="E207" s="171">
        <v>0</v>
      </c>
      <c r="F207" s="171">
        <v>0</v>
      </c>
      <c r="G207" s="171">
        <v>0</v>
      </c>
      <c r="H207" s="171">
        <v>0</v>
      </c>
      <c r="I207" s="171">
        <v>0</v>
      </c>
      <c r="J207" s="171"/>
      <c r="K207" s="171"/>
      <c r="L207" s="171"/>
      <c r="M207" s="171"/>
      <c r="N207" s="171"/>
      <c r="O207" s="171"/>
      <c r="P207" s="171"/>
      <c r="Q207" s="171"/>
      <c r="R207" s="171"/>
      <c r="S207" s="171"/>
      <c r="T207" s="171"/>
      <c r="U207" s="171"/>
      <c r="V207" s="171"/>
      <c r="W207" s="171"/>
      <c r="X207" s="171"/>
      <c r="Y207" s="171"/>
      <c r="Z207" s="171"/>
      <c r="AA207" s="171"/>
      <c r="AB207" s="171"/>
      <c r="AC207" s="171"/>
    </row>
    <row r="208" spans="1:29" ht="15.75" customHeight="1" x14ac:dyDescent="0.25">
      <c r="A208" s="106" t="s">
        <v>963</v>
      </c>
      <c r="B208" s="249">
        <v>46260</v>
      </c>
      <c r="C208" s="246">
        <v>4.1666666666666664E-2</v>
      </c>
      <c r="D208" s="246">
        <v>8.3333333333333329E-2</v>
      </c>
      <c r="E208" s="171">
        <v>0</v>
      </c>
      <c r="F208" s="171">
        <v>0</v>
      </c>
      <c r="G208" s="171">
        <v>0</v>
      </c>
      <c r="H208" s="171">
        <v>0</v>
      </c>
      <c r="I208" s="171">
        <v>0</v>
      </c>
      <c r="J208" s="171"/>
      <c r="K208" s="171"/>
      <c r="L208" s="171"/>
      <c r="M208" s="171"/>
      <c r="N208" s="171"/>
      <c r="O208" s="171"/>
      <c r="P208" s="171"/>
      <c r="Q208" s="171"/>
      <c r="R208" s="171"/>
      <c r="S208" s="171"/>
      <c r="T208" s="171"/>
      <c r="U208" s="171"/>
      <c r="V208" s="171"/>
      <c r="W208" s="171"/>
      <c r="X208" s="171"/>
      <c r="Y208" s="171"/>
      <c r="Z208" s="171"/>
      <c r="AA208" s="171"/>
      <c r="AB208" s="171"/>
      <c r="AC208" s="171"/>
    </row>
    <row r="209" spans="1:29" ht="15.75" customHeight="1" x14ac:dyDescent="0.25">
      <c r="A209" s="106" t="s">
        <v>964</v>
      </c>
      <c r="B209" s="249">
        <v>46260</v>
      </c>
      <c r="C209" s="246">
        <v>8.3333333333333329E-2</v>
      </c>
      <c r="D209" s="246">
        <v>0.125</v>
      </c>
      <c r="E209" s="171">
        <v>0</v>
      </c>
      <c r="F209" s="171">
        <v>0</v>
      </c>
      <c r="G209" s="171">
        <v>0</v>
      </c>
      <c r="H209" s="171">
        <v>0</v>
      </c>
      <c r="I209" s="171">
        <v>0</v>
      </c>
      <c r="J209" s="171"/>
      <c r="K209" s="171"/>
      <c r="L209" s="171"/>
      <c r="M209" s="171"/>
      <c r="N209" s="171"/>
      <c r="O209" s="171"/>
      <c r="P209" s="171"/>
      <c r="Q209" s="171"/>
      <c r="R209" s="171"/>
      <c r="S209" s="171"/>
      <c r="T209" s="171"/>
      <c r="U209" s="171"/>
      <c r="V209" s="171"/>
      <c r="W209" s="171"/>
      <c r="X209" s="171"/>
      <c r="Y209" s="171"/>
      <c r="Z209" s="171"/>
      <c r="AA209" s="171"/>
      <c r="AB209" s="171"/>
      <c r="AC209" s="171"/>
    </row>
    <row r="210" spans="1:29" ht="15.75" customHeight="1" x14ac:dyDescent="0.25">
      <c r="A210" s="106" t="s">
        <v>965</v>
      </c>
      <c r="B210" s="249">
        <v>46260</v>
      </c>
      <c r="C210" s="246">
        <v>0.125</v>
      </c>
      <c r="D210" s="246">
        <v>0.16666666666666666</v>
      </c>
      <c r="E210" s="171">
        <v>0</v>
      </c>
      <c r="F210" s="171">
        <v>0</v>
      </c>
      <c r="G210" s="171">
        <v>0</v>
      </c>
      <c r="H210" s="171">
        <v>0</v>
      </c>
      <c r="I210" s="171">
        <v>0</v>
      </c>
      <c r="J210" s="171"/>
      <c r="K210" s="171"/>
      <c r="L210" s="171"/>
      <c r="M210" s="171"/>
      <c r="N210" s="171"/>
      <c r="O210" s="171"/>
      <c r="P210" s="171"/>
      <c r="Q210" s="171"/>
      <c r="R210" s="171"/>
      <c r="S210" s="171"/>
      <c r="T210" s="171"/>
      <c r="U210" s="171"/>
      <c r="V210" s="171"/>
      <c r="W210" s="171"/>
      <c r="X210" s="171"/>
      <c r="Y210" s="171"/>
      <c r="Z210" s="171"/>
      <c r="AA210" s="171"/>
      <c r="AB210" s="171"/>
      <c r="AC210" s="171"/>
    </row>
    <row r="211" spans="1:29" ht="15.75" customHeight="1" x14ac:dyDescent="0.25">
      <c r="A211" s="106" t="s">
        <v>966</v>
      </c>
      <c r="B211" s="249">
        <v>46260</v>
      </c>
      <c r="C211" s="246">
        <v>0.16666666666666666</v>
      </c>
      <c r="D211" s="246">
        <v>0.20833333333333334</v>
      </c>
      <c r="E211" s="171">
        <v>0</v>
      </c>
      <c r="F211" s="171">
        <v>0</v>
      </c>
      <c r="G211" s="171">
        <v>0</v>
      </c>
      <c r="H211" s="171">
        <v>0</v>
      </c>
      <c r="I211" s="171">
        <v>0</v>
      </c>
      <c r="J211" s="171"/>
      <c r="K211" s="171"/>
      <c r="L211" s="171"/>
      <c r="M211" s="171"/>
      <c r="N211" s="171"/>
      <c r="O211" s="171"/>
      <c r="P211" s="171"/>
      <c r="Q211" s="171"/>
      <c r="R211" s="171"/>
      <c r="S211" s="171"/>
      <c r="T211" s="171"/>
      <c r="U211" s="171"/>
      <c r="V211" s="171"/>
      <c r="W211" s="171"/>
      <c r="X211" s="171"/>
      <c r="Y211" s="171"/>
      <c r="Z211" s="171"/>
      <c r="AA211" s="171"/>
      <c r="AB211" s="171"/>
      <c r="AC211" s="171"/>
    </row>
    <row r="212" spans="1:29" ht="15.75" customHeight="1" x14ac:dyDescent="0.25">
      <c r="A212" s="106" t="s">
        <v>967</v>
      </c>
      <c r="B212" s="249">
        <v>46260</v>
      </c>
      <c r="C212" s="246">
        <v>0.20833333333333334</v>
      </c>
      <c r="D212" s="246">
        <v>0.25</v>
      </c>
      <c r="E212" s="171">
        <v>0</v>
      </c>
      <c r="F212" s="171">
        <v>0</v>
      </c>
      <c r="G212" s="171">
        <v>0</v>
      </c>
      <c r="H212" s="171">
        <v>0</v>
      </c>
      <c r="I212" s="171">
        <v>0</v>
      </c>
      <c r="J212" s="171"/>
      <c r="K212" s="171"/>
      <c r="L212" s="171"/>
      <c r="M212" s="171"/>
      <c r="N212" s="171"/>
      <c r="O212" s="171"/>
      <c r="P212" s="171"/>
      <c r="Q212" s="171"/>
      <c r="R212" s="171"/>
      <c r="S212" s="171"/>
      <c r="T212" s="171"/>
      <c r="U212" s="171"/>
      <c r="V212" s="171"/>
      <c r="W212" s="171"/>
      <c r="X212" s="171"/>
      <c r="Y212" s="171"/>
      <c r="Z212" s="171"/>
      <c r="AA212" s="171"/>
      <c r="AB212" s="171"/>
      <c r="AC212" s="171"/>
    </row>
    <row r="213" spans="1:29" ht="15.75" customHeight="1" x14ac:dyDescent="0.25">
      <c r="A213" s="106" t="s">
        <v>984</v>
      </c>
      <c r="B213" s="249">
        <v>46261</v>
      </c>
      <c r="C213" s="246">
        <v>0.91666666666666663</v>
      </c>
      <c r="D213" s="246">
        <v>0.95833333333333337</v>
      </c>
      <c r="E213" s="171">
        <v>0</v>
      </c>
      <c r="F213" s="171">
        <v>0</v>
      </c>
      <c r="G213" s="171">
        <v>0</v>
      </c>
      <c r="H213" s="171">
        <v>0</v>
      </c>
      <c r="I213" s="171">
        <v>0</v>
      </c>
      <c r="J213" s="171"/>
      <c r="K213" s="171"/>
      <c r="L213" s="171"/>
      <c r="M213" s="171"/>
      <c r="N213" s="171"/>
      <c r="O213" s="171"/>
      <c r="P213" s="171"/>
      <c r="Q213" s="171"/>
      <c r="R213" s="171"/>
      <c r="S213" s="171"/>
      <c r="T213" s="171"/>
      <c r="U213" s="171"/>
      <c r="V213" s="171"/>
      <c r="W213" s="171"/>
      <c r="X213" s="171"/>
      <c r="Y213" s="171"/>
      <c r="Z213" s="171"/>
      <c r="AA213" s="171"/>
      <c r="AB213" s="171"/>
      <c r="AC213" s="171"/>
    </row>
    <row r="214" spans="1:29" ht="15.75" customHeight="1" x14ac:dyDescent="0.25">
      <c r="A214" s="106" t="s">
        <v>985</v>
      </c>
      <c r="B214" s="249">
        <v>46261</v>
      </c>
      <c r="C214" s="246">
        <v>0.95833333333333337</v>
      </c>
      <c r="D214" s="246">
        <v>0</v>
      </c>
      <c r="E214" s="171">
        <v>0</v>
      </c>
      <c r="F214" s="171">
        <v>0</v>
      </c>
      <c r="G214" s="171">
        <v>0</v>
      </c>
      <c r="H214" s="171">
        <v>0</v>
      </c>
      <c r="I214" s="171">
        <v>0</v>
      </c>
      <c r="J214" s="171"/>
      <c r="K214" s="171"/>
      <c r="L214" s="171"/>
      <c r="M214" s="171"/>
      <c r="N214" s="171"/>
      <c r="O214" s="171"/>
      <c r="P214" s="171"/>
      <c r="Q214" s="171"/>
      <c r="R214" s="171"/>
      <c r="S214" s="171"/>
      <c r="T214" s="171"/>
      <c r="U214" s="171"/>
      <c r="V214" s="171"/>
      <c r="W214" s="171"/>
      <c r="X214" s="171"/>
      <c r="Y214" s="171"/>
      <c r="Z214" s="171"/>
      <c r="AA214" s="171"/>
      <c r="AB214" s="171"/>
      <c r="AC214" s="171"/>
    </row>
    <row r="215" spans="1:29" ht="15.75" customHeight="1" x14ac:dyDescent="0.25">
      <c r="A215" s="106" t="s">
        <v>986</v>
      </c>
      <c r="B215" s="249">
        <v>46261</v>
      </c>
      <c r="C215" s="246">
        <v>0</v>
      </c>
      <c r="D215" s="246">
        <v>4.1666666666666664E-2</v>
      </c>
      <c r="E215" s="171">
        <v>0</v>
      </c>
      <c r="F215" s="171">
        <v>0</v>
      </c>
      <c r="G215" s="171">
        <v>0</v>
      </c>
      <c r="H215" s="171">
        <v>0</v>
      </c>
      <c r="I215" s="171">
        <v>0</v>
      </c>
      <c r="J215" s="171"/>
      <c r="K215" s="171"/>
      <c r="L215" s="171"/>
      <c r="M215" s="171"/>
      <c r="N215" s="171"/>
      <c r="O215" s="171"/>
      <c r="P215" s="171"/>
      <c r="Q215" s="171"/>
      <c r="R215" s="171"/>
      <c r="S215" s="171"/>
      <c r="T215" s="171"/>
      <c r="U215" s="171"/>
      <c r="V215" s="171"/>
      <c r="W215" s="171"/>
      <c r="X215" s="171"/>
      <c r="Y215" s="171"/>
      <c r="Z215" s="171"/>
      <c r="AA215" s="171"/>
      <c r="AB215" s="171"/>
      <c r="AC215" s="171"/>
    </row>
    <row r="216" spans="1:29" ht="15.75" customHeight="1" x14ac:dyDescent="0.25">
      <c r="A216" s="106" t="s">
        <v>987</v>
      </c>
      <c r="B216" s="249">
        <v>46261</v>
      </c>
      <c r="C216" s="246">
        <v>4.1666666666666664E-2</v>
      </c>
      <c r="D216" s="246">
        <v>8.3333333333333329E-2</v>
      </c>
      <c r="E216" s="171">
        <v>0</v>
      </c>
      <c r="F216" s="171">
        <v>0</v>
      </c>
      <c r="G216" s="171">
        <v>0</v>
      </c>
      <c r="H216" s="171">
        <v>0</v>
      </c>
      <c r="I216" s="171">
        <v>0</v>
      </c>
      <c r="J216" s="171"/>
      <c r="K216" s="171"/>
      <c r="L216" s="171"/>
      <c r="M216" s="171"/>
      <c r="N216" s="171"/>
      <c r="O216" s="171"/>
      <c r="P216" s="171"/>
      <c r="Q216" s="171"/>
      <c r="R216" s="171"/>
      <c r="S216" s="171"/>
      <c r="T216" s="171"/>
      <c r="U216" s="171"/>
      <c r="V216" s="171"/>
      <c r="W216" s="171"/>
      <c r="X216" s="171"/>
      <c r="Y216" s="171"/>
      <c r="Z216" s="171"/>
      <c r="AA216" s="171"/>
      <c r="AB216" s="171"/>
      <c r="AC216" s="171"/>
    </row>
    <row r="217" spans="1:29" ht="15.75" customHeight="1" x14ac:dyDescent="0.25">
      <c r="A217" s="106" t="s">
        <v>988</v>
      </c>
      <c r="B217" s="249">
        <v>46261</v>
      </c>
      <c r="C217" s="246">
        <v>8.3333333333333329E-2</v>
      </c>
      <c r="D217" s="246">
        <v>0.125</v>
      </c>
      <c r="E217" s="171">
        <v>0</v>
      </c>
      <c r="F217" s="171">
        <v>0</v>
      </c>
      <c r="G217" s="171">
        <v>0</v>
      </c>
      <c r="H217" s="171">
        <v>0</v>
      </c>
      <c r="I217" s="171">
        <v>0</v>
      </c>
      <c r="J217" s="171"/>
      <c r="K217" s="171"/>
      <c r="L217" s="171"/>
      <c r="M217" s="171"/>
      <c r="N217" s="171"/>
      <c r="O217" s="171"/>
      <c r="P217" s="171"/>
      <c r="Q217" s="171"/>
      <c r="R217" s="171"/>
      <c r="S217" s="171"/>
      <c r="T217" s="171"/>
      <c r="U217" s="171"/>
      <c r="V217" s="171"/>
      <c r="W217" s="171"/>
      <c r="X217" s="171"/>
      <c r="Y217" s="171"/>
      <c r="Z217" s="171"/>
      <c r="AA217" s="171"/>
      <c r="AB217" s="171"/>
      <c r="AC217" s="171"/>
    </row>
    <row r="218" spans="1:29" ht="15.75" customHeight="1" x14ac:dyDescent="0.25">
      <c r="A218" s="106" t="s">
        <v>989</v>
      </c>
      <c r="B218" s="249">
        <v>46261</v>
      </c>
      <c r="C218" s="246">
        <v>0.125</v>
      </c>
      <c r="D218" s="246">
        <v>0.16666666666666666</v>
      </c>
      <c r="E218" s="171">
        <v>0</v>
      </c>
      <c r="F218" s="171">
        <v>0</v>
      </c>
      <c r="G218" s="171">
        <v>0</v>
      </c>
      <c r="H218" s="171">
        <v>0</v>
      </c>
      <c r="I218" s="171">
        <v>0</v>
      </c>
      <c r="J218" s="171"/>
      <c r="K218" s="171"/>
      <c r="L218" s="171"/>
      <c r="M218" s="171"/>
      <c r="N218" s="171"/>
      <c r="O218" s="171"/>
      <c r="P218" s="171"/>
      <c r="Q218" s="171"/>
      <c r="R218" s="171"/>
      <c r="S218" s="171"/>
      <c r="T218" s="171"/>
      <c r="U218" s="171"/>
      <c r="V218" s="171"/>
      <c r="W218" s="171"/>
      <c r="X218" s="171"/>
      <c r="Y218" s="171"/>
      <c r="Z218" s="171"/>
      <c r="AA218" s="171"/>
      <c r="AB218" s="171"/>
      <c r="AC218" s="171"/>
    </row>
    <row r="219" spans="1:29" ht="15.75" customHeight="1" x14ac:dyDescent="0.25">
      <c r="A219" s="106" t="s">
        <v>990</v>
      </c>
      <c r="B219" s="249">
        <v>46261</v>
      </c>
      <c r="C219" s="246">
        <v>0.16666666666666666</v>
      </c>
      <c r="D219" s="246">
        <v>0.20833333333333334</v>
      </c>
      <c r="E219" s="171">
        <v>0</v>
      </c>
      <c r="F219" s="171">
        <v>0</v>
      </c>
      <c r="G219" s="171">
        <v>0</v>
      </c>
      <c r="H219" s="171">
        <v>0</v>
      </c>
      <c r="I219" s="171">
        <v>0</v>
      </c>
      <c r="J219" s="171"/>
      <c r="K219" s="171"/>
      <c r="L219" s="171"/>
      <c r="M219" s="171"/>
      <c r="N219" s="171"/>
      <c r="O219" s="171"/>
      <c r="P219" s="171"/>
      <c r="Q219" s="171"/>
      <c r="R219" s="171"/>
      <c r="S219" s="171"/>
      <c r="T219" s="171"/>
      <c r="U219" s="171"/>
      <c r="V219" s="171"/>
      <c r="W219" s="171"/>
      <c r="X219" s="171"/>
      <c r="Y219" s="171"/>
      <c r="Z219" s="171"/>
      <c r="AA219" s="171"/>
      <c r="AB219" s="171"/>
      <c r="AC219" s="171"/>
    </row>
    <row r="220" spans="1:29" ht="15.75" customHeight="1" x14ac:dyDescent="0.25">
      <c r="A220" s="106" t="s">
        <v>991</v>
      </c>
      <c r="B220" s="249">
        <v>46261</v>
      </c>
      <c r="C220" s="246">
        <v>0.20833333333333334</v>
      </c>
      <c r="D220" s="246">
        <v>0.25</v>
      </c>
      <c r="E220" s="171">
        <v>0</v>
      </c>
      <c r="F220" s="171">
        <v>0</v>
      </c>
      <c r="G220" s="171">
        <v>0</v>
      </c>
      <c r="H220" s="171">
        <v>0</v>
      </c>
      <c r="I220" s="171">
        <v>0</v>
      </c>
      <c r="J220" s="171"/>
      <c r="K220" s="171"/>
      <c r="L220" s="171"/>
      <c r="M220" s="171"/>
      <c r="N220" s="171"/>
      <c r="O220" s="171"/>
      <c r="P220" s="171"/>
      <c r="Q220" s="171"/>
      <c r="R220" s="171"/>
      <c r="S220" s="171"/>
      <c r="T220" s="171"/>
      <c r="U220" s="171"/>
      <c r="V220" s="171"/>
      <c r="W220" s="171"/>
      <c r="X220" s="171"/>
      <c r="Y220" s="171"/>
      <c r="Z220" s="171"/>
      <c r="AA220" s="171"/>
      <c r="AB220" s="171"/>
      <c r="AC220" s="171"/>
    </row>
    <row r="221" spans="1:29" ht="15.75" customHeight="1" x14ac:dyDescent="0.25">
      <c r="A221" s="106" t="s">
        <v>1008</v>
      </c>
      <c r="B221" s="249">
        <v>46262</v>
      </c>
      <c r="C221" s="246">
        <v>0.91666666666666663</v>
      </c>
      <c r="D221" s="246">
        <v>0.95833333333333337</v>
      </c>
      <c r="E221" s="171">
        <v>0</v>
      </c>
      <c r="F221" s="171">
        <v>0</v>
      </c>
      <c r="G221" s="171">
        <v>0</v>
      </c>
      <c r="H221" s="171">
        <v>0</v>
      </c>
      <c r="I221" s="171">
        <v>0</v>
      </c>
      <c r="J221" s="171"/>
      <c r="K221" s="171"/>
      <c r="L221" s="171"/>
      <c r="M221" s="171"/>
      <c r="N221" s="171"/>
      <c r="O221" s="171"/>
      <c r="P221" s="171"/>
      <c r="Q221" s="171"/>
      <c r="R221" s="171"/>
      <c r="S221" s="171"/>
      <c r="T221" s="171"/>
      <c r="U221" s="171"/>
      <c r="V221" s="171"/>
      <c r="W221" s="171"/>
      <c r="X221" s="171"/>
      <c r="Y221" s="171"/>
      <c r="Z221" s="171"/>
      <c r="AA221" s="171"/>
      <c r="AB221" s="171"/>
      <c r="AC221" s="171"/>
    </row>
    <row r="222" spans="1:29" ht="15.75" customHeight="1" x14ac:dyDescent="0.25">
      <c r="A222" s="106" t="s">
        <v>1009</v>
      </c>
      <c r="B222" s="249">
        <v>46262</v>
      </c>
      <c r="C222" s="246">
        <v>0.95833333333333337</v>
      </c>
      <c r="D222" s="246">
        <v>0</v>
      </c>
      <c r="E222" s="171">
        <v>0</v>
      </c>
      <c r="F222" s="171">
        <v>0</v>
      </c>
      <c r="G222" s="171">
        <v>0</v>
      </c>
      <c r="H222" s="171">
        <v>0</v>
      </c>
      <c r="I222" s="171">
        <v>0</v>
      </c>
      <c r="J222" s="171"/>
      <c r="K222" s="171"/>
      <c r="L222" s="171"/>
      <c r="M222" s="171"/>
      <c r="N222" s="171"/>
      <c r="O222" s="171"/>
      <c r="P222" s="171"/>
      <c r="Q222" s="171"/>
      <c r="R222" s="171"/>
      <c r="S222" s="171"/>
      <c r="T222" s="171"/>
      <c r="U222" s="171"/>
      <c r="V222" s="171"/>
      <c r="W222" s="171"/>
      <c r="X222" s="171"/>
      <c r="Y222" s="171"/>
      <c r="Z222" s="171"/>
      <c r="AA222" s="171"/>
      <c r="AB222" s="171"/>
      <c r="AC222" s="171"/>
    </row>
    <row r="223" spans="1:29" ht="15.75" customHeight="1" x14ac:dyDescent="0.25">
      <c r="A223" s="106" t="s">
        <v>1010</v>
      </c>
      <c r="B223" s="249">
        <v>46262</v>
      </c>
      <c r="C223" s="246">
        <v>0</v>
      </c>
      <c r="D223" s="246">
        <v>4.1666666666666664E-2</v>
      </c>
      <c r="E223" s="171">
        <v>0</v>
      </c>
      <c r="F223" s="171">
        <v>0</v>
      </c>
      <c r="G223" s="171">
        <v>0</v>
      </c>
      <c r="H223" s="171">
        <v>0</v>
      </c>
      <c r="I223" s="171">
        <v>0</v>
      </c>
      <c r="J223" s="171"/>
      <c r="K223" s="171"/>
      <c r="L223" s="171"/>
      <c r="M223" s="171"/>
      <c r="N223" s="171"/>
      <c r="O223" s="171"/>
      <c r="P223" s="171"/>
      <c r="Q223" s="171"/>
      <c r="R223" s="171"/>
      <c r="S223" s="171"/>
      <c r="T223" s="171"/>
      <c r="U223" s="171"/>
      <c r="V223" s="171"/>
      <c r="W223" s="171"/>
      <c r="X223" s="171"/>
      <c r="Y223" s="171"/>
      <c r="Z223" s="171"/>
      <c r="AA223" s="171"/>
      <c r="AB223" s="171"/>
      <c r="AC223" s="171"/>
    </row>
    <row r="224" spans="1:29" ht="15.75" customHeight="1" x14ac:dyDescent="0.25">
      <c r="A224" s="106" t="s">
        <v>1011</v>
      </c>
      <c r="B224" s="249">
        <v>46262</v>
      </c>
      <c r="C224" s="246">
        <v>4.1666666666666664E-2</v>
      </c>
      <c r="D224" s="246">
        <v>8.3333333333333329E-2</v>
      </c>
      <c r="E224" s="171">
        <v>0</v>
      </c>
      <c r="F224" s="171">
        <v>0</v>
      </c>
      <c r="G224" s="171">
        <v>0</v>
      </c>
      <c r="H224" s="171">
        <v>0</v>
      </c>
      <c r="I224" s="171">
        <v>0</v>
      </c>
      <c r="J224" s="171"/>
      <c r="K224" s="171"/>
      <c r="L224" s="171"/>
      <c r="M224" s="171"/>
      <c r="N224" s="171"/>
      <c r="O224" s="171"/>
      <c r="P224" s="171"/>
      <c r="Q224" s="171"/>
      <c r="R224" s="171"/>
      <c r="S224" s="171"/>
      <c r="T224" s="171"/>
      <c r="U224" s="171"/>
      <c r="V224" s="171"/>
      <c r="W224" s="171"/>
      <c r="X224" s="171"/>
      <c r="Y224" s="171"/>
      <c r="Z224" s="171"/>
      <c r="AA224" s="171"/>
      <c r="AB224" s="171"/>
      <c r="AC224" s="171"/>
    </row>
    <row r="225" spans="1:29" ht="15.75" customHeight="1" x14ac:dyDescent="0.25">
      <c r="A225" s="106" t="s">
        <v>1012</v>
      </c>
      <c r="B225" s="249">
        <v>46262</v>
      </c>
      <c r="C225" s="246">
        <v>8.3333333333333329E-2</v>
      </c>
      <c r="D225" s="246">
        <v>0.125</v>
      </c>
      <c r="E225" s="171">
        <v>0</v>
      </c>
      <c r="F225" s="171">
        <v>0</v>
      </c>
      <c r="G225" s="171">
        <v>0</v>
      </c>
      <c r="H225" s="171">
        <v>0</v>
      </c>
      <c r="I225" s="171">
        <v>0</v>
      </c>
      <c r="J225" s="171"/>
      <c r="K225" s="171"/>
      <c r="L225" s="171"/>
      <c r="M225" s="171"/>
      <c r="N225" s="171"/>
      <c r="O225" s="171"/>
      <c r="P225" s="171"/>
      <c r="Q225" s="171"/>
      <c r="R225" s="171"/>
      <c r="S225" s="171"/>
      <c r="T225" s="171"/>
      <c r="U225" s="171"/>
      <c r="V225" s="171"/>
      <c r="W225" s="171"/>
      <c r="X225" s="171"/>
      <c r="Y225" s="171"/>
      <c r="Z225" s="171"/>
      <c r="AA225" s="171"/>
      <c r="AB225" s="171"/>
      <c r="AC225" s="171"/>
    </row>
    <row r="226" spans="1:29" ht="15.75" customHeight="1" x14ac:dyDescent="0.25">
      <c r="A226" s="106" t="s">
        <v>1013</v>
      </c>
      <c r="B226" s="249">
        <v>46262</v>
      </c>
      <c r="C226" s="246">
        <v>0.125</v>
      </c>
      <c r="D226" s="246">
        <v>0.16666666666666666</v>
      </c>
      <c r="E226" s="171">
        <v>0</v>
      </c>
      <c r="F226" s="171">
        <v>0</v>
      </c>
      <c r="G226" s="171">
        <v>0</v>
      </c>
      <c r="H226" s="171">
        <v>0</v>
      </c>
      <c r="I226" s="171">
        <v>0</v>
      </c>
      <c r="J226" s="171"/>
      <c r="K226" s="171"/>
      <c r="L226" s="171"/>
      <c r="M226" s="171"/>
      <c r="N226" s="171"/>
      <c r="O226" s="171"/>
      <c r="P226" s="171"/>
      <c r="Q226" s="171"/>
      <c r="R226" s="171"/>
      <c r="S226" s="171"/>
      <c r="T226" s="171"/>
      <c r="U226" s="171"/>
      <c r="V226" s="171"/>
      <c r="W226" s="171"/>
      <c r="X226" s="171"/>
      <c r="Y226" s="171"/>
      <c r="Z226" s="171"/>
      <c r="AA226" s="171"/>
      <c r="AB226" s="171"/>
      <c r="AC226" s="171"/>
    </row>
    <row r="227" spans="1:29" ht="15.75" customHeight="1" x14ac:dyDescent="0.25">
      <c r="A227" s="106" t="s">
        <v>1014</v>
      </c>
      <c r="B227" s="249">
        <v>46262</v>
      </c>
      <c r="C227" s="246">
        <v>0.16666666666666666</v>
      </c>
      <c r="D227" s="246">
        <v>0.20833333333333334</v>
      </c>
      <c r="E227" s="171">
        <v>0</v>
      </c>
      <c r="F227" s="171">
        <v>0</v>
      </c>
      <c r="G227" s="171">
        <v>0</v>
      </c>
      <c r="H227" s="171">
        <v>0</v>
      </c>
      <c r="I227" s="171">
        <v>0</v>
      </c>
      <c r="J227" s="171"/>
      <c r="K227" s="171"/>
      <c r="L227" s="171"/>
      <c r="M227" s="171"/>
      <c r="N227" s="171"/>
      <c r="O227" s="171"/>
      <c r="P227" s="171"/>
      <c r="Q227" s="171"/>
      <c r="R227" s="171"/>
      <c r="S227" s="171"/>
      <c r="T227" s="171"/>
      <c r="U227" s="171"/>
      <c r="V227" s="171"/>
      <c r="W227" s="171"/>
      <c r="X227" s="171"/>
      <c r="Y227" s="171"/>
      <c r="Z227" s="171"/>
      <c r="AA227" s="171"/>
      <c r="AB227" s="171"/>
      <c r="AC227" s="171"/>
    </row>
    <row r="228" spans="1:29" ht="15.75" customHeight="1" x14ac:dyDescent="0.25">
      <c r="A228" s="106" t="s">
        <v>1015</v>
      </c>
      <c r="B228" s="249">
        <v>46262</v>
      </c>
      <c r="C228" s="246">
        <v>0.20833333333333334</v>
      </c>
      <c r="D228" s="246">
        <v>0.25</v>
      </c>
      <c r="E228" s="171">
        <v>0</v>
      </c>
      <c r="F228" s="171">
        <v>0</v>
      </c>
      <c r="G228" s="171">
        <v>0</v>
      </c>
      <c r="H228" s="171">
        <v>0</v>
      </c>
      <c r="I228" s="171">
        <v>0</v>
      </c>
      <c r="J228" s="171"/>
      <c r="K228" s="171"/>
      <c r="L228" s="171"/>
      <c r="M228" s="171"/>
      <c r="N228" s="171"/>
      <c r="O228" s="171"/>
      <c r="P228" s="171"/>
      <c r="Q228" s="171"/>
      <c r="R228" s="171"/>
      <c r="S228" s="171"/>
      <c r="T228" s="171"/>
      <c r="U228" s="171"/>
      <c r="V228" s="171"/>
      <c r="W228" s="171"/>
      <c r="X228" s="171"/>
      <c r="Y228" s="171"/>
      <c r="Z228" s="171"/>
      <c r="AA228" s="171"/>
      <c r="AB228" s="171"/>
      <c r="AC228" s="171"/>
    </row>
    <row r="229" spans="1:29" ht="15.75" customHeight="1" x14ac:dyDescent="0.25">
      <c r="A229" s="106" t="s">
        <v>1032</v>
      </c>
      <c r="B229" s="249">
        <v>46263</v>
      </c>
      <c r="C229" s="246">
        <v>0.91666666666666663</v>
      </c>
      <c r="D229" s="246">
        <v>0.95833333333333337</v>
      </c>
      <c r="E229" s="171">
        <v>0</v>
      </c>
      <c r="F229" s="171">
        <v>0</v>
      </c>
      <c r="G229" s="171">
        <v>0</v>
      </c>
      <c r="H229" s="171">
        <v>0</v>
      </c>
      <c r="I229" s="171">
        <v>0</v>
      </c>
      <c r="J229" s="171"/>
      <c r="K229" s="171"/>
      <c r="L229" s="171"/>
      <c r="M229" s="171"/>
      <c r="N229" s="171"/>
      <c r="O229" s="171"/>
      <c r="P229" s="171"/>
      <c r="Q229" s="171"/>
      <c r="R229" s="171"/>
      <c r="S229" s="171"/>
      <c r="T229" s="171"/>
      <c r="U229" s="171"/>
      <c r="V229" s="171"/>
      <c r="W229" s="171"/>
      <c r="X229" s="171"/>
      <c r="Y229" s="171"/>
      <c r="Z229" s="171"/>
      <c r="AA229" s="171"/>
      <c r="AB229" s="171"/>
      <c r="AC229" s="171"/>
    </row>
    <row r="230" spans="1:29" ht="15.75" customHeight="1" x14ac:dyDescent="0.25">
      <c r="A230" s="106" t="s">
        <v>1033</v>
      </c>
      <c r="B230" s="249">
        <v>46263</v>
      </c>
      <c r="C230" s="246">
        <v>0.95833333333333337</v>
      </c>
      <c r="D230" s="246">
        <v>0</v>
      </c>
      <c r="E230" s="171">
        <v>0</v>
      </c>
      <c r="F230" s="171">
        <v>0</v>
      </c>
      <c r="G230" s="171">
        <v>0</v>
      </c>
      <c r="H230" s="171">
        <v>0</v>
      </c>
      <c r="I230" s="171">
        <v>0</v>
      </c>
      <c r="J230" s="171"/>
      <c r="K230" s="171"/>
      <c r="L230" s="171"/>
      <c r="M230" s="171"/>
      <c r="N230" s="171"/>
      <c r="O230" s="171"/>
      <c r="P230" s="171"/>
      <c r="Q230" s="171"/>
      <c r="R230" s="171"/>
      <c r="S230" s="171"/>
      <c r="T230" s="171"/>
      <c r="U230" s="171"/>
      <c r="V230" s="171"/>
      <c r="W230" s="171"/>
      <c r="X230" s="171"/>
      <c r="Y230" s="171"/>
      <c r="Z230" s="171"/>
      <c r="AA230" s="171"/>
      <c r="AB230" s="171"/>
      <c r="AC230" s="171"/>
    </row>
    <row r="231" spans="1:29" ht="15.75" customHeight="1" x14ac:dyDescent="0.25">
      <c r="A231" s="106" t="s">
        <v>1034</v>
      </c>
      <c r="B231" s="249">
        <v>46263</v>
      </c>
      <c r="C231" s="246">
        <v>0</v>
      </c>
      <c r="D231" s="246">
        <v>4.1666666666666664E-2</v>
      </c>
      <c r="E231" s="171">
        <v>0</v>
      </c>
      <c r="F231" s="171">
        <v>0</v>
      </c>
      <c r="G231" s="171">
        <v>0</v>
      </c>
      <c r="H231" s="171">
        <v>0</v>
      </c>
      <c r="I231" s="171">
        <v>0</v>
      </c>
      <c r="J231" s="171"/>
      <c r="K231" s="171"/>
      <c r="L231" s="171"/>
      <c r="M231" s="171"/>
      <c r="N231" s="171"/>
      <c r="O231" s="171"/>
      <c r="P231" s="171"/>
      <c r="Q231" s="171"/>
      <c r="R231" s="171"/>
      <c r="S231" s="171"/>
      <c r="T231" s="171"/>
      <c r="U231" s="171"/>
      <c r="V231" s="171"/>
      <c r="W231" s="171"/>
      <c r="X231" s="171"/>
      <c r="Y231" s="171"/>
      <c r="Z231" s="171"/>
      <c r="AA231" s="171"/>
      <c r="AB231" s="171"/>
      <c r="AC231" s="171"/>
    </row>
    <row r="232" spans="1:29" ht="15.75" customHeight="1" x14ac:dyDescent="0.25">
      <c r="A232" s="106" t="s">
        <v>1035</v>
      </c>
      <c r="B232" s="249">
        <v>46263</v>
      </c>
      <c r="C232" s="246">
        <v>4.1666666666666664E-2</v>
      </c>
      <c r="D232" s="246">
        <v>8.3333333333333329E-2</v>
      </c>
      <c r="E232" s="171">
        <v>0</v>
      </c>
      <c r="F232" s="171">
        <v>0</v>
      </c>
      <c r="G232" s="171">
        <v>0</v>
      </c>
      <c r="H232" s="171">
        <v>0</v>
      </c>
      <c r="I232" s="171">
        <v>0</v>
      </c>
      <c r="J232" s="171"/>
      <c r="K232" s="171"/>
      <c r="L232" s="171"/>
      <c r="M232" s="171"/>
      <c r="N232" s="171"/>
      <c r="O232" s="171"/>
      <c r="P232" s="171"/>
      <c r="Q232" s="171"/>
      <c r="R232" s="171"/>
      <c r="S232" s="171"/>
      <c r="T232" s="171"/>
      <c r="U232" s="171"/>
      <c r="V232" s="171"/>
      <c r="W232" s="171"/>
      <c r="X232" s="171"/>
      <c r="Y232" s="171"/>
      <c r="Z232" s="171"/>
      <c r="AA232" s="171"/>
      <c r="AB232" s="171"/>
      <c r="AC232" s="171"/>
    </row>
    <row r="233" spans="1:29" ht="15.75" customHeight="1" x14ac:dyDescent="0.25">
      <c r="A233" s="106" t="s">
        <v>1036</v>
      </c>
      <c r="B233" s="249">
        <v>46263</v>
      </c>
      <c r="C233" s="246">
        <v>8.3333333333333329E-2</v>
      </c>
      <c r="D233" s="246">
        <v>0.125</v>
      </c>
      <c r="E233" s="171">
        <v>0</v>
      </c>
      <c r="F233" s="171">
        <v>0</v>
      </c>
      <c r="G233" s="171">
        <v>0</v>
      </c>
      <c r="H233" s="171">
        <v>0</v>
      </c>
      <c r="I233" s="171">
        <v>0</v>
      </c>
      <c r="J233" s="171"/>
      <c r="K233" s="171"/>
      <c r="L233" s="171"/>
      <c r="M233" s="171"/>
      <c r="N233" s="171"/>
      <c r="O233" s="171"/>
      <c r="P233" s="171"/>
      <c r="Q233" s="171"/>
      <c r="R233" s="171"/>
      <c r="S233" s="171"/>
      <c r="T233" s="171"/>
      <c r="U233" s="171"/>
      <c r="V233" s="171"/>
      <c r="W233" s="171"/>
      <c r="X233" s="171"/>
      <c r="Y233" s="171"/>
      <c r="Z233" s="171"/>
      <c r="AA233" s="171"/>
      <c r="AB233" s="171"/>
      <c r="AC233" s="171"/>
    </row>
    <row r="234" spans="1:29" ht="15.75" customHeight="1" x14ac:dyDescent="0.25">
      <c r="A234" s="106" t="s">
        <v>1037</v>
      </c>
      <c r="B234" s="249">
        <v>46263</v>
      </c>
      <c r="C234" s="246">
        <v>0.125</v>
      </c>
      <c r="D234" s="246">
        <v>0.16666666666666666</v>
      </c>
      <c r="E234" s="171">
        <v>0</v>
      </c>
      <c r="F234" s="171">
        <v>0</v>
      </c>
      <c r="G234" s="171">
        <v>0</v>
      </c>
      <c r="H234" s="171">
        <v>0</v>
      </c>
      <c r="I234" s="171">
        <v>0</v>
      </c>
      <c r="J234" s="171"/>
      <c r="K234" s="171"/>
      <c r="L234" s="171"/>
      <c r="M234" s="171"/>
      <c r="N234" s="171"/>
      <c r="O234" s="171"/>
      <c r="P234" s="171"/>
      <c r="Q234" s="171"/>
      <c r="R234" s="171"/>
      <c r="S234" s="171"/>
      <c r="T234" s="171"/>
      <c r="U234" s="171"/>
      <c r="V234" s="171"/>
      <c r="W234" s="171"/>
      <c r="X234" s="171"/>
      <c r="Y234" s="171"/>
      <c r="Z234" s="171"/>
      <c r="AA234" s="171"/>
      <c r="AB234" s="171"/>
      <c r="AC234" s="171"/>
    </row>
    <row r="235" spans="1:29" ht="15.75" customHeight="1" x14ac:dyDescent="0.25">
      <c r="A235" s="106" t="s">
        <v>1038</v>
      </c>
      <c r="B235" s="249">
        <v>46263</v>
      </c>
      <c r="C235" s="246">
        <v>0.16666666666666666</v>
      </c>
      <c r="D235" s="246">
        <v>0.20833333333333334</v>
      </c>
      <c r="E235" s="171">
        <v>0</v>
      </c>
      <c r="F235" s="171">
        <v>0</v>
      </c>
      <c r="G235" s="171">
        <v>0</v>
      </c>
      <c r="H235" s="171">
        <v>0</v>
      </c>
      <c r="I235" s="171">
        <v>0</v>
      </c>
      <c r="J235" s="171"/>
      <c r="K235" s="171"/>
      <c r="L235" s="171"/>
      <c r="M235" s="171"/>
      <c r="N235" s="171"/>
      <c r="O235" s="171"/>
      <c r="P235" s="171"/>
      <c r="Q235" s="171"/>
      <c r="R235" s="171"/>
      <c r="S235" s="171"/>
      <c r="T235" s="171"/>
      <c r="U235" s="171"/>
      <c r="V235" s="171"/>
      <c r="W235" s="171"/>
      <c r="X235" s="171"/>
      <c r="Y235" s="171"/>
      <c r="Z235" s="171"/>
      <c r="AA235" s="171"/>
      <c r="AB235" s="171"/>
      <c r="AC235" s="171"/>
    </row>
    <row r="236" spans="1:29" ht="15.75" customHeight="1" x14ac:dyDescent="0.25">
      <c r="A236" s="106" t="s">
        <v>1039</v>
      </c>
      <c r="B236" s="249">
        <v>46263</v>
      </c>
      <c r="C236" s="246">
        <v>0.20833333333333334</v>
      </c>
      <c r="D236" s="246">
        <v>0.25</v>
      </c>
      <c r="E236" s="171">
        <v>0</v>
      </c>
      <c r="F236" s="171">
        <v>0</v>
      </c>
      <c r="G236" s="171">
        <v>0</v>
      </c>
      <c r="H236" s="171">
        <v>0</v>
      </c>
      <c r="I236" s="171">
        <v>0</v>
      </c>
      <c r="J236" s="171"/>
      <c r="K236" s="171"/>
      <c r="L236" s="171"/>
      <c r="M236" s="171"/>
      <c r="N236" s="171"/>
      <c r="O236" s="171"/>
      <c r="P236" s="171"/>
      <c r="Q236" s="171"/>
      <c r="R236" s="171"/>
      <c r="S236" s="171"/>
      <c r="T236" s="171"/>
      <c r="U236" s="171"/>
      <c r="V236" s="171"/>
      <c r="W236" s="171"/>
      <c r="X236" s="171"/>
      <c r="Y236" s="171"/>
      <c r="Z236" s="171"/>
      <c r="AA236" s="171"/>
      <c r="AB236" s="171"/>
      <c r="AC236" s="171"/>
    </row>
    <row r="237" spans="1:29" ht="15.75" customHeight="1" x14ac:dyDescent="0.25">
      <c r="A237" s="106" t="s">
        <v>1056</v>
      </c>
      <c r="B237" s="249">
        <v>46264</v>
      </c>
      <c r="C237" s="246">
        <v>0.91666666666666663</v>
      </c>
      <c r="D237" s="246">
        <v>0.95833333333333337</v>
      </c>
      <c r="E237" s="171">
        <v>0</v>
      </c>
      <c r="F237" s="171">
        <v>0</v>
      </c>
      <c r="G237" s="171">
        <v>0</v>
      </c>
      <c r="H237" s="171">
        <v>0</v>
      </c>
      <c r="I237" s="171">
        <v>0</v>
      </c>
      <c r="J237" s="171"/>
      <c r="K237" s="171"/>
      <c r="L237" s="171"/>
      <c r="M237" s="171"/>
      <c r="N237" s="171"/>
      <c r="O237" s="171"/>
      <c r="P237" s="171"/>
      <c r="Q237" s="171"/>
      <c r="R237" s="171"/>
      <c r="S237" s="171"/>
      <c r="T237" s="171"/>
      <c r="U237" s="171"/>
      <c r="V237" s="171"/>
      <c r="W237" s="171"/>
      <c r="X237" s="171"/>
      <c r="Y237" s="171"/>
      <c r="Z237" s="171"/>
      <c r="AA237" s="171"/>
      <c r="AB237" s="171"/>
      <c r="AC237" s="171"/>
    </row>
    <row r="238" spans="1:29" ht="15.75" customHeight="1" x14ac:dyDescent="0.25">
      <c r="A238" s="106" t="s">
        <v>1057</v>
      </c>
      <c r="B238" s="249">
        <v>46264</v>
      </c>
      <c r="C238" s="246">
        <v>0.95833333333333337</v>
      </c>
      <c r="D238" s="246">
        <v>0</v>
      </c>
      <c r="E238" s="171">
        <v>0</v>
      </c>
      <c r="F238" s="171">
        <v>0</v>
      </c>
      <c r="G238" s="171">
        <v>0</v>
      </c>
      <c r="H238" s="171">
        <v>0</v>
      </c>
      <c r="I238" s="171">
        <v>0</v>
      </c>
      <c r="J238" s="171"/>
      <c r="K238" s="171"/>
      <c r="L238" s="171"/>
      <c r="M238" s="171"/>
      <c r="N238" s="171"/>
      <c r="O238" s="171"/>
      <c r="P238" s="171"/>
      <c r="Q238" s="171"/>
      <c r="R238" s="171"/>
      <c r="S238" s="171"/>
      <c r="T238" s="171"/>
      <c r="U238" s="171"/>
      <c r="V238" s="171"/>
      <c r="W238" s="171"/>
      <c r="X238" s="171"/>
      <c r="Y238" s="171"/>
      <c r="Z238" s="171"/>
      <c r="AA238" s="171"/>
      <c r="AB238" s="171"/>
      <c r="AC238" s="171"/>
    </row>
    <row r="239" spans="1:29" ht="15.75" customHeight="1" x14ac:dyDescent="0.25">
      <c r="A239" s="106" t="s">
        <v>1058</v>
      </c>
      <c r="B239" s="249">
        <v>46264</v>
      </c>
      <c r="C239" s="246">
        <v>0</v>
      </c>
      <c r="D239" s="246">
        <v>4.1666666666666664E-2</v>
      </c>
      <c r="E239" s="171">
        <v>0</v>
      </c>
      <c r="F239" s="171">
        <v>0</v>
      </c>
      <c r="G239" s="171">
        <v>0</v>
      </c>
      <c r="H239" s="171">
        <v>0</v>
      </c>
      <c r="I239" s="171">
        <v>0</v>
      </c>
      <c r="J239" s="171"/>
      <c r="K239" s="171"/>
      <c r="L239" s="171"/>
      <c r="M239" s="171"/>
      <c r="N239" s="171"/>
      <c r="O239" s="171"/>
      <c r="P239" s="171"/>
      <c r="Q239" s="171"/>
      <c r="R239" s="171"/>
      <c r="S239" s="171"/>
      <c r="T239" s="171"/>
      <c r="U239" s="171"/>
      <c r="V239" s="171"/>
      <c r="W239" s="171"/>
      <c r="X239" s="171"/>
      <c r="Y239" s="171"/>
      <c r="Z239" s="171"/>
      <c r="AA239" s="171"/>
      <c r="AB239" s="171"/>
      <c r="AC239" s="171"/>
    </row>
    <row r="240" spans="1:29" ht="15.75" customHeight="1" x14ac:dyDescent="0.25">
      <c r="A240" s="106" t="s">
        <v>1059</v>
      </c>
      <c r="B240" s="249">
        <v>46264</v>
      </c>
      <c r="C240" s="246">
        <v>4.1666666666666664E-2</v>
      </c>
      <c r="D240" s="246">
        <v>8.3333333333333329E-2</v>
      </c>
      <c r="E240" s="171">
        <v>0</v>
      </c>
      <c r="F240" s="171">
        <v>0</v>
      </c>
      <c r="G240" s="171">
        <v>0</v>
      </c>
      <c r="H240" s="171">
        <v>0</v>
      </c>
      <c r="I240" s="171">
        <v>0</v>
      </c>
      <c r="J240" s="171"/>
      <c r="K240" s="171"/>
      <c r="L240" s="171"/>
      <c r="M240" s="171"/>
      <c r="N240" s="171"/>
      <c r="O240" s="171"/>
      <c r="P240" s="171"/>
      <c r="Q240" s="171"/>
      <c r="R240" s="171"/>
      <c r="S240" s="171"/>
      <c r="T240" s="171"/>
      <c r="U240" s="171"/>
      <c r="V240" s="171"/>
      <c r="W240" s="171"/>
      <c r="X240" s="171"/>
      <c r="Y240" s="171"/>
      <c r="Z240" s="171"/>
      <c r="AA240" s="171"/>
      <c r="AB240" s="171"/>
      <c r="AC240" s="171"/>
    </row>
    <row r="241" spans="1:29" ht="15.75" customHeight="1" x14ac:dyDescent="0.25">
      <c r="A241" s="106" t="s">
        <v>1060</v>
      </c>
      <c r="B241" s="249">
        <v>46264</v>
      </c>
      <c r="C241" s="246">
        <v>8.3333333333333329E-2</v>
      </c>
      <c r="D241" s="246">
        <v>0.125</v>
      </c>
      <c r="E241" s="171">
        <v>0</v>
      </c>
      <c r="F241" s="171">
        <v>0</v>
      </c>
      <c r="G241" s="171">
        <v>0</v>
      </c>
      <c r="H241" s="171">
        <v>0</v>
      </c>
      <c r="I241" s="171">
        <v>0</v>
      </c>
      <c r="J241" s="171"/>
      <c r="K241" s="171"/>
      <c r="L241" s="171"/>
      <c r="M241" s="171"/>
      <c r="N241" s="171"/>
      <c r="O241" s="171"/>
      <c r="P241" s="171"/>
      <c r="Q241" s="171"/>
      <c r="R241" s="171"/>
      <c r="S241" s="171"/>
      <c r="T241" s="171"/>
      <c r="U241" s="171"/>
      <c r="V241" s="171"/>
      <c r="W241" s="171"/>
      <c r="X241" s="171"/>
      <c r="Y241" s="171"/>
      <c r="Z241" s="171"/>
      <c r="AA241" s="171"/>
      <c r="AB241" s="171"/>
      <c r="AC241" s="171"/>
    </row>
    <row r="242" spans="1:29" ht="15.75" customHeight="1" x14ac:dyDescent="0.25">
      <c r="A242" s="106" t="s">
        <v>1061</v>
      </c>
      <c r="B242" s="249">
        <v>46264</v>
      </c>
      <c r="C242" s="246">
        <v>0.125</v>
      </c>
      <c r="D242" s="246">
        <v>0.16666666666666666</v>
      </c>
      <c r="E242" s="171">
        <v>0</v>
      </c>
      <c r="F242" s="171">
        <v>0</v>
      </c>
      <c r="G242" s="171">
        <v>0</v>
      </c>
      <c r="H242" s="171">
        <v>0</v>
      </c>
      <c r="I242" s="171">
        <v>0</v>
      </c>
      <c r="J242" s="171"/>
      <c r="K242" s="171"/>
      <c r="L242" s="171"/>
      <c r="M242" s="171"/>
      <c r="N242" s="171"/>
      <c r="O242" s="171"/>
      <c r="P242" s="171"/>
      <c r="Q242" s="171"/>
      <c r="R242" s="171"/>
      <c r="S242" s="171"/>
      <c r="T242" s="171"/>
      <c r="U242" s="171"/>
      <c r="V242" s="171"/>
      <c r="W242" s="171"/>
      <c r="X242" s="171"/>
      <c r="Y242" s="171"/>
      <c r="Z242" s="171"/>
      <c r="AA242" s="171"/>
      <c r="AB242" s="171"/>
      <c r="AC242" s="171"/>
    </row>
    <row r="243" spans="1:29" ht="15.75" customHeight="1" x14ac:dyDescent="0.25">
      <c r="A243" s="106" t="s">
        <v>1062</v>
      </c>
      <c r="B243" s="249">
        <v>46264</v>
      </c>
      <c r="C243" s="246">
        <v>0.16666666666666666</v>
      </c>
      <c r="D243" s="246">
        <v>0.20833333333333334</v>
      </c>
      <c r="E243" s="171">
        <v>0</v>
      </c>
      <c r="F243" s="171">
        <v>0</v>
      </c>
      <c r="G243" s="171">
        <v>0</v>
      </c>
      <c r="H243" s="171">
        <v>0</v>
      </c>
      <c r="I243" s="171">
        <v>0</v>
      </c>
      <c r="J243" s="171"/>
      <c r="K243" s="171"/>
      <c r="L243" s="171"/>
      <c r="M243" s="171"/>
      <c r="N243" s="171"/>
      <c r="O243" s="171"/>
      <c r="P243" s="171"/>
      <c r="Q243" s="171"/>
      <c r="R243" s="171"/>
      <c r="S243" s="171"/>
      <c r="T243" s="171"/>
      <c r="U243" s="171"/>
      <c r="V243" s="171"/>
      <c r="W243" s="171"/>
      <c r="X243" s="171"/>
      <c r="Y243" s="171"/>
      <c r="Z243" s="171"/>
      <c r="AA243" s="171"/>
      <c r="AB243" s="171"/>
      <c r="AC243" s="171"/>
    </row>
    <row r="244" spans="1:29" ht="15.75" customHeight="1" x14ac:dyDescent="0.25">
      <c r="A244" s="106" t="s">
        <v>1063</v>
      </c>
      <c r="B244" s="249">
        <v>46264</v>
      </c>
      <c r="C244" s="246">
        <v>0.20833333333333334</v>
      </c>
      <c r="D244" s="246">
        <v>0.25</v>
      </c>
      <c r="E244" s="171">
        <v>0</v>
      </c>
      <c r="F244" s="171">
        <v>0</v>
      </c>
      <c r="G244" s="171">
        <v>0</v>
      </c>
      <c r="H244" s="171">
        <v>0</v>
      </c>
      <c r="I244" s="171">
        <v>0</v>
      </c>
      <c r="J244" s="171"/>
      <c r="K244" s="171"/>
      <c r="L244" s="171"/>
      <c r="M244" s="171"/>
      <c r="N244" s="171"/>
      <c r="O244" s="171"/>
      <c r="P244" s="171"/>
      <c r="Q244" s="171"/>
      <c r="R244" s="171"/>
      <c r="S244" s="171"/>
      <c r="T244" s="171"/>
      <c r="U244" s="171"/>
      <c r="V244" s="171"/>
      <c r="W244" s="171"/>
      <c r="X244" s="171"/>
      <c r="Y244" s="171"/>
      <c r="Z244" s="171"/>
      <c r="AA244" s="171"/>
      <c r="AB244" s="171"/>
      <c r="AC244" s="171"/>
    </row>
    <row r="245" spans="1:29" ht="15.75" customHeight="1" x14ac:dyDescent="0.25">
      <c r="A245" s="106" t="s">
        <v>1080</v>
      </c>
      <c r="B245" s="249">
        <v>46265</v>
      </c>
      <c r="C245" s="246">
        <v>0.91666666666666663</v>
      </c>
      <c r="D245" s="246">
        <v>0.95833333333333337</v>
      </c>
      <c r="E245" s="171">
        <v>0</v>
      </c>
      <c r="F245" s="171">
        <v>0</v>
      </c>
      <c r="G245" s="171">
        <v>0</v>
      </c>
      <c r="H245" s="171">
        <v>0</v>
      </c>
      <c r="I245" s="171">
        <v>0</v>
      </c>
      <c r="J245" s="171"/>
      <c r="K245" s="171"/>
      <c r="L245" s="171"/>
      <c r="M245" s="171"/>
      <c r="N245" s="171"/>
      <c r="O245" s="171"/>
      <c r="P245" s="171"/>
      <c r="Q245" s="171"/>
      <c r="R245" s="171"/>
      <c r="S245" s="171"/>
      <c r="T245" s="171"/>
      <c r="U245" s="171"/>
      <c r="V245" s="171"/>
      <c r="W245" s="171"/>
      <c r="X245" s="171"/>
      <c r="Y245" s="171"/>
      <c r="Z245" s="171"/>
      <c r="AA245" s="171"/>
      <c r="AB245" s="171"/>
      <c r="AC245" s="171"/>
    </row>
    <row r="246" spans="1:29" ht="15.75" customHeight="1" x14ac:dyDescent="0.25">
      <c r="A246" s="106" t="s">
        <v>1081</v>
      </c>
      <c r="B246" s="249">
        <v>46265</v>
      </c>
      <c r="C246" s="246">
        <v>0.95833333333333337</v>
      </c>
      <c r="D246" s="246">
        <v>0</v>
      </c>
      <c r="E246" s="171">
        <v>0</v>
      </c>
      <c r="F246" s="171">
        <v>0</v>
      </c>
      <c r="G246" s="171">
        <v>0</v>
      </c>
      <c r="H246" s="171">
        <v>0</v>
      </c>
      <c r="I246" s="171">
        <v>0</v>
      </c>
      <c r="J246" s="171"/>
      <c r="K246" s="171"/>
      <c r="L246" s="171"/>
      <c r="M246" s="171"/>
      <c r="N246" s="171"/>
      <c r="O246" s="171"/>
      <c r="P246" s="171"/>
      <c r="Q246" s="171"/>
      <c r="R246" s="171"/>
      <c r="S246" s="171"/>
      <c r="T246" s="171"/>
      <c r="U246" s="171"/>
      <c r="V246" s="171"/>
      <c r="W246" s="171"/>
      <c r="X246" s="171"/>
      <c r="Y246" s="171"/>
      <c r="Z246" s="171"/>
      <c r="AA246" s="171"/>
      <c r="AB246" s="171"/>
      <c r="AC246" s="171"/>
    </row>
    <row r="247" spans="1:29" ht="15.75" customHeight="1" x14ac:dyDescent="0.25">
      <c r="A247" s="106" t="s">
        <v>1082</v>
      </c>
      <c r="B247" s="249">
        <v>46265</v>
      </c>
      <c r="C247" s="246">
        <v>0</v>
      </c>
      <c r="D247" s="246">
        <v>4.1666666666666664E-2</v>
      </c>
      <c r="E247" s="171">
        <v>0</v>
      </c>
      <c r="F247" s="171">
        <v>0</v>
      </c>
      <c r="G247" s="171">
        <v>0</v>
      </c>
      <c r="H247" s="171">
        <v>0</v>
      </c>
      <c r="I247" s="171">
        <v>0</v>
      </c>
      <c r="J247" s="171"/>
      <c r="K247" s="171"/>
      <c r="L247" s="171"/>
      <c r="M247" s="171"/>
      <c r="N247" s="171"/>
      <c r="O247" s="171"/>
      <c r="P247" s="171"/>
      <c r="Q247" s="171"/>
      <c r="R247" s="171"/>
      <c r="S247" s="171"/>
      <c r="T247" s="171"/>
      <c r="U247" s="171"/>
      <c r="V247" s="171"/>
      <c r="W247" s="171"/>
      <c r="X247" s="171"/>
      <c r="Y247" s="171"/>
      <c r="Z247" s="171"/>
      <c r="AA247" s="171"/>
      <c r="AB247" s="171"/>
      <c r="AC247" s="171"/>
    </row>
    <row r="248" spans="1:29" ht="15.75" customHeight="1" x14ac:dyDescent="0.25">
      <c r="A248" s="106" t="s">
        <v>1083</v>
      </c>
      <c r="B248" s="249">
        <v>46265</v>
      </c>
      <c r="C248" s="246">
        <v>4.1666666666666664E-2</v>
      </c>
      <c r="D248" s="246">
        <v>8.3333333333333329E-2</v>
      </c>
      <c r="E248" s="171">
        <v>0</v>
      </c>
      <c r="F248" s="171">
        <v>0</v>
      </c>
      <c r="G248" s="171">
        <v>0</v>
      </c>
      <c r="H248" s="171">
        <v>0</v>
      </c>
      <c r="I248" s="171">
        <v>0</v>
      </c>
      <c r="J248" s="171"/>
      <c r="K248" s="171"/>
      <c r="L248" s="171"/>
      <c r="M248" s="171"/>
      <c r="N248" s="171"/>
      <c r="O248" s="171"/>
      <c r="P248" s="171"/>
      <c r="Q248" s="171"/>
      <c r="R248" s="171"/>
      <c r="S248" s="171"/>
      <c r="T248" s="171"/>
      <c r="U248" s="171"/>
      <c r="V248" s="171"/>
      <c r="W248" s="171"/>
      <c r="X248" s="171"/>
      <c r="Y248" s="171"/>
      <c r="Z248" s="171"/>
      <c r="AA248" s="171"/>
      <c r="AB248" s="171"/>
      <c r="AC248" s="171"/>
    </row>
    <row r="249" spans="1:29" ht="15.75" customHeight="1" x14ac:dyDescent="0.25">
      <c r="A249" s="106" t="s">
        <v>1084</v>
      </c>
      <c r="B249" s="249">
        <v>46265</v>
      </c>
      <c r="C249" s="246">
        <v>8.3333333333333329E-2</v>
      </c>
      <c r="D249" s="246">
        <v>0.125</v>
      </c>
      <c r="E249" s="171">
        <v>0</v>
      </c>
      <c r="F249" s="171">
        <v>0</v>
      </c>
      <c r="G249" s="171">
        <v>0</v>
      </c>
      <c r="H249" s="171">
        <v>0</v>
      </c>
      <c r="I249" s="171">
        <v>0</v>
      </c>
      <c r="J249" s="171"/>
      <c r="K249" s="171"/>
      <c r="L249" s="171"/>
      <c r="M249" s="171"/>
      <c r="N249" s="171"/>
      <c r="O249" s="171"/>
      <c r="P249" s="171"/>
      <c r="Q249" s="171"/>
      <c r="R249" s="171"/>
      <c r="S249" s="171"/>
      <c r="T249" s="171"/>
      <c r="U249" s="171"/>
      <c r="V249" s="171"/>
      <c r="W249" s="171"/>
      <c r="X249" s="171"/>
      <c r="Y249" s="171"/>
      <c r="Z249" s="171"/>
      <c r="AA249" s="171"/>
      <c r="AB249" s="171"/>
      <c r="AC249" s="171"/>
    </row>
    <row r="250" spans="1:29" ht="15.75" customHeight="1" x14ac:dyDescent="0.25">
      <c r="A250" s="106" t="s">
        <v>1085</v>
      </c>
      <c r="B250" s="249">
        <v>46265</v>
      </c>
      <c r="C250" s="246">
        <v>0.125</v>
      </c>
      <c r="D250" s="246">
        <v>0.16666666666666666</v>
      </c>
      <c r="E250" s="171">
        <v>0</v>
      </c>
      <c r="F250" s="171">
        <v>0</v>
      </c>
      <c r="G250" s="171">
        <v>0</v>
      </c>
      <c r="H250" s="171">
        <v>0</v>
      </c>
      <c r="I250" s="171">
        <v>0</v>
      </c>
      <c r="J250" s="171"/>
      <c r="K250" s="171"/>
      <c r="L250" s="171"/>
      <c r="M250" s="171"/>
      <c r="N250" s="171"/>
      <c r="O250" s="171"/>
      <c r="P250" s="171"/>
      <c r="Q250" s="171"/>
      <c r="R250" s="171"/>
      <c r="S250" s="171"/>
      <c r="T250" s="171"/>
      <c r="U250" s="171"/>
      <c r="V250" s="171"/>
      <c r="W250" s="171"/>
      <c r="X250" s="171"/>
      <c r="Y250" s="171"/>
      <c r="Z250" s="171"/>
      <c r="AA250" s="171"/>
      <c r="AB250" s="171"/>
      <c r="AC250" s="171"/>
    </row>
    <row r="251" spans="1:29" ht="15.75" customHeight="1" x14ac:dyDescent="0.25">
      <c r="A251" s="106" t="s">
        <v>1086</v>
      </c>
      <c r="B251" s="249">
        <v>46265</v>
      </c>
      <c r="C251" s="246">
        <v>0.16666666666666666</v>
      </c>
      <c r="D251" s="246">
        <v>0.20833333333333334</v>
      </c>
      <c r="E251" s="171">
        <v>0</v>
      </c>
      <c r="F251" s="171">
        <v>0</v>
      </c>
      <c r="G251" s="171">
        <v>0</v>
      </c>
      <c r="H251" s="171">
        <v>0</v>
      </c>
      <c r="I251" s="171">
        <v>0</v>
      </c>
      <c r="J251" s="171"/>
      <c r="K251" s="171"/>
      <c r="L251" s="171"/>
      <c r="M251" s="171"/>
      <c r="N251" s="171"/>
      <c r="O251" s="171"/>
      <c r="P251" s="171"/>
      <c r="Q251" s="171"/>
      <c r="R251" s="171"/>
      <c r="S251" s="171"/>
      <c r="T251" s="171"/>
      <c r="U251" s="171"/>
      <c r="V251" s="171"/>
      <c r="W251" s="171"/>
      <c r="X251" s="171"/>
      <c r="Y251" s="171"/>
      <c r="Z251" s="171"/>
      <c r="AA251" s="171"/>
      <c r="AB251" s="171"/>
      <c r="AC251" s="171"/>
    </row>
    <row r="252" spans="1:29" ht="15.75" customHeight="1" x14ac:dyDescent="0.25">
      <c r="A252" s="106" t="s">
        <v>1087</v>
      </c>
      <c r="B252" s="249">
        <v>46265</v>
      </c>
      <c r="C252" s="246">
        <v>0.20833333333333334</v>
      </c>
      <c r="D252" s="246">
        <v>0.25</v>
      </c>
      <c r="E252" s="171">
        <v>0</v>
      </c>
      <c r="F252" s="171">
        <v>0</v>
      </c>
      <c r="G252" s="171">
        <v>0</v>
      </c>
      <c r="H252" s="171">
        <v>0</v>
      </c>
      <c r="I252" s="171">
        <v>0</v>
      </c>
      <c r="J252" s="171"/>
      <c r="K252" s="171"/>
      <c r="L252" s="171"/>
      <c r="M252" s="171"/>
      <c r="N252" s="171"/>
      <c r="O252" s="171"/>
      <c r="P252" s="171"/>
      <c r="Q252" s="171"/>
      <c r="R252" s="171"/>
      <c r="S252" s="171"/>
      <c r="T252" s="171"/>
      <c r="U252" s="171"/>
      <c r="V252" s="171"/>
      <c r="W252" s="171"/>
      <c r="X252" s="171"/>
      <c r="Y252" s="171"/>
      <c r="Z252" s="171"/>
      <c r="AA252" s="171"/>
      <c r="AB252" s="171"/>
      <c r="AC252" s="171"/>
    </row>
    <row r="253" spans="1:29" ht="15.75" customHeight="1" x14ac:dyDescent="0.25">
      <c r="A253" s="106" t="s">
        <v>1104</v>
      </c>
      <c r="B253" s="249">
        <v>46266</v>
      </c>
      <c r="C253" s="246">
        <v>0.91666666666666663</v>
      </c>
      <c r="D253" s="246">
        <v>0.95833333333333337</v>
      </c>
      <c r="E253" s="171">
        <v>0</v>
      </c>
      <c r="F253" s="171">
        <v>0</v>
      </c>
      <c r="G253" s="171">
        <v>0</v>
      </c>
      <c r="H253" s="171">
        <v>0</v>
      </c>
      <c r="I253" s="171">
        <v>0</v>
      </c>
      <c r="J253" s="171"/>
      <c r="K253" s="171"/>
      <c r="L253" s="171"/>
      <c r="M253" s="171"/>
      <c r="N253" s="171"/>
      <c r="O253" s="171"/>
      <c r="P253" s="171"/>
      <c r="Q253" s="171"/>
      <c r="R253" s="171"/>
      <c r="S253" s="171"/>
      <c r="T253" s="171"/>
      <c r="U253" s="171"/>
      <c r="V253" s="171"/>
      <c r="W253" s="171"/>
      <c r="X253" s="171"/>
      <c r="Y253" s="171"/>
      <c r="Z253" s="171"/>
      <c r="AA253" s="171"/>
      <c r="AB253" s="171"/>
      <c r="AC253" s="171"/>
    </row>
    <row r="254" spans="1:29" ht="15.75" customHeight="1" x14ac:dyDescent="0.25">
      <c r="A254" s="106" t="s">
        <v>1105</v>
      </c>
      <c r="B254" s="249">
        <v>46266</v>
      </c>
      <c r="C254" s="246">
        <v>0.95833333333333337</v>
      </c>
      <c r="D254" s="246">
        <v>0</v>
      </c>
      <c r="E254" s="171">
        <v>0</v>
      </c>
      <c r="F254" s="171">
        <v>0</v>
      </c>
      <c r="G254" s="171">
        <v>0</v>
      </c>
      <c r="H254" s="171">
        <v>0</v>
      </c>
      <c r="I254" s="171">
        <v>0</v>
      </c>
      <c r="J254" s="171"/>
      <c r="K254" s="171"/>
      <c r="L254" s="171"/>
      <c r="M254" s="171"/>
      <c r="N254" s="171"/>
      <c r="O254" s="171"/>
      <c r="P254" s="171"/>
      <c r="Q254" s="171"/>
      <c r="R254" s="171"/>
      <c r="S254" s="171"/>
      <c r="T254" s="171"/>
      <c r="U254" s="171"/>
      <c r="V254" s="171"/>
      <c r="W254" s="171"/>
      <c r="X254" s="171"/>
      <c r="Y254" s="171"/>
      <c r="Z254" s="171"/>
      <c r="AA254" s="171"/>
      <c r="AB254" s="171"/>
      <c r="AC254" s="171"/>
    </row>
    <row r="255" spans="1:29" ht="15.75" customHeight="1" x14ac:dyDescent="0.25">
      <c r="B255" s="249">
        <v>46266</v>
      </c>
      <c r="C255" s="246"/>
      <c r="D255" s="246"/>
    </row>
    <row r="256" spans="1:29" ht="15.75" customHeight="1" x14ac:dyDescent="0.25">
      <c r="B256" s="249">
        <v>46266</v>
      </c>
      <c r="C256" s="246"/>
      <c r="D256" s="246"/>
    </row>
    <row r="257" spans="2:4" ht="15.75" customHeight="1" x14ac:dyDescent="0.25">
      <c r="B257" s="249">
        <v>46266</v>
      </c>
      <c r="C257" s="246"/>
      <c r="D257" s="246"/>
    </row>
    <row r="258" spans="2:4" ht="15.75" customHeight="1" x14ac:dyDescent="0.25">
      <c r="B258" s="249">
        <v>46266</v>
      </c>
      <c r="C258" s="246"/>
      <c r="D258" s="246"/>
    </row>
    <row r="259" spans="2:4" ht="15.75" customHeight="1" x14ac:dyDescent="0.25">
      <c r="B259" s="249">
        <v>46266</v>
      </c>
      <c r="C259" s="246"/>
      <c r="D259" s="246"/>
    </row>
    <row r="260" spans="2:4" ht="15.75" customHeight="1" x14ac:dyDescent="0.25">
      <c r="B260" s="249">
        <v>46266</v>
      </c>
      <c r="C260" s="246"/>
      <c r="D260" s="246"/>
    </row>
    <row r="261" spans="2:4" ht="15.75" customHeight="1" x14ac:dyDescent="0.2"/>
    <row r="262" spans="2:4" ht="15.75" customHeight="1" x14ac:dyDescent="0.2"/>
    <row r="263" spans="2:4" ht="15.75" customHeight="1" x14ac:dyDescent="0.2"/>
    <row r="264" spans="2:4" ht="15.75" customHeight="1" x14ac:dyDescent="0.2"/>
    <row r="265" spans="2:4" ht="15.75" customHeight="1" x14ac:dyDescent="0.2"/>
    <row r="266" spans="2:4" ht="15.75" customHeight="1" x14ac:dyDescent="0.2"/>
    <row r="267" spans="2:4" ht="15.75" customHeight="1" x14ac:dyDescent="0.2"/>
    <row r="268" spans="2:4" ht="15.75" customHeight="1" x14ac:dyDescent="0.2"/>
    <row r="269" spans="2:4" ht="15.75" customHeight="1" x14ac:dyDescent="0.2"/>
    <row r="270" spans="2:4" ht="15.75" customHeight="1" x14ac:dyDescent="0.2"/>
    <row r="271" spans="2:4" ht="15.75" customHeight="1" x14ac:dyDescent="0.2"/>
    <row r="272" spans="2:4"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Formulas_Overview</vt:lpstr>
      <vt:lpstr>Formulas_Consumption Summary</vt:lpstr>
      <vt:lpstr>PF &amp; Demand</vt:lpstr>
      <vt:lpstr>Formulas_Carbon Footprint</vt:lpstr>
      <vt:lpstr> Formulas_TODwise Consumption R</vt:lpstr>
      <vt:lpstr>Formulas_Departments Summary</vt:lpstr>
      <vt:lpstr>Formulas_Graphs</vt:lpstr>
      <vt:lpstr>Monthly report</vt:lpstr>
      <vt:lpstr>Sheet9</vt:lpstr>
      <vt:lpstr>meta_sheet</vt:lpstr>
      <vt:lpstr>TOD</vt:lpstr>
      <vt:lpstr>shiftdata 24hours</vt:lpstr>
      <vt:lpstr>Data</vt:lpstr>
      <vt:lpstr> Morning peak</vt:lpstr>
      <vt:lpstr>Evening Peak</vt:lpstr>
      <vt:lpstr>Normal time</vt:lpstr>
      <vt:lpstr>night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Smartsense  Reporting Server</cp:lastModifiedBy>
  <dcterms:modified xsi:type="dcterms:W3CDTF">2026-08-18T01:58:42Z</dcterms:modified>
</cp:coreProperties>
</file>